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ts" sheetId="2" state="visible" r:id="rId4"/>
    <sheet name="Cardio" sheetId="3" state="visible" r:id="rId5"/>
    <sheet name="Progress" sheetId="4" state="visible" r:id="rId6"/>
    <sheet name="PR Summary" sheetId="5" state="visible" r:id="rId7"/>
    <sheet name="Charts" sheetId="6" state="visible" r:id="rId8"/>
  </sheets>
  <definedNames>
    <definedName function="false" hidden="true" localSheetId="2" name="_xlnm._FilterDatabase" vbProcedure="false">Cardio!$A$1:$K$58</definedName>
    <definedName function="false" hidden="true" localSheetId="1" name="_xlnm._FilterDatabase" vbProcedure="false">Sets!$A$1:$M$617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<sst xmlns="http://schemas.openxmlformats.org/spreadsheetml/2006/main" count="4400" uniqueCount="254">
  <si>
    <t xml:space="preserve">PELOBROSSSSS - WORKOUT TRACKER</t>
  </si>
  <si>
    <t xml:space="preserve">Complete training log, January 16 - July 21, 2026</t>
  </si>
  <si>
    <t xml:space="preserve">WHAT'S IN HERE</t>
  </si>
  <si>
    <t xml:space="preserve">Sets</t>
  </si>
  <si>
    <t xml:space="preserve">One row per set lifted. This is the source of truth - everything else reads from it.</t>
  </si>
  <si>
    <t xml:space="preserve">Cardio</t>
  </si>
  <si>
    <t xml:space="preserve">One row per cardio bout (elliptical, treadmill, stairs, rowing, runs).</t>
  </si>
  <si>
    <t xml:space="preserve">PR Summary</t>
  </si>
  <si>
    <t xml:space="preserve">Auto-calculated best weight, date it was first hit, and most recent performance per exercise.</t>
  </si>
  <si>
    <t xml:space="preserve">Progress</t>
  </si>
  <si>
    <t xml:space="preserve">Top working weight per exercise per session. Feeds the charts.</t>
  </si>
  <si>
    <t xml:space="preserve">Charts</t>
  </si>
  <si>
    <t xml:space="preserve">Progression lines for the main lifts.</t>
  </si>
  <si>
    <t xml:space="preserve">HOW TO ADD A NEW WORKOUT</t>
  </si>
  <si>
    <t xml:space="preserve">1.</t>
  </si>
  <si>
    <t xml:space="preserve">Go to the Sets tab and type new rows directly underneath the last one.</t>
  </si>
  <si>
    <t xml:space="preserve">2.</t>
  </si>
  <si>
    <t xml:space="preserve">Add the date to column A of the Progress tab (next empty row) and drag the formulas across.</t>
  </si>
  <si>
    <t xml:space="preserve">3.</t>
  </si>
  <si>
    <t xml:space="preserve">Log cardio on the Cardio tab. PR Summary updates itself.</t>
  </si>
  <si>
    <t xml:space="preserve">All formulas are pre-extended to row 2000, so there is room for roughly two more years of logging.</t>
  </si>
  <si>
    <t xml:space="preserve">EXAMPLE ROW (Sets tab) - copy this format</t>
  </si>
  <si>
    <t xml:space="preserve">Date</t>
  </si>
  <si>
    <t xml:space="preserve">Day</t>
  </si>
  <si>
    <t xml:space="preserve">Workout Type</t>
  </si>
  <si>
    <t xml:space="preserve">Exercise</t>
  </si>
  <si>
    <t xml:space="preserve">Equipment</t>
  </si>
  <si>
    <t xml:space="preserve">Unit</t>
  </si>
  <si>
    <t xml:space="preserve">Set #</t>
  </si>
  <si>
    <t xml:space="preserve">Weight</t>
  </si>
  <si>
    <t xml:space="preserve">Reps</t>
  </si>
  <si>
    <t xml:space="preserve">Warmup?</t>
  </si>
  <si>
    <t xml:space="preserve">Volume</t>
  </si>
  <si>
    <t xml:space="preserve">Key</t>
  </si>
  <si>
    <t xml:space="preserve">Notes</t>
  </si>
  <si>
    <t xml:space="preserve">Thu</t>
  </si>
  <si>
    <t xml:space="preserve">Push</t>
  </si>
  <si>
    <t xml:space="preserve">Bench Press</t>
  </si>
  <si>
    <t xml:space="preserve">Smith</t>
  </si>
  <si>
    <t xml:space="preserve">lbs</t>
  </si>
  <si>
    <t xml:space="preserve">N</t>
  </si>
  <si>
    <t xml:space="preserve">(formula)</t>
  </si>
  <si>
    <t xml:space="preserve">felt strong</t>
  </si>
  <si>
    <t xml:space="preserve">CONVENTIONS</t>
  </si>
  <si>
    <t xml:space="preserve">Dumbbell weights are PER HAND. Smith machine and barbell weights are TOTAL.</t>
  </si>
  <si>
    <t xml:space="preserve">lbs for dumbbells / Smith / machines. kg for the cable stack. BW for bodyweight moves.</t>
  </si>
  <si>
    <t xml:space="preserve">Y = warmup set (excluded from PR and volume calcs). N = working set.</t>
  </si>
  <si>
    <t xml:space="preserve">Defaults to 8 unless a different number was logged.</t>
  </si>
  <si>
    <t xml:space="preserve">All indoor cycling is logged as 'Elliptical' per longstanding preference.</t>
  </si>
  <si>
    <t xml:space="preserve">Weight x Reps for working sets. For bodyweight moves it just counts reps.</t>
  </si>
  <si>
    <t xml:space="preserve">DATA NOTES</t>
  </si>
  <si>
    <t xml:space="preserve">Approximate dates</t>
  </si>
  <si>
    <t xml:space="preserve">A handful of February and early-April sessions were reconstructed from a transfer document</t>
  </si>
  <si>
    <t xml:space="preserve">and carry an estimated date. They are flagged in the Notes column of the Sets tab.</t>
  </si>
  <si>
    <t xml:space="preserve">Missing period</t>
  </si>
  <si>
    <t xml:space="preserve">No sessions logged Mar 1 - Apr 4 (knee injury period) or Jun 29 - Jul 8 (vacation).</t>
  </si>
  <si>
    <t xml:space="preserve">Partial logs</t>
  </si>
  <si>
    <t xml:space="preserve">Two New Orleans hotel-gym sessions (Jun 7-8) have incomplete weight data.</t>
  </si>
  <si>
    <t xml:space="preserve">Source</t>
  </si>
  <si>
    <t xml:space="preserve">All data transcribed from the coaching conversation log.</t>
  </si>
  <si>
    <t xml:space="preserve">Sat</t>
  </si>
  <si>
    <t xml:space="preserve">Legs</t>
  </si>
  <si>
    <t xml:space="preserve">Squats</t>
  </si>
  <si>
    <t xml:space="preserve">RDLs</t>
  </si>
  <si>
    <t xml:space="preserve">Calf Raises (Smith)</t>
  </si>
  <si>
    <t xml:space="preserve">Lunges</t>
  </si>
  <si>
    <t xml:space="preserve">Bodyweight</t>
  </si>
  <si>
    <t xml:space="preserve">BW</t>
  </si>
  <si>
    <t xml:space="preserve">per leg</t>
  </si>
  <si>
    <t xml:space="preserve">Tue</t>
  </si>
  <si>
    <t xml:space="preserve">Push + Pull</t>
  </si>
  <si>
    <t xml:space="preserve">Bench Press (DB)</t>
  </si>
  <si>
    <t xml:space="preserve">Dumbbell</t>
  </si>
  <si>
    <t xml:space="preserve">Single Arm Lat Pulldown</t>
  </si>
  <si>
    <t xml:space="preserve">Cable</t>
  </si>
  <si>
    <t xml:space="preserve">kg</t>
  </si>
  <si>
    <t xml:space="preserve">Shoulder Press</t>
  </si>
  <si>
    <t xml:space="preserve">Bicep Curls (DB)</t>
  </si>
  <si>
    <t xml:space="preserve">Pull + Arms</t>
  </si>
  <si>
    <t xml:space="preserve">DB Rows</t>
  </si>
  <si>
    <t xml:space="preserve">Tricep Ext Overhead</t>
  </si>
  <si>
    <t xml:space="preserve">PR 50</t>
  </si>
  <si>
    <t xml:space="preserve">Fri</t>
  </si>
  <si>
    <t xml:space="preserve">Sun</t>
  </si>
  <si>
    <t xml:space="preserve">Y</t>
  </si>
  <si>
    <t xml:space="preserve">Incline Flyes</t>
  </si>
  <si>
    <t xml:space="preserve">Pull + Shoulders</t>
  </si>
  <si>
    <t xml:space="preserve">PR 17.5kg</t>
  </si>
  <si>
    <t xml:space="preserve">Smith Rows</t>
  </si>
  <si>
    <t xml:space="preserve">PR 35</t>
  </si>
  <si>
    <t xml:space="preserve">Lateral Raises</t>
  </si>
  <si>
    <t xml:space="preserve">Shrugs</t>
  </si>
  <si>
    <t xml:space="preserve">PR 45</t>
  </si>
  <si>
    <t xml:space="preserve">Full Body (light)</t>
  </si>
  <si>
    <t xml:space="preserve">Mon</t>
  </si>
  <si>
    <t xml:space="preserve">PR 22.5kg</t>
  </si>
  <si>
    <t xml:space="preserve">Upper (Planet Fitness)</t>
  </si>
  <si>
    <t xml:space="preserve">Chest Press Machine</t>
  </si>
  <si>
    <t xml:space="preserve">Machine</t>
  </si>
  <si>
    <t xml:space="preserve">approximate date</t>
  </si>
  <si>
    <t xml:space="preserve">Lat Pulldown Machine</t>
  </si>
  <si>
    <t xml:space="preserve">Shoulder Press Machine</t>
  </si>
  <si>
    <t xml:space="preserve">Pull (Planet Fitness)</t>
  </si>
  <si>
    <t xml:space="preserve">Assisted Pull-ups</t>
  </si>
  <si>
    <t xml:space="preserve">assist weight, lower = harder; approximate date</t>
  </si>
  <si>
    <t xml:space="preserve">Dips</t>
  </si>
  <si>
    <t xml:space="preserve">Chin-ups</t>
  </si>
  <si>
    <t xml:space="preserve">PR 55; approximate date</t>
  </si>
  <si>
    <t xml:space="preserve">Pull</t>
  </si>
  <si>
    <t xml:space="preserve">Push + Arms</t>
  </si>
  <si>
    <t xml:space="preserve">Bench Press (Smith)</t>
  </si>
  <si>
    <t xml:space="preserve">Upper</t>
  </si>
  <si>
    <t xml:space="preserve">PR 70; approximate date</t>
  </si>
  <si>
    <t xml:space="preserve">Incline Bench (DB)</t>
  </si>
  <si>
    <t xml:space="preserve">Bicep Curls (Cable)</t>
  </si>
  <si>
    <t xml:space="preserve">Wed</t>
  </si>
  <si>
    <t xml:space="preserve">PR 75</t>
  </si>
  <si>
    <t xml:space="preserve">Arms</t>
  </si>
  <si>
    <t xml:space="preserve">partial</t>
  </si>
  <si>
    <t xml:space="preserve">PR 60</t>
  </si>
  <si>
    <t xml:space="preserve">PR 80</t>
  </si>
  <si>
    <t xml:space="preserve">Face Pulls</t>
  </si>
  <si>
    <t xml:space="preserve">new exercise</t>
  </si>
  <si>
    <t xml:space="preserve">Hammer Curls</t>
  </si>
  <si>
    <t xml:space="preserve">PR 65</t>
  </si>
  <si>
    <t xml:space="preserve">PR 40</t>
  </si>
  <si>
    <t xml:space="preserve">PR 90</t>
  </si>
  <si>
    <t xml:space="preserve">PR 95</t>
  </si>
  <si>
    <t xml:space="preserve">Incline Bench (Smith)</t>
  </si>
  <si>
    <t xml:space="preserve">new variation, PR 70</t>
  </si>
  <si>
    <t xml:space="preserve">Pull (light)</t>
  </si>
  <si>
    <t xml:space="preserve">Push (partial)</t>
  </si>
  <si>
    <t xml:space="preserve">Standing Cable Press</t>
  </si>
  <si>
    <t xml:space="preserve">PR 30 x3 sets</t>
  </si>
  <si>
    <t xml:space="preserve">Tricep Pulldown</t>
  </si>
  <si>
    <t xml:space="preserve">new exercise, PR 22.5kg</t>
  </si>
  <si>
    <t xml:space="preserve">Straight Arm Pulldown</t>
  </si>
  <si>
    <t xml:space="preserve">Cable Flyes</t>
  </si>
  <si>
    <t xml:space="preserve">new exercise, PR 10kg</t>
  </si>
  <si>
    <t xml:space="preserve">PR 100 - THE CENTURY</t>
  </si>
  <si>
    <t xml:space="preserve">Travel (New Orleans)</t>
  </si>
  <si>
    <t xml:space="preserve">partial log</t>
  </si>
  <si>
    <t xml:space="preserve">Legs + Push</t>
  </si>
  <si>
    <t xml:space="preserve">first RDLs since Feb</t>
  </si>
  <si>
    <t xml:space="preserve">PR 105</t>
  </si>
  <si>
    <t xml:space="preserve">Legs + Pull</t>
  </si>
  <si>
    <t xml:space="preserve">knee signal 1/10</t>
  </si>
  <si>
    <t xml:space="preserve">PR 25kg - 5-month plateau broken</t>
  </si>
  <si>
    <t xml:space="preserve">session ended early</t>
  </si>
  <si>
    <t xml:space="preserve">Goblet Squats</t>
  </si>
  <si>
    <t xml:space="preserve">form test, back flagged, stopped</t>
  </si>
  <si>
    <t xml:space="preserve">Calf Raises (DB)</t>
  </si>
  <si>
    <t xml:space="preserve">Legs + Arms</t>
  </si>
  <si>
    <t xml:space="preserve">superset</t>
  </si>
  <si>
    <t xml:space="preserve">PR 55 RECLAIMED</t>
  </si>
  <si>
    <t xml:space="preserve">Bodyweight Squats</t>
  </si>
  <si>
    <t xml:space="preserve">pain-free</t>
  </si>
  <si>
    <t xml:space="preserve">Cardio + Pull</t>
  </si>
  <si>
    <t xml:space="preserve">50 lb DB is the rack ceiling</t>
  </si>
  <si>
    <t xml:space="preserve">PR 110</t>
  </si>
  <si>
    <t xml:space="preserve">switched from overhead DB extensions</t>
  </si>
  <si>
    <t xml:space="preserve">Modality</t>
  </si>
  <si>
    <t xml:space="preserve">Duration</t>
  </si>
  <si>
    <t xml:space="preserve">Minutes</t>
  </si>
  <si>
    <t xml:space="preserve">Distance</t>
  </si>
  <si>
    <t xml:space="preserve">Dist Unit</t>
  </si>
  <si>
    <t xml:space="preserve">Calories</t>
  </si>
  <si>
    <t xml:space="preserve">Avg HR</t>
  </si>
  <si>
    <t xml:space="preserve">Floors</t>
  </si>
  <si>
    <t xml:space="preserve">Treadmill</t>
  </si>
  <si>
    <t xml:space="preserve">20:00</t>
  </si>
  <si>
    <t xml:space="preserve">Core: plank 30s, bicycle crunches 10/side, russian twists 10, leg raises 5</t>
  </si>
  <si>
    <t xml:space="preserve">Run (Peloton)</t>
  </si>
  <si>
    <t xml:space="preserve">30:00</t>
  </si>
  <si>
    <t xml:space="preserve">Elliptical</t>
  </si>
  <si>
    <t xml:space="preserve">10:00</t>
  </si>
  <si>
    <t xml:space="preserve">Core: 3 rounds</t>
  </si>
  <si>
    <t xml:space="preserve">Run</t>
  </si>
  <si>
    <t xml:space="preserve">mi</t>
  </si>
  <si>
    <t xml:space="preserve">First session back after illness</t>
  </si>
  <si>
    <t xml:space="preserve">19:37</t>
  </si>
  <si>
    <t xml:space="preserve">30:02</t>
  </si>
  <si>
    <t xml:space="preserve">25:16</t>
  </si>
  <si>
    <t xml:space="preserve">21:13</t>
  </si>
  <si>
    <t xml:space="preserve">29:02</t>
  </si>
  <si>
    <t xml:space="preserve">20:15</t>
  </si>
  <si>
    <t xml:space="preserve">Plus 5 min extra cardio</t>
  </si>
  <si>
    <t xml:space="preserve">15:06</t>
  </si>
  <si>
    <t xml:space="preserve">20:03</t>
  </si>
  <si>
    <t xml:space="preserve">7:00</t>
  </si>
  <si>
    <t xml:space="preserve">21:01</t>
  </si>
  <si>
    <t xml:space="preserve">Rowing</t>
  </si>
  <si>
    <t xml:space="preserve">Walk</t>
  </si>
  <si>
    <t xml:space="preserve">4 mph / 4% incline - FIRST RUN since knee injury</t>
  </si>
  <si>
    <t xml:space="preserve">25:24</t>
  </si>
  <si>
    <t xml:space="preserve">39:26</t>
  </si>
  <si>
    <t xml:space="preserve">CARDIO PR - longest session</t>
  </si>
  <si>
    <t xml:space="preserve">32:43</t>
  </si>
  <si>
    <t xml:space="preserve">37:24</t>
  </si>
  <si>
    <t xml:space="preserve">34:13</t>
  </si>
  <si>
    <t xml:space="preserve">14:32</t>
  </si>
  <si>
    <t xml:space="preserve">20:12</t>
  </si>
  <si>
    <t xml:space="preserve">Stairs</t>
  </si>
  <si>
    <t xml:space="preserve">14:54</t>
  </si>
  <si>
    <t xml:space="preserve">first stair session since knee injury</t>
  </si>
  <si>
    <t xml:space="preserve">17:43</t>
  </si>
  <si>
    <t xml:space="preserve">17:05</t>
  </si>
  <si>
    <t xml:space="preserve">33:46</t>
  </si>
  <si>
    <t xml:space="preserve">20:16</t>
  </si>
  <si>
    <t xml:space="preserve">Outdoor Run</t>
  </si>
  <si>
    <t xml:space="preserve">ADA conference, hotel gym</t>
  </si>
  <si>
    <t xml:space="preserve">Hotel gym - bench press done, weights not logged</t>
  </si>
  <si>
    <t xml:space="preserve">20:18</t>
  </si>
  <si>
    <t xml:space="preserve">10:08</t>
  </si>
  <si>
    <t xml:space="preserve">36:10</t>
  </si>
  <si>
    <t xml:space="preserve">20:09</t>
  </si>
  <si>
    <t xml:space="preserve">FIRST LEG SESSION back after knee injury</t>
  </si>
  <si>
    <t xml:space="preserve">34:04</t>
  </si>
  <si>
    <t xml:space="preserve">25:18</t>
  </si>
  <si>
    <t xml:space="preserve">Knee gave 1/10 signal on RDLs - backed off, pivoted to pull</t>
  </si>
  <si>
    <t xml:space="preserve">36:09</t>
  </si>
  <si>
    <t xml:space="preserve">35:46</t>
  </si>
  <si>
    <t xml:space="preserve">10:39</t>
  </si>
  <si>
    <t xml:space="preserve">Squat form test flagged LOWER BACK (not knee) - switched to RDLs</t>
  </si>
  <si>
    <t xml:space="preserve">23:50</t>
  </si>
  <si>
    <t xml:space="preserve">First session back after vacation (Jun 29 - Jul 8)</t>
  </si>
  <si>
    <t xml:space="preserve">15:05</t>
  </si>
  <si>
    <t xml:space="preserve">15:07</t>
  </si>
  <si>
    <t xml:space="preserve">15:02</t>
  </si>
  <si>
    <t xml:space="preserve">35:29</t>
  </si>
  <si>
    <t xml:space="preserve">Three PR weights matched in one session</t>
  </si>
  <si>
    <t xml:space="preserve">m</t>
  </si>
  <si>
    <t xml:space="preserve">2800 meters</t>
  </si>
  <si>
    <t xml:space="preserve">COMEBACK COMPLETE - pre-injury RDL PR reclaimed, squat pattern reintroduced pain-free</t>
  </si>
  <si>
    <t xml:space="preserve">20:04</t>
  </si>
  <si>
    <t xml:space="preserve">239 total cal, effort 6/10; Third session of the day</t>
  </si>
  <si>
    <t xml:space="preserve">10:03</t>
  </si>
  <si>
    <t xml:space="preserve">124 total cal; Third session of the day</t>
  </si>
  <si>
    <t xml:space="preserve">30:07</t>
  </si>
  <si>
    <t xml:space="preserve">1.6% avg incline, 4.1 mph</t>
  </si>
  <si>
    <t xml:space="preserve">Best Weight</t>
  </si>
  <si>
    <t xml:space="preserve">Reps @ Best</t>
  </si>
  <si>
    <t xml:space="preserve">Date First Hit</t>
  </si>
  <si>
    <t xml:space="preserve">Last Performed</t>
  </si>
  <si>
    <t xml:space="preserve">Top Weight Last Session</t>
  </si>
  <si>
    <t xml:space="preserve">Working Sets Logged</t>
  </si>
  <si>
    <t xml:space="preserve">Total Volume</t>
  </si>
  <si>
    <t xml:space="preserve">Best Weight excludes warmup sets. Cable exercises are in kg; everything else in lbs.</t>
  </si>
  <si>
    <t xml:space="preserve">Bodyweight exercises show 0 - track those by reps in the Sets tab instead.</t>
  </si>
  <si>
    <t xml:space="preserve">Date First Hit = the earliest session at that weight, so a matched PR keeps its original date.</t>
  </si>
  <si>
    <t xml:space="preserve">Total Volume mixes kg and lbs across exercises, so compare it within an exercise, not between them.</t>
  </si>
  <si>
    <t xml:space="preserve">Assisted Pull-ups and Dips log ASSIST weight, so a LOWER number is the harder set - 'Best Weight' is inverted there.</t>
  </si>
  <si>
    <t xml:space="preserve">PROGRESSION CHARTS</t>
  </si>
  <si>
    <t xml:space="preserve">Top working weight per session. Gaps are sessions where the lift was not trained.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</si>
</sst>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Bench Press (Smith)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Progress!E1</c:f>
              <c:strCache>
                <c:ptCount val="1"/>
                <c:pt idx="0">
                  <c:v>Bench Press (Smith)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Progress!$E$2:$E$52</c:f>
              <c:numCache>
                <c:formatCode>General</c:formatCode>
                <c:ptCount val="51"/>
                <c:pt idx="15">
                  <c:v>60</c:v>
                </c:pt>
                <c:pt idx="17">
                  <c:v>70</c:v>
                </c:pt>
                <c:pt idx="19">
                  <c:v>75</c:v>
                </c:pt>
                <c:pt idx="22">
                  <c:v>80</c:v>
                </c:pt>
                <c:pt idx="24">
                  <c:v>80</c:v>
                </c:pt>
                <c:pt idx="26">
                  <c:v>90</c:v>
                </c:pt>
                <c:pt idx="28">
                  <c:v>95</c:v>
                </c:pt>
                <c:pt idx="32">
                  <c:v>95</c:v>
                </c:pt>
                <c:pt idx="35">
                  <c:v>100</c:v>
                </c:pt>
                <c:pt idx="38">
                  <c:v>100</c:v>
                </c:pt>
                <c:pt idx="39">
                  <c:v>105</c:v>
                </c:pt>
                <c:pt idx="42">
                  <c:v>105</c:v>
                </c:pt>
                <c:pt idx="44">
                  <c:v>95</c:v>
                </c:pt>
                <c:pt idx="47">
                  <c:v>105</c:v>
                </c:pt>
                <c:pt idx="50">
                  <c:v>110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680978"/>
        <c:axId val="24201412"/>
      </c:lineChart>
      <c:catAx>
        <c:axId val="50680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1412"/>
        <c:crosses val="autoZero"/>
        <c:auto val="1"/>
        <c:lblAlgn val="ctr"/>
        <c:lblOffset val="100"/>
        <c:noMultiLvlLbl val="0"/>
      </c:catAx>
      <c:valAx>
        <c:axId val="24201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80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Single Arm Lat Pulldown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Progress!C1</c:f>
              <c:strCache>
                <c:ptCount val="1"/>
                <c:pt idx="0">
                  <c:v>Single Arm Lat Pulldown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Progress!$C$2:$C$52</c:f>
              <c:numCache>
                <c:formatCode>General</c:formatCode>
                <c:ptCount val="51"/>
                <c:pt idx="1">
                  <c:v>15</c:v>
                </c:pt>
                <c:pt idx="5">
                  <c:v>17.5</c:v>
                </c:pt>
                <c:pt idx="8">
                  <c:v>22.5</c:v>
                </c:pt>
                <c:pt idx="14">
                  <c:v>22.5</c:v>
                </c:pt>
                <c:pt idx="16">
                  <c:v>22.5</c:v>
                </c:pt>
                <c:pt idx="18">
                  <c:v>22.5</c:v>
                </c:pt>
                <c:pt idx="21">
                  <c:v>22.5</c:v>
                </c:pt>
                <c:pt idx="23">
                  <c:v>22.5</c:v>
                </c:pt>
                <c:pt idx="25">
                  <c:v>22.5</c:v>
                </c:pt>
                <c:pt idx="27">
                  <c:v>22.5</c:v>
                </c:pt>
                <c:pt idx="29">
                  <c:v>22.5</c:v>
                </c:pt>
                <c:pt idx="31">
                  <c:v>22.5</c:v>
                </c:pt>
                <c:pt idx="33">
                  <c:v>22.5</c:v>
                </c:pt>
                <c:pt idx="37">
                  <c:v>22.5</c:v>
                </c:pt>
                <c:pt idx="40">
                  <c:v>22.5</c:v>
                </c:pt>
                <c:pt idx="41">
                  <c:v>25</c:v>
                </c:pt>
                <c:pt idx="46">
                  <c:v>25</c:v>
                </c:pt>
                <c:pt idx="49">
                  <c:v>20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46769"/>
        <c:axId val="74666847"/>
      </c:lineChart>
      <c:catAx>
        <c:axId val="97467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6847"/>
        <c:crosses val="autoZero"/>
        <c:auto val="1"/>
        <c:lblAlgn val="ctr"/>
        <c:lblOffset val="100"/>
        <c:noMultiLvlLbl val="0"/>
      </c:catAx>
      <c:valAx>
        <c:axId val="74666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67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Smith Rows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Progress!H1</c:f>
              <c:strCache>
                <c:ptCount val="1"/>
                <c:pt idx="0">
                  <c:v>Smith Rows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Progress!$H$2:$H$52</c:f>
              <c:numCache>
                <c:formatCode>General</c:formatCode>
                <c:ptCount val="51"/>
                <c:pt idx="5">
                  <c:v>50</c:v>
                </c:pt>
                <c:pt idx="7">
                  <c:v>40</c:v>
                </c:pt>
                <c:pt idx="18">
                  <c:v>50</c:v>
                </c:pt>
                <c:pt idx="21">
                  <c:v>60</c:v>
                </c:pt>
                <c:pt idx="23">
                  <c:v>65</c:v>
                </c:pt>
                <c:pt idx="27">
                  <c:v>65</c:v>
                </c:pt>
                <c:pt idx="31">
                  <c:v>65</c:v>
                </c:pt>
                <c:pt idx="37">
                  <c:v>65</c:v>
                </c:pt>
                <c:pt idx="40">
                  <c:v>55</c:v>
                </c:pt>
                <c:pt idx="41">
                  <c:v>55</c:v>
                </c:pt>
                <c:pt idx="46">
                  <c:v>65</c:v>
                </c:pt>
                <c:pt idx="49">
                  <c:v>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219430"/>
        <c:axId val="28001744"/>
      </c:lineChart>
      <c:catAx>
        <c:axId val="76219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1744"/>
        <c:crosses val="autoZero"/>
        <c:auto val="1"/>
        <c:lblAlgn val="ctr"/>
        <c:lblOffset val="100"/>
        <c:noMultiLvlLbl val="0"/>
      </c:catAx>
      <c:valAx>
        <c:axId val="28001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9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Shoulder Press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Progress!B1</c:f>
              <c:strCache>
                <c:ptCount val="1"/>
                <c:pt idx="0">
                  <c:v>Shoulder Press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Progress!$B$2:$B$52</c:f>
              <c:numCache>
                <c:formatCode>General</c:formatCode>
                <c:ptCount val="51"/>
                <c:pt idx="1">
                  <c:v>30</c:v>
                </c:pt>
                <c:pt idx="5">
                  <c:v>35</c:v>
                </c:pt>
                <c:pt idx="13">
                  <c:v>30</c:v>
                </c:pt>
                <c:pt idx="15">
                  <c:v>30</c:v>
                </c:pt>
                <c:pt idx="16">
                  <c:v>35</c:v>
                </c:pt>
                <c:pt idx="17">
                  <c:v>30</c:v>
                </c:pt>
                <c:pt idx="19">
                  <c:v>35</c:v>
                </c:pt>
                <c:pt idx="22">
                  <c:v>35</c:v>
                </c:pt>
                <c:pt idx="26">
                  <c:v>30</c:v>
                </c:pt>
                <c:pt idx="28">
                  <c:v>35</c:v>
                </c:pt>
                <c:pt idx="30">
                  <c:v>35</c:v>
                </c:pt>
                <c:pt idx="32">
                  <c:v>30</c:v>
                </c:pt>
                <c:pt idx="35">
                  <c:v>30</c:v>
                </c:pt>
                <c:pt idx="38">
                  <c:v>35</c:v>
                </c:pt>
                <c:pt idx="39">
                  <c:v>25</c:v>
                </c:pt>
                <c:pt idx="42">
                  <c:v>35</c:v>
                </c:pt>
                <c:pt idx="44">
                  <c:v>30</c:v>
                </c:pt>
                <c:pt idx="47">
                  <c:v>30</c:v>
                </c:pt>
                <c:pt idx="50">
                  <c:v>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733599"/>
        <c:axId val="50582877"/>
      </c:lineChart>
      <c:catAx>
        <c:axId val="687335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82877"/>
        <c:crosses val="autoZero"/>
        <c:auto val="1"/>
        <c:lblAlgn val="ctr"/>
        <c:lblOffset val="100"/>
        <c:noMultiLvlLbl val="0"/>
      </c:catAx>
      <c:valAx>
        <c:axId val="50582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33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RDLs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Progress!I1</c:f>
              <c:strCache>
                <c:ptCount val="1"/>
                <c:pt idx="0">
                  <c:v>RDLs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Progress!$I$2:$I$52</c:f>
              <c:numCache>
                <c:formatCode>General</c:formatCode>
                <c:ptCount val="51"/>
                <c:pt idx="0">
                  <c:v>20</c:v>
                </c:pt>
                <c:pt idx="3">
                  <c:v>30</c:v>
                </c:pt>
                <c:pt idx="6">
                  <c:v>45</c:v>
                </c:pt>
                <c:pt idx="9">
                  <c:v>50</c:v>
                </c:pt>
                <c:pt idx="12">
                  <c:v>55</c:v>
                </c:pt>
                <c:pt idx="38">
                  <c:v>40</c:v>
                </c:pt>
                <c:pt idx="40">
                  <c:v>35</c:v>
                </c:pt>
                <c:pt idx="43">
                  <c:v>50</c:v>
                </c:pt>
                <c:pt idx="45">
                  <c:v>50</c:v>
                </c:pt>
                <c:pt idx="48">
                  <c:v>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179900"/>
        <c:axId val="75815922"/>
      </c:lineChart>
      <c:catAx>
        <c:axId val="861799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15922"/>
        <c:crosses val="autoZero"/>
        <c:auto val="1"/>
        <c:lblAlgn val="ctr"/>
        <c:lblOffset val="100"/>
        <c:noMultiLvlLbl val="0"/>
      </c:catAx>
      <c:valAx>
        <c:axId val="758159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1799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Bicep Curls (DB)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Progress!F1</c:f>
              <c:strCache>
                <c:ptCount val="1"/>
                <c:pt idx="0">
                  <c:v>Bicep Curls (DB)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Progress!$F$2:$F$52</c:f>
              <c:numCache>
                <c:formatCode>General</c:formatCode>
                <c:ptCount val="51"/>
                <c:pt idx="1">
                  <c:v>25</c:v>
                </c:pt>
                <c:pt idx="2">
                  <c:v>30</c:v>
                </c:pt>
                <c:pt idx="8">
                  <c:v>30</c:v>
                </c:pt>
                <c:pt idx="14">
                  <c:v>25</c:v>
                </c:pt>
                <c:pt idx="15">
                  <c:v>25</c:v>
                </c:pt>
                <c:pt idx="16">
                  <c:v>30</c:v>
                </c:pt>
                <c:pt idx="20">
                  <c:v>25</c:v>
                </c:pt>
                <c:pt idx="25">
                  <c:v>30</c:v>
                </c:pt>
                <c:pt idx="27">
                  <c:v>25</c:v>
                </c:pt>
                <c:pt idx="31">
                  <c:v>30</c:v>
                </c:pt>
                <c:pt idx="33">
                  <c:v>30</c:v>
                </c:pt>
                <c:pt idx="41">
                  <c:v>25</c:v>
                </c:pt>
                <c:pt idx="45">
                  <c:v>25</c:v>
                </c:pt>
                <c:pt idx="46">
                  <c:v>30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159685"/>
        <c:axId val="34616731"/>
      </c:lineChart>
      <c:catAx>
        <c:axId val="651596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16731"/>
        <c:crosses val="autoZero"/>
        <c:auto val="1"/>
        <c:lblAlgn val="ctr"/>
        <c:lblOffset val="100"/>
        <c:noMultiLvlLbl val="0"/>
      </c:catAx>
      <c:valAx>
        <c:axId val="34616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596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Tricep Ext Overhead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Progress!D1</c:f>
              <c:strCache>
                <c:ptCount val="1"/>
                <c:pt idx="0">
                  <c:v>Tricep Ext Overhead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Progress!$D$2:$D$52</c:f>
              <c:numCache>
                <c:formatCode>General</c:formatCode>
                <c:ptCount val="51"/>
                <c:pt idx="2">
                  <c:v>50</c:v>
                </c:pt>
                <c:pt idx="4">
                  <c:v>50</c:v>
                </c:pt>
                <c:pt idx="8">
                  <c:v>45</c:v>
                </c:pt>
                <c:pt idx="15">
                  <c:v>45</c:v>
                </c:pt>
                <c:pt idx="17">
                  <c:v>50</c:v>
                </c:pt>
                <c:pt idx="19">
                  <c:v>45</c:v>
                </c:pt>
                <c:pt idx="20">
                  <c:v>45</c:v>
                </c:pt>
                <c:pt idx="22">
                  <c:v>50</c:v>
                </c:pt>
                <c:pt idx="24">
                  <c:v>45</c:v>
                </c:pt>
                <c:pt idx="26">
                  <c:v>45</c:v>
                </c:pt>
                <c:pt idx="28">
                  <c:v>50</c:v>
                </c:pt>
                <c:pt idx="30">
                  <c:v>50</c:v>
                </c:pt>
                <c:pt idx="38">
                  <c:v>50</c:v>
                </c:pt>
                <c:pt idx="39">
                  <c:v>50</c:v>
                </c:pt>
                <c:pt idx="42">
                  <c:v>45</c:v>
                </c:pt>
                <c:pt idx="44">
                  <c:v>40</c:v>
                </c:pt>
                <c:pt idx="47">
                  <c:v>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365939"/>
        <c:axId val="1428403"/>
      </c:lineChart>
      <c:catAx>
        <c:axId val="353659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8403"/>
        <c:crosses val="autoZero"/>
        <c:auto val="1"/>
        <c:lblAlgn val="ctr"/>
        <c:lblOffset val="100"/>
        <c:noMultiLvlLbl val="0"/>
      </c:catAx>
      <c:valAx>
        <c:axId val="14284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659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Incline Bench (DB) (lbs)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Progress!O1</c:f>
              <c:strCache>
                <c:ptCount val="1"/>
                <c:pt idx="0">
                  <c:v>Incline Bench (DB)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Progress!$A$2:$A$52</c:f>
              <c:strCache>
                <c:ptCount val="51"/>
                <c:pt idx="0">
                  <c:v>2026-01-17</c:v>
                </c:pt>
                <c:pt idx="1">
                  <c:v>2026-01-20</c:v>
                </c:pt>
                <c:pt idx="2">
                  <c:v>2026-01-22</c:v>
                </c:pt>
                <c:pt idx="3">
                  <c:v>2026-01-23</c:v>
                </c:pt>
                <c:pt idx="4">
                  <c:v>2026-01-25</c:v>
                </c:pt>
                <c:pt idx="5">
                  <c:v>2026-01-27</c:v>
                </c:pt>
                <c:pt idx="6">
                  <c:v>2026-01-29</c:v>
                </c:pt>
                <c:pt idx="7">
                  <c:v>2026-02-07</c:v>
                </c:pt>
                <c:pt idx="8">
                  <c:v>2026-02-09</c:v>
                </c:pt>
                <c:pt idx="9">
                  <c:v>2026-02-10</c:v>
                </c:pt>
                <c:pt idx="10">
                  <c:v>2026-02-13</c:v>
                </c:pt>
                <c:pt idx="11">
                  <c:v>2026-02-15</c:v>
                </c:pt>
                <c:pt idx="12">
                  <c:v>2026-02-17</c:v>
                </c:pt>
                <c:pt idx="13">
                  <c:v>2026-02-20</c:v>
                </c:pt>
                <c:pt idx="14">
                  <c:v>2026-02-21</c:v>
                </c:pt>
                <c:pt idx="15">
                  <c:v>2026-02-22</c:v>
                </c:pt>
                <c:pt idx="16">
                  <c:v>2026-02-27</c:v>
                </c:pt>
                <c:pt idx="17">
                  <c:v>2026-04-05</c:v>
                </c:pt>
                <c:pt idx="18">
                  <c:v>2026-04-13</c:v>
                </c:pt>
                <c:pt idx="19">
                  <c:v>2026-04-15</c:v>
                </c:pt>
                <c:pt idx="20">
                  <c:v>2026-04-16</c:v>
                </c:pt>
                <c:pt idx="21">
                  <c:v>2026-04-17</c:v>
                </c:pt>
                <c:pt idx="22">
                  <c:v>2026-04-19</c:v>
                </c:pt>
                <c:pt idx="23">
                  <c:v>2026-04-22</c:v>
                </c:pt>
                <c:pt idx="24">
                  <c:v>2026-04-28</c:v>
                </c:pt>
                <c:pt idx="25">
                  <c:v>2026-04-30</c:v>
                </c:pt>
                <c:pt idx="26">
                  <c:v>2026-05-03</c:v>
                </c:pt>
                <c:pt idx="27">
                  <c:v>2026-05-09</c:v>
                </c:pt>
                <c:pt idx="28">
                  <c:v>2026-05-12</c:v>
                </c:pt>
                <c:pt idx="29">
                  <c:v>2026-05-14</c:v>
                </c:pt>
                <c:pt idx="30">
                  <c:v>2026-05-15</c:v>
                </c:pt>
                <c:pt idx="31">
                  <c:v>2026-05-17</c:v>
                </c:pt>
                <c:pt idx="32">
                  <c:v>2026-05-22</c:v>
                </c:pt>
                <c:pt idx="33">
                  <c:v>2026-05-23</c:v>
                </c:pt>
                <c:pt idx="34">
                  <c:v>2026-05-30</c:v>
                </c:pt>
                <c:pt idx="35">
                  <c:v>2026-06-04</c:v>
                </c:pt>
                <c:pt idx="36">
                  <c:v>2026-06-07</c:v>
                </c:pt>
                <c:pt idx="37">
                  <c:v>2026-06-11</c:v>
                </c:pt>
                <c:pt idx="38">
                  <c:v>2026-06-12</c:v>
                </c:pt>
                <c:pt idx="39">
                  <c:v>2026-06-16</c:v>
                </c:pt>
                <c:pt idx="40">
                  <c:v>2026-06-18</c:v>
                </c:pt>
                <c:pt idx="41">
                  <c:v>2026-06-23</c:v>
                </c:pt>
                <c:pt idx="42">
                  <c:v>2026-06-25</c:v>
                </c:pt>
                <c:pt idx="43">
                  <c:v>2026-06-28</c:v>
                </c:pt>
                <c:pt idx="44">
                  <c:v>2026-07-09</c:v>
                </c:pt>
                <c:pt idx="45">
                  <c:v>2026-07-10</c:v>
                </c:pt>
                <c:pt idx="46">
                  <c:v>2026-07-14</c:v>
                </c:pt>
                <c:pt idx="47">
                  <c:v>2026-07-16</c:v>
                </c:pt>
                <c:pt idx="48">
                  <c:v>2026-07-18</c:v>
                </c:pt>
                <c:pt idx="49">
                  <c:v>2026-07-19</c:v>
                </c:pt>
                <c:pt idx="50">
                  <c:v>2026-07-21</c:v>
                </c:pt>
              </c:strCache>
            </c:strRef>
          </c:cat>
          <c:val>
            <c:numRef>
              <c:f>Progress!$O$2:$O$52</c:f>
              <c:numCache>
                <c:formatCode>General</c:formatCode>
                <c:ptCount val="51"/>
                <c:pt idx="17">
                  <c:v>30</c:v>
                </c:pt>
                <c:pt idx="22">
                  <c:v>35</c:v>
                </c:pt>
                <c:pt idx="24">
                  <c:v>40</c:v>
                </c:pt>
                <c:pt idx="26">
                  <c:v>40</c:v>
                </c:pt>
                <c:pt idx="47">
                  <c:v>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355780"/>
        <c:axId val="91458260"/>
      </c:lineChart>
      <c:catAx>
        <c:axId val="593557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58260"/>
        <c:crosses val="autoZero"/>
        <c:auto val="1"/>
        <c:lblAlgn val="ctr"/>
        <c:lblOffset val="100"/>
        <c:noMultiLvlLbl val="0"/>
      </c:catAx>
      <c:valAx>
        <c:axId val="91458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578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Cardio calories per bout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Cardio!H1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Cardio!$A$2:$A$58</c:f>
              <c:strCache>
                <c:ptCount val="57"/>
                <c:pt idx="0">
                  <c:v>2026-01-16</c:v>
                </c:pt>
                <c:pt idx="1">
                  <c:v>2026-01-20</c:v>
                </c:pt>
                <c:pt idx="2">
                  <c:v>2026-01-23</c:v>
                </c:pt>
                <c:pt idx="3">
                  <c:v>2026-01-25</c:v>
                </c:pt>
                <c:pt idx="4">
                  <c:v>2026-01-29</c:v>
                </c:pt>
                <c:pt idx="5">
                  <c:v>2026-02-07</c:v>
                </c:pt>
                <c:pt idx="6">
                  <c:v>2026-02-09</c:v>
                </c:pt>
                <c:pt idx="7">
                  <c:v>2026-02-10</c:v>
                </c:pt>
                <c:pt idx="8">
                  <c:v>2026-02-21</c:v>
                </c:pt>
                <c:pt idx="9">
                  <c:v>2026-04-05</c:v>
                </c:pt>
                <c:pt idx="10">
                  <c:v>2026-04-07</c:v>
                </c:pt>
                <c:pt idx="11">
                  <c:v>2026-04-13</c:v>
                </c:pt>
                <c:pt idx="12">
                  <c:v>2026-04-15</c:v>
                </c:pt>
                <c:pt idx="13">
                  <c:v>2026-04-17</c:v>
                </c:pt>
                <c:pt idx="14">
                  <c:v>2026-04-19</c:v>
                </c:pt>
                <c:pt idx="15">
                  <c:v>2026-04-22</c:v>
                </c:pt>
                <c:pt idx="16">
                  <c:v>2026-04-28</c:v>
                </c:pt>
                <c:pt idx="17">
                  <c:v>2026-04-28</c:v>
                </c:pt>
                <c:pt idx="18">
                  <c:v>2026-04-30</c:v>
                </c:pt>
                <c:pt idx="19">
                  <c:v>2026-05-03</c:v>
                </c:pt>
                <c:pt idx="20">
                  <c:v>2026-05-03</c:v>
                </c:pt>
                <c:pt idx="21">
                  <c:v>2026-05-03</c:v>
                </c:pt>
                <c:pt idx="22">
                  <c:v>2026-05-03</c:v>
                </c:pt>
                <c:pt idx="23">
                  <c:v>2026-05-12</c:v>
                </c:pt>
                <c:pt idx="24">
                  <c:v>2026-05-14</c:v>
                </c:pt>
                <c:pt idx="25">
                  <c:v>2026-05-15</c:v>
                </c:pt>
                <c:pt idx="26">
                  <c:v>2026-05-19</c:v>
                </c:pt>
                <c:pt idx="27">
                  <c:v>2026-05-22</c:v>
                </c:pt>
                <c:pt idx="28">
                  <c:v>2026-05-23</c:v>
                </c:pt>
                <c:pt idx="29">
                  <c:v>2026-05-23</c:v>
                </c:pt>
                <c:pt idx="30">
                  <c:v>2026-05-25</c:v>
                </c:pt>
                <c:pt idx="31">
                  <c:v>2026-05-25</c:v>
                </c:pt>
                <c:pt idx="32">
                  <c:v>2026-05-28</c:v>
                </c:pt>
                <c:pt idx="33">
                  <c:v>2026-05-28</c:v>
                </c:pt>
                <c:pt idx="34">
                  <c:v>2026-05-29</c:v>
                </c:pt>
                <c:pt idx="35">
                  <c:v>2026-05-30</c:v>
                </c:pt>
                <c:pt idx="36">
                  <c:v>2026-06-07</c:v>
                </c:pt>
                <c:pt idx="37">
                  <c:v>2026-06-08</c:v>
                </c:pt>
                <c:pt idx="38">
                  <c:v>2026-06-09</c:v>
                </c:pt>
                <c:pt idx="39">
                  <c:v>2026-06-09</c:v>
                </c:pt>
                <c:pt idx="40">
                  <c:v>2026-06-11</c:v>
                </c:pt>
                <c:pt idx="41">
                  <c:v>2026-06-12</c:v>
                </c:pt>
                <c:pt idx="42">
                  <c:v>2026-06-16</c:v>
                </c:pt>
                <c:pt idx="43">
                  <c:v>2026-06-18</c:v>
                </c:pt>
                <c:pt idx="44">
                  <c:v>2026-06-23</c:v>
                </c:pt>
                <c:pt idx="45">
                  <c:v>2026-06-25</c:v>
                </c:pt>
                <c:pt idx="46">
                  <c:v>2026-06-28</c:v>
                </c:pt>
                <c:pt idx="47">
                  <c:v>2026-07-09</c:v>
                </c:pt>
                <c:pt idx="48">
                  <c:v>2026-07-10</c:v>
                </c:pt>
                <c:pt idx="49">
                  <c:v>2026-07-14</c:v>
                </c:pt>
                <c:pt idx="50">
                  <c:v>2026-07-14</c:v>
                </c:pt>
                <c:pt idx="51">
                  <c:v>2026-07-16</c:v>
                </c:pt>
                <c:pt idx="52">
                  <c:v>2026-07-17</c:v>
                </c:pt>
                <c:pt idx="53">
                  <c:v>2026-07-18</c:v>
                </c:pt>
                <c:pt idx="54">
                  <c:v>2026-07-19</c:v>
                </c:pt>
                <c:pt idx="55">
                  <c:v>2026-07-19</c:v>
                </c:pt>
                <c:pt idx="56">
                  <c:v>2026-07-21</c:v>
                </c:pt>
              </c:strCache>
            </c:strRef>
          </c:cat>
          <c:val>
            <c:numRef>
              <c:f>Cardio!$H$2:$H$58</c:f>
              <c:numCache>
                <c:formatCode>General</c:formatCode>
                <c:ptCount val="57"/>
                <c:pt idx="9">
                  <c:v>136</c:v>
                </c:pt>
                <c:pt idx="10">
                  <c:v>245</c:v>
                </c:pt>
                <c:pt idx="11">
                  <c:v>133</c:v>
                </c:pt>
                <c:pt idx="12">
                  <c:v>198</c:v>
                </c:pt>
                <c:pt idx="13">
                  <c:v>303</c:v>
                </c:pt>
                <c:pt idx="14">
                  <c:v>168</c:v>
                </c:pt>
                <c:pt idx="15">
                  <c:v>120</c:v>
                </c:pt>
                <c:pt idx="16">
                  <c:v>211</c:v>
                </c:pt>
                <c:pt idx="18">
                  <c:v>216</c:v>
                </c:pt>
                <c:pt idx="19">
                  <c:v>95</c:v>
                </c:pt>
                <c:pt idx="23">
                  <c:v>259</c:v>
                </c:pt>
                <c:pt idx="24">
                  <c:v>369</c:v>
                </c:pt>
                <c:pt idx="25">
                  <c:v>224</c:v>
                </c:pt>
                <c:pt idx="26">
                  <c:v>279</c:v>
                </c:pt>
                <c:pt idx="27">
                  <c:v>266</c:v>
                </c:pt>
                <c:pt idx="28">
                  <c:v>124</c:v>
                </c:pt>
                <c:pt idx="29">
                  <c:v>112</c:v>
                </c:pt>
                <c:pt idx="30">
                  <c:v>177</c:v>
                </c:pt>
                <c:pt idx="31">
                  <c:v>133</c:v>
                </c:pt>
                <c:pt idx="32">
                  <c:v>127</c:v>
                </c:pt>
                <c:pt idx="33">
                  <c:v>144</c:v>
                </c:pt>
                <c:pt idx="34">
                  <c:v>274</c:v>
                </c:pt>
                <c:pt idx="35">
                  <c:v>148</c:v>
                </c:pt>
                <c:pt idx="38">
                  <c:v>235</c:v>
                </c:pt>
                <c:pt idx="39">
                  <c:v>123</c:v>
                </c:pt>
                <c:pt idx="40">
                  <c:v>281</c:v>
                </c:pt>
                <c:pt idx="41">
                  <c:v>186</c:v>
                </c:pt>
                <c:pt idx="42">
                  <c:v>305</c:v>
                </c:pt>
                <c:pt idx="43">
                  <c:v>204</c:v>
                </c:pt>
                <c:pt idx="44">
                  <c:v>302</c:v>
                </c:pt>
                <c:pt idx="45">
                  <c:v>315</c:v>
                </c:pt>
                <c:pt idx="46">
                  <c:v>98</c:v>
                </c:pt>
                <c:pt idx="47">
                  <c:v>225</c:v>
                </c:pt>
                <c:pt idx="48">
                  <c:v>144</c:v>
                </c:pt>
                <c:pt idx="49">
                  <c:v>164</c:v>
                </c:pt>
                <c:pt idx="50">
                  <c:v>179</c:v>
                </c:pt>
                <c:pt idx="51">
                  <c:v>330</c:v>
                </c:pt>
                <c:pt idx="53">
                  <c:v>126</c:v>
                </c:pt>
                <c:pt idx="54">
                  <c:v>202</c:v>
                </c:pt>
                <c:pt idx="55">
                  <c:v>106</c:v>
                </c:pt>
                <c:pt idx="56">
                  <c:v>222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20991"/>
        <c:axId val="83646471"/>
      </c:lineChart>
      <c:catAx>
        <c:axId val="7520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46471"/>
        <c:crosses val="autoZero"/>
        <c:auto val="1"/>
        <c:lblAlgn val="ctr"/>
        <c:lblOffset val="100"/>
        <c:noMultiLvlLbl val="0"/>
      </c:catAx>
      <c:valAx>
        <c:axId val="83646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Calories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09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8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160920</xdr:rowOff>
    </xdr:from>
    <xdr:to>
      <xdr:col>17</xdr:col>
      <xdr:colOff>507600</xdr:colOff>
      <xdr:row>17</xdr:row>
      <xdr:rowOff>2880</xdr:rowOff>
    </xdr:to>
    <xdr:graphicFrame>
      <xdr:nvGraphicFramePr>
        <xdr:cNvPr id="1" name="Chart 2"/>
        <xdr:cNvGraphicFramePr/>
      </xdr:nvGraphicFramePr>
      <xdr:xfrm>
        <a:off x="55036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160560</xdr:rowOff>
    </xdr:from>
    <xdr:to>
      <xdr:col>8</xdr:col>
      <xdr:colOff>507600</xdr:colOff>
      <xdr:row>32</xdr:row>
      <xdr:rowOff>2880</xdr:rowOff>
    </xdr:to>
    <xdr:graphicFrame>
      <xdr:nvGraphicFramePr>
        <xdr:cNvPr id="2" name="Chart 3"/>
        <xdr:cNvGraphicFramePr/>
      </xdr:nvGraphicFramePr>
      <xdr:xfrm>
        <a:off x="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17</xdr:row>
      <xdr:rowOff>160560</xdr:rowOff>
    </xdr:from>
    <xdr:to>
      <xdr:col>17</xdr:col>
      <xdr:colOff>507600</xdr:colOff>
      <xdr:row>32</xdr:row>
      <xdr:rowOff>2880</xdr:rowOff>
    </xdr:to>
    <xdr:graphicFrame>
      <xdr:nvGraphicFramePr>
        <xdr:cNvPr id="3" name="Chart 4"/>
        <xdr:cNvGraphicFramePr/>
      </xdr:nvGraphicFramePr>
      <xdr:xfrm>
        <a:off x="550368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32</xdr:row>
      <xdr:rowOff>160920</xdr:rowOff>
    </xdr:from>
    <xdr:to>
      <xdr:col>8</xdr:col>
      <xdr:colOff>507600</xdr:colOff>
      <xdr:row>47</xdr:row>
      <xdr:rowOff>2880</xdr:rowOff>
    </xdr:to>
    <xdr:graphicFrame>
      <xdr:nvGraphicFramePr>
        <xdr:cNvPr id="4" name="Chart 5"/>
        <xdr:cNvGraphicFramePr/>
      </xdr:nvGraphicFramePr>
      <xdr:xfrm>
        <a:off x="0" y="6286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32</xdr:row>
      <xdr:rowOff>160920</xdr:rowOff>
    </xdr:from>
    <xdr:to>
      <xdr:col>17</xdr:col>
      <xdr:colOff>507600</xdr:colOff>
      <xdr:row>47</xdr:row>
      <xdr:rowOff>2880</xdr:rowOff>
    </xdr:to>
    <xdr:graphicFrame>
      <xdr:nvGraphicFramePr>
        <xdr:cNvPr id="5" name="Chart 6"/>
        <xdr:cNvGraphicFramePr/>
      </xdr:nvGraphicFramePr>
      <xdr:xfrm>
        <a:off x="5503680" y="6286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47</xdr:row>
      <xdr:rowOff>160560</xdr:rowOff>
    </xdr:from>
    <xdr:to>
      <xdr:col>8</xdr:col>
      <xdr:colOff>507600</xdr:colOff>
      <xdr:row>62</xdr:row>
      <xdr:rowOff>2880</xdr:rowOff>
    </xdr:to>
    <xdr:graphicFrame>
      <xdr:nvGraphicFramePr>
        <xdr:cNvPr id="6" name="Chart 7"/>
        <xdr:cNvGraphicFramePr/>
      </xdr:nvGraphicFramePr>
      <xdr:xfrm>
        <a:off x="0" y="9144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47</xdr:row>
      <xdr:rowOff>160560</xdr:rowOff>
    </xdr:from>
    <xdr:to>
      <xdr:col>17</xdr:col>
      <xdr:colOff>507600</xdr:colOff>
      <xdr:row>62</xdr:row>
      <xdr:rowOff>2880</xdr:rowOff>
    </xdr:to>
    <xdr:graphicFrame>
      <xdr:nvGraphicFramePr>
        <xdr:cNvPr id="7" name="Chart 8"/>
        <xdr:cNvGraphicFramePr/>
      </xdr:nvGraphicFramePr>
      <xdr:xfrm>
        <a:off x="5503680" y="9144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62</xdr:row>
      <xdr:rowOff>160920</xdr:rowOff>
    </xdr:from>
    <xdr:to>
      <xdr:col>8</xdr:col>
      <xdr:colOff>507600</xdr:colOff>
      <xdr:row>77</xdr:row>
      <xdr:rowOff>2880</xdr:rowOff>
    </xdr:to>
    <xdr:graphicFrame>
      <xdr:nvGraphicFramePr>
        <xdr:cNvPr id="8" name="Chart 9"/>
        <xdr:cNvGraphicFramePr/>
      </xdr:nvGraphicFramePr>
      <xdr:xfrm>
        <a:off x="0" y="1200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4"/>
    </row>
    <row r="4" customFormat="false" ht="15" hidden="false" customHeight="false" outlineLevel="0" collapsed="false">
      <c r="A4" s="5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/>
      <c r="B15" s="4" t="s">
        <v>20</v>
      </c>
    </row>
    <row r="16" customFormat="false" ht="15" hidden="false" customHeight="false" outlineLevel="0" collapsed="false">
      <c r="A16" s="3"/>
      <c r="B16" s="4"/>
    </row>
    <row r="17" customFormat="false" ht="15" hidden="false" customHeight="false" outlineLevel="0" collapsed="false">
      <c r="A17" s="5" t="s">
        <v>21</v>
      </c>
    </row>
    <row r="18" customFormat="false" ht="15" hidden="false" customHeight="false" outlineLevel="0" collapsed="false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  <c r="I18" s="6" t="s">
        <v>30</v>
      </c>
      <c r="J18" s="6" t="s">
        <v>31</v>
      </c>
      <c r="K18" s="6" t="s">
        <v>32</v>
      </c>
      <c r="L18" s="6" t="s">
        <v>33</v>
      </c>
      <c r="M18" s="6" t="s">
        <v>34</v>
      </c>
    </row>
    <row r="19" customFormat="false" ht="15" hidden="false" customHeight="false" outlineLevel="0" collapsed="false">
      <c r="A19" s="7" t="n">
        <v>46226</v>
      </c>
      <c r="B19" s="8" t="s">
        <v>35</v>
      </c>
      <c r="C19" s="8" t="s">
        <v>36</v>
      </c>
      <c r="D19" s="8" t="s">
        <v>37</v>
      </c>
      <c r="E19" s="8" t="s">
        <v>38</v>
      </c>
      <c r="F19" s="8" t="s">
        <v>39</v>
      </c>
      <c r="G19" s="8" t="n">
        <v>4</v>
      </c>
      <c r="H19" s="8" t="n">
        <v>110</v>
      </c>
      <c r="I19" s="8" t="n">
        <v>8</v>
      </c>
      <c r="J19" s="8" t="s">
        <v>40</v>
      </c>
      <c r="K19" s="8" t="s">
        <v>41</v>
      </c>
      <c r="L19" s="8" t="s">
        <v>41</v>
      </c>
      <c r="M19" s="8" t="s">
        <v>42</v>
      </c>
    </row>
    <row r="21" customFormat="false" ht="15" hidden="false" customHeight="false" outlineLevel="0" collapsed="false">
      <c r="A21" s="5" t="s">
        <v>43</v>
      </c>
    </row>
    <row r="22" customFormat="false" ht="15" hidden="false" customHeight="false" outlineLevel="0" collapsed="false">
      <c r="A22" s="3" t="s">
        <v>29</v>
      </c>
      <c r="B22" s="4" t="s">
        <v>44</v>
      </c>
    </row>
    <row r="23" customFormat="false" ht="15" hidden="false" customHeight="false" outlineLevel="0" collapsed="false">
      <c r="A23" s="3" t="s">
        <v>27</v>
      </c>
      <c r="B23" s="4" t="s">
        <v>45</v>
      </c>
    </row>
    <row r="24" customFormat="false" ht="15" hidden="false" customHeight="false" outlineLevel="0" collapsed="false">
      <c r="A24" s="3" t="s">
        <v>31</v>
      </c>
      <c r="B24" s="4" t="s">
        <v>46</v>
      </c>
    </row>
    <row r="25" customFormat="false" ht="15" hidden="false" customHeight="false" outlineLevel="0" collapsed="false">
      <c r="A25" s="3" t="s">
        <v>30</v>
      </c>
      <c r="B25" s="4" t="s">
        <v>47</v>
      </c>
    </row>
    <row r="26" customFormat="false" ht="15" hidden="false" customHeight="false" outlineLevel="0" collapsed="false">
      <c r="A26" s="3" t="s">
        <v>5</v>
      </c>
      <c r="B26" s="4" t="s">
        <v>48</v>
      </c>
    </row>
    <row r="27" customFormat="false" ht="15" hidden="false" customHeight="false" outlineLevel="0" collapsed="false">
      <c r="A27" s="3" t="s">
        <v>32</v>
      </c>
      <c r="B27" s="4" t="s">
        <v>49</v>
      </c>
    </row>
    <row r="28" customFormat="false" ht="15" hidden="false" customHeight="false" outlineLevel="0" collapsed="false">
      <c r="A28" s="3"/>
      <c r="B28" s="4"/>
    </row>
    <row r="29" customFormat="false" ht="15" hidden="false" customHeight="false" outlineLevel="0" collapsed="false">
      <c r="A29" s="5" t="s">
        <v>50</v>
      </c>
    </row>
    <row r="30" customFormat="false" ht="15" hidden="false" customHeight="false" outlineLevel="0" collapsed="false">
      <c r="A30" s="3" t="s">
        <v>51</v>
      </c>
      <c r="B30" s="4" t="s">
        <v>52</v>
      </c>
    </row>
    <row r="31" customFormat="false" ht="15" hidden="false" customHeight="false" outlineLevel="0" collapsed="false">
      <c r="A31" s="3"/>
      <c r="B31" s="4" t="s">
        <v>53</v>
      </c>
    </row>
    <row r="32" customFormat="false" ht="15" hidden="false" customHeight="false" outlineLevel="0" collapsed="false">
      <c r="A32" s="3" t="s">
        <v>54</v>
      </c>
      <c r="B32" s="4" t="s">
        <v>55</v>
      </c>
    </row>
    <row r="33" customFormat="false" ht="15" hidden="false" customHeight="false" outlineLevel="0" collapsed="false">
      <c r="A33" s="3" t="s">
        <v>56</v>
      </c>
      <c r="B33" s="4" t="s">
        <v>57</v>
      </c>
    </row>
    <row r="34" customFormat="false" ht="15" hidden="false" customHeight="false" outlineLevel="0" collapsed="false">
      <c r="A34" s="3" t="s">
        <v>58</v>
      </c>
      <c r="B34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40"/>
  </cols>
  <sheetData>
    <row r="1" customFormat="false" ht="15" hidden="false" customHeight="fals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</row>
    <row r="2" customFormat="false" ht="15" hidden="false" customHeight="false" outlineLevel="0" collapsed="false">
      <c r="A2" s="10" t="n">
        <v>46039</v>
      </c>
      <c r="B2" s="11" t="s">
        <v>60</v>
      </c>
      <c r="C2" s="11" t="s">
        <v>61</v>
      </c>
      <c r="D2" s="11" t="s">
        <v>62</v>
      </c>
      <c r="E2" s="11" t="s">
        <v>38</v>
      </c>
      <c r="F2" s="11" t="s">
        <v>39</v>
      </c>
      <c r="G2" s="11" t="n">
        <v>1</v>
      </c>
      <c r="H2" s="11" t="n">
        <v>50</v>
      </c>
      <c r="I2" s="11" t="n">
        <v>8</v>
      </c>
      <c r="J2" s="11" t="s">
        <v>40</v>
      </c>
      <c r="K2" s="11" t="n">
        <f aca="false">IF($J2="Y","",IF($F2="BW",$I2,$H2*$I2))</f>
        <v>400</v>
      </c>
      <c r="L2" s="11" t="str">
        <f aca="false">$D2&amp;"|"&amp;$H2</f>
        <v>Squats|50</v>
      </c>
      <c r="M2" s="11"/>
    </row>
    <row r="3" customFormat="false" ht="15" hidden="false" customHeight="false" outlineLevel="0" collapsed="false">
      <c r="A3" s="10" t="n">
        <v>46039</v>
      </c>
      <c r="B3" s="11" t="s">
        <v>60</v>
      </c>
      <c r="C3" s="11" t="s">
        <v>61</v>
      </c>
      <c r="D3" s="11" t="s">
        <v>62</v>
      </c>
      <c r="E3" s="11" t="s">
        <v>38</v>
      </c>
      <c r="F3" s="11" t="s">
        <v>39</v>
      </c>
      <c r="G3" s="11" t="n">
        <v>2</v>
      </c>
      <c r="H3" s="11" t="n">
        <v>50</v>
      </c>
      <c r="I3" s="11" t="n">
        <v>8</v>
      </c>
      <c r="J3" s="11" t="s">
        <v>40</v>
      </c>
      <c r="K3" s="11" t="n">
        <f aca="false">IF($J3="Y","",IF($F3="BW",$I3,$H3*$I3))</f>
        <v>400</v>
      </c>
      <c r="L3" s="11" t="str">
        <f aca="false">$D3&amp;"|"&amp;$H3</f>
        <v>Squats|50</v>
      </c>
      <c r="M3" s="11"/>
    </row>
    <row r="4" customFormat="false" ht="15" hidden="false" customHeight="false" outlineLevel="0" collapsed="false">
      <c r="A4" s="10" t="n">
        <v>46039</v>
      </c>
      <c r="B4" s="11" t="s">
        <v>60</v>
      </c>
      <c r="C4" s="11" t="s">
        <v>61</v>
      </c>
      <c r="D4" s="11" t="s">
        <v>62</v>
      </c>
      <c r="E4" s="11" t="s">
        <v>38</v>
      </c>
      <c r="F4" s="11" t="s">
        <v>39</v>
      </c>
      <c r="G4" s="11" t="n">
        <v>3</v>
      </c>
      <c r="H4" s="11" t="n">
        <v>50</v>
      </c>
      <c r="I4" s="11" t="n">
        <v>8</v>
      </c>
      <c r="J4" s="11" t="s">
        <v>40</v>
      </c>
      <c r="K4" s="11" t="n">
        <f aca="false">IF($J4="Y","",IF($F4="BW",$I4,$H4*$I4))</f>
        <v>400</v>
      </c>
      <c r="L4" s="11" t="str">
        <f aca="false">$D4&amp;"|"&amp;$H4</f>
        <v>Squats|50</v>
      </c>
      <c r="M4" s="11"/>
    </row>
    <row r="5" customFormat="false" ht="15" hidden="false" customHeight="false" outlineLevel="0" collapsed="false">
      <c r="A5" s="10" t="n">
        <v>46039</v>
      </c>
      <c r="B5" s="11" t="s">
        <v>60</v>
      </c>
      <c r="C5" s="11" t="s">
        <v>61</v>
      </c>
      <c r="D5" s="11" t="s">
        <v>63</v>
      </c>
      <c r="E5" s="11" t="s">
        <v>38</v>
      </c>
      <c r="F5" s="11" t="s">
        <v>39</v>
      </c>
      <c r="G5" s="11" t="n">
        <v>1</v>
      </c>
      <c r="H5" s="11" t="n">
        <v>20</v>
      </c>
      <c r="I5" s="11" t="n">
        <v>8</v>
      </c>
      <c r="J5" s="11" t="s">
        <v>40</v>
      </c>
      <c r="K5" s="11" t="n">
        <f aca="false">IF($J5="Y","",IF($F5="BW",$I5,$H5*$I5))</f>
        <v>160</v>
      </c>
      <c r="L5" s="11" t="str">
        <f aca="false">$D5&amp;"|"&amp;$H5</f>
        <v>RDLs|20</v>
      </c>
      <c r="M5" s="11"/>
    </row>
    <row r="6" customFormat="false" ht="15" hidden="false" customHeight="false" outlineLevel="0" collapsed="false">
      <c r="A6" s="10" t="n">
        <v>46039</v>
      </c>
      <c r="B6" s="11" t="s">
        <v>60</v>
      </c>
      <c r="C6" s="11" t="s">
        <v>61</v>
      </c>
      <c r="D6" s="11" t="s">
        <v>63</v>
      </c>
      <c r="E6" s="11" t="s">
        <v>38</v>
      </c>
      <c r="F6" s="11" t="s">
        <v>39</v>
      </c>
      <c r="G6" s="11" t="n">
        <v>2</v>
      </c>
      <c r="H6" s="11" t="n">
        <v>20</v>
      </c>
      <c r="I6" s="11" t="n">
        <v>8</v>
      </c>
      <c r="J6" s="11" t="s">
        <v>40</v>
      </c>
      <c r="K6" s="11" t="n">
        <f aca="false">IF($J6="Y","",IF($F6="BW",$I6,$H6*$I6))</f>
        <v>160</v>
      </c>
      <c r="L6" s="11" t="str">
        <f aca="false">$D6&amp;"|"&amp;$H6</f>
        <v>RDLs|20</v>
      </c>
      <c r="M6" s="11"/>
    </row>
    <row r="7" customFormat="false" ht="15" hidden="false" customHeight="false" outlineLevel="0" collapsed="false">
      <c r="A7" s="10" t="n">
        <v>46039</v>
      </c>
      <c r="B7" s="11" t="s">
        <v>60</v>
      </c>
      <c r="C7" s="11" t="s">
        <v>61</v>
      </c>
      <c r="D7" s="11" t="s">
        <v>63</v>
      </c>
      <c r="E7" s="11" t="s">
        <v>38</v>
      </c>
      <c r="F7" s="11" t="s">
        <v>39</v>
      </c>
      <c r="G7" s="11" t="n">
        <v>3</v>
      </c>
      <c r="H7" s="11" t="n">
        <v>20</v>
      </c>
      <c r="I7" s="11" t="n">
        <v>8</v>
      </c>
      <c r="J7" s="11" t="s">
        <v>40</v>
      </c>
      <c r="K7" s="11" t="n">
        <f aca="false">IF($J7="Y","",IF($F7="BW",$I7,$H7*$I7))</f>
        <v>160</v>
      </c>
      <c r="L7" s="11" t="str">
        <f aca="false">$D7&amp;"|"&amp;$H7</f>
        <v>RDLs|20</v>
      </c>
      <c r="M7" s="11"/>
    </row>
    <row r="8" customFormat="false" ht="15" hidden="false" customHeight="false" outlineLevel="0" collapsed="false">
      <c r="A8" s="10" t="n">
        <v>46039</v>
      </c>
      <c r="B8" s="11" t="s">
        <v>60</v>
      </c>
      <c r="C8" s="11" t="s">
        <v>61</v>
      </c>
      <c r="D8" s="11" t="s">
        <v>64</v>
      </c>
      <c r="E8" s="11" t="s">
        <v>38</v>
      </c>
      <c r="F8" s="11" t="s">
        <v>39</v>
      </c>
      <c r="G8" s="11" t="n">
        <v>1</v>
      </c>
      <c r="H8" s="11" t="n">
        <v>20</v>
      </c>
      <c r="I8" s="11" t="n">
        <v>15</v>
      </c>
      <c r="J8" s="11" t="s">
        <v>40</v>
      </c>
      <c r="K8" s="11" t="n">
        <f aca="false">IF($J8="Y","",IF($F8="BW",$I8,$H8*$I8))</f>
        <v>300</v>
      </c>
      <c r="L8" s="11" t="str">
        <f aca="false">$D8&amp;"|"&amp;$H8</f>
        <v>Calf Raises (Smith)|20</v>
      </c>
      <c r="M8" s="11"/>
    </row>
    <row r="9" customFormat="false" ht="15" hidden="false" customHeight="false" outlineLevel="0" collapsed="false">
      <c r="A9" s="10" t="n">
        <v>46039</v>
      </c>
      <c r="B9" s="11" t="s">
        <v>60</v>
      </c>
      <c r="C9" s="11" t="s">
        <v>61</v>
      </c>
      <c r="D9" s="11" t="s">
        <v>64</v>
      </c>
      <c r="E9" s="11" t="s">
        <v>38</v>
      </c>
      <c r="F9" s="11" t="s">
        <v>39</v>
      </c>
      <c r="G9" s="11" t="n">
        <v>2</v>
      </c>
      <c r="H9" s="11" t="n">
        <v>20</v>
      </c>
      <c r="I9" s="11" t="n">
        <v>15</v>
      </c>
      <c r="J9" s="11" t="s">
        <v>40</v>
      </c>
      <c r="K9" s="11" t="n">
        <f aca="false">IF($J9="Y","",IF($F9="BW",$I9,$H9*$I9))</f>
        <v>300</v>
      </c>
      <c r="L9" s="11" t="str">
        <f aca="false">$D9&amp;"|"&amp;$H9</f>
        <v>Calf Raises (Smith)|20</v>
      </c>
      <c r="M9" s="11"/>
    </row>
    <row r="10" customFormat="false" ht="15" hidden="false" customHeight="false" outlineLevel="0" collapsed="false">
      <c r="A10" s="10" t="n">
        <v>46039</v>
      </c>
      <c r="B10" s="11" t="s">
        <v>60</v>
      </c>
      <c r="C10" s="11" t="s">
        <v>61</v>
      </c>
      <c r="D10" s="11" t="s">
        <v>64</v>
      </c>
      <c r="E10" s="11" t="s">
        <v>38</v>
      </c>
      <c r="F10" s="11" t="s">
        <v>39</v>
      </c>
      <c r="G10" s="11" t="n">
        <v>3</v>
      </c>
      <c r="H10" s="11" t="n">
        <v>20</v>
      </c>
      <c r="I10" s="11" t="n">
        <v>15</v>
      </c>
      <c r="J10" s="11" t="s">
        <v>40</v>
      </c>
      <c r="K10" s="11" t="n">
        <f aca="false">IF($J10="Y","",IF($F10="BW",$I10,$H10*$I10))</f>
        <v>300</v>
      </c>
      <c r="L10" s="11" t="str">
        <f aca="false">$D10&amp;"|"&amp;$H10</f>
        <v>Calf Raises (Smith)|20</v>
      </c>
      <c r="M10" s="11"/>
    </row>
    <row r="11" customFormat="false" ht="15" hidden="false" customHeight="false" outlineLevel="0" collapsed="false">
      <c r="A11" s="10" t="n">
        <v>46039</v>
      </c>
      <c r="B11" s="11" t="s">
        <v>60</v>
      </c>
      <c r="C11" s="11" t="s">
        <v>61</v>
      </c>
      <c r="D11" s="11" t="s">
        <v>65</v>
      </c>
      <c r="E11" s="11" t="s">
        <v>66</v>
      </c>
      <c r="F11" s="11" t="s">
        <v>67</v>
      </c>
      <c r="G11" s="11" t="n">
        <v>1</v>
      </c>
      <c r="H11" s="11" t="n">
        <v>0</v>
      </c>
      <c r="I11" s="11" t="n">
        <v>10</v>
      </c>
      <c r="J11" s="11" t="s">
        <v>40</v>
      </c>
      <c r="K11" s="11" t="n">
        <f aca="false">IF($J11="Y","",IF($F11="BW",$I11,$H11*$I11))</f>
        <v>10</v>
      </c>
      <c r="L11" s="11" t="str">
        <f aca="false">$D11&amp;"|"&amp;$H11</f>
        <v>Lunges|0</v>
      </c>
      <c r="M11" s="11" t="s">
        <v>68</v>
      </c>
    </row>
    <row r="12" customFormat="false" ht="15" hidden="false" customHeight="false" outlineLevel="0" collapsed="false">
      <c r="A12" s="10" t="n">
        <v>46039</v>
      </c>
      <c r="B12" s="11" t="s">
        <v>60</v>
      </c>
      <c r="C12" s="11" t="s">
        <v>61</v>
      </c>
      <c r="D12" s="11" t="s">
        <v>65</v>
      </c>
      <c r="E12" s="11" t="s">
        <v>66</v>
      </c>
      <c r="F12" s="11" t="s">
        <v>67</v>
      </c>
      <c r="G12" s="11" t="n">
        <v>2</v>
      </c>
      <c r="H12" s="11" t="n">
        <v>0</v>
      </c>
      <c r="I12" s="11" t="n">
        <v>10</v>
      </c>
      <c r="J12" s="11" t="s">
        <v>40</v>
      </c>
      <c r="K12" s="11" t="n">
        <f aca="false">IF($J12="Y","",IF($F12="BW",$I12,$H12*$I12))</f>
        <v>10</v>
      </c>
      <c r="L12" s="11" t="str">
        <f aca="false">$D12&amp;"|"&amp;$H12</f>
        <v>Lunges|0</v>
      </c>
      <c r="M12" s="11" t="s">
        <v>68</v>
      </c>
    </row>
    <row r="13" customFormat="false" ht="15" hidden="false" customHeight="false" outlineLevel="0" collapsed="false">
      <c r="A13" s="10" t="n">
        <v>46039</v>
      </c>
      <c r="B13" s="11" t="s">
        <v>60</v>
      </c>
      <c r="C13" s="11" t="s">
        <v>61</v>
      </c>
      <c r="D13" s="11" t="s">
        <v>65</v>
      </c>
      <c r="E13" s="11" t="s">
        <v>66</v>
      </c>
      <c r="F13" s="11" t="s">
        <v>67</v>
      </c>
      <c r="G13" s="11" t="n">
        <v>3</v>
      </c>
      <c r="H13" s="11" t="n">
        <v>0</v>
      </c>
      <c r="I13" s="11" t="n">
        <v>10</v>
      </c>
      <c r="J13" s="11" t="s">
        <v>40</v>
      </c>
      <c r="K13" s="11" t="n">
        <f aca="false">IF($J13="Y","",IF($F13="BW",$I13,$H13*$I13))</f>
        <v>10</v>
      </c>
      <c r="L13" s="11" t="str">
        <f aca="false">$D13&amp;"|"&amp;$H13</f>
        <v>Lunges|0</v>
      </c>
      <c r="M13" s="11" t="s">
        <v>68</v>
      </c>
    </row>
    <row r="14" customFormat="false" ht="15" hidden="false" customHeight="false" outlineLevel="0" collapsed="false">
      <c r="A14" s="10" t="n">
        <v>46042</v>
      </c>
      <c r="B14" s="11" t="s">
        <v>69</v>
      </c>
      <c r="C14" s="11" t="s">
        <v>70</v>
      </c>
      <c r="D14" s="11" t="s">
        <v>71</v>
      </c>
      <c r="E14" s="11" t="s">
        <v>72</v>
      </c>
      <c r="F14" s="11" t="s">
        <v>39</v>
      </c>
      <c r="G14" s="11" t="n">
        <v>1</v>
      </c>
      <c r="H14" s="11" t="n">
        <v>20</v>
      </c>
      <c r="I14" s="11" t="n">
        <v>10</v>
      </c>
      <c r="J14" s="11" t="s">
        <v>40</v>
      </c>
      <c r="K14" s="11" t="n">
        <f aca="false">IF($J14="Y","",IF($F14="BW",$I14,$H14*$I14))</f>
        <v>200</v>
      </c>
      <c r="L14" s="11" t="str">
        <f aca="false">$D14&amp;"|"&amp;$H14</f>
        <v>Bench Press (DB)|20</v>
      </c>
      <c r="M14" s="11"/>
    </row>
    <row r="15" customFormat="false" ht="15" hidden="false" customHeight="false" outlineLevel="0" collapsed="false">
      <c r="A15" s="10" t="n">
        <v>46042</v>
      </c>
      <c r="B15" s="11" t="s">
        <v>69</v>
      </c>
      <c r="C15" s="11" t="s">
        <v>70</v>
      </c>
      <c r="D15" s="11" t="s">
        <v>71</v>
      </c>
      <c r="E15" s="11" t="s">
        <v>72</v>
      </c>
      <c r="F15" s="11" t="s">
        <v>39</v>
      </c>
      <c r="G15" s="11" t="n">
        <v>2</v>
      </c>
      <c r="H15" s="11" t="n">
        <v>35</v>
      </c>
      <c r="I15" s="11" t="n">
        <v>10</v>
      </c>
      <c r="J15" s="11" t="s">
        <v>40</v>
      </c>
      <c r="K15" s="11" t="n">
        <f aca="false">IF($J15="Y","",IF($F15="BW",$I15,$H15*$I15))</f>
        <v>350</v>
      </c>
      <c r="L15" s="11" t="str">
        <f aca="false">$D15&amp;"|"&amp;$H15</f>
        <v>Bench Press (DB)|35</v>
      </c>
      <c r="M15" s="11"/>
    </row>
    <row r="16" customFormat="false" ht="15" hidden="false" customHeight="false" outlineLevel="0" collapsed="false">
      <c r="A16" s="10" t="n">
        <v>46042</v>
      </c>
      <c r="B16" s="11" t="s">
        <v>69</v>
      </c>
      <c r="C16" s="11" t="s">
        <v>70</v>
      </c>
      <c r="D16" s="11" t="s">
        <v>71</v>
      </c>
      <c r="E16" s="11" t="s">
        <v>72</v>
      </c>
      <c r="F16" s="11" t="s">
        <v>39</v>
      </c>
      <c r="G16" s="11" t="n">
        <v>3</v>
      </c>
      <c r="H16" s="11" t="n">
        <v>40</v>
      </c>
      <c r="I16" s="11" t="n">
        <v>10</v>
      </c>
      <c r="J16" s="11" t="s">
        <v>40</v>
      </c>
      <c r="K16" s="11" t="n">
        <f aca="false">IF($J16="Y","",IF($F16="BW",$I16,$H16*$I16))</f>
        <v>400</v>
      </c>
      <c r="L16" s="11" t="str">
        <f aca="false">$D16&amp;"|"&amp;$H16</f>
        <v>Bench Press (DB)|40</v>
      </c>
      <c r="M16" s="11"/>
    </row>
    <row r="17" customFormat="false" ht="15" hidden="false" customHeight="false" outlineLevel="0" collapsed="false">
      <c r="A17" s="10" t="n">
        <v>46042</v>
      </c>
      <c r="B17" s="11" t="s">
        <v>69</v>
      </c>
      <c r="C17" s="11" t="s">
        <v>70</v>
      </c>
      <c r="D17" s="11" t="s">
        <v>71</v>
      </c>
      <c r="E17" s="11" t="s">
        <v>72</v>
      </c>
      <c r="F17" s="11" t="s">
        <v>39</v>
      </c>
      <c r="G17" s="11" t="n">
        <v>4</v>
      </c>
      <c r="H17" s="11" t="n">
        <v>40</v>
      </c>
      <c r="I17" s="11" t="n">
        <v>10</v>
      </c>
      <c r="J17" s="11" t="s">
        <v>40</v>
      </c>
      <c r="K17" s="11" t="n">
        <f aca="false">IF($J17="Y","",IF($F17="BW",$I17,$H17*$I17))</f>
        <v>400</v>
      </c>
      <c r="L17" s="11" t="str">
        <f aca="false">$D17&amp;"|"&amp;$H17</f>
        <v>Bench Press (DB)|40</v>
      </c>
      <c r="M17" s="11"/>
    </row>
    <row r="18" customFormat="false" ht="15" hidden="false" customHeight="false" outlineLevel="0" collapsed="false">
      <c r="A18" s="10" t="n">
        <v>46042</v>
      </c>
      <c r="B18" s="11" t="s">
        <v>69</v>
      </c>
      <c r="C18" s="11" t="s">
        <v>70</v>
      </c>
      <c r="D18" s="11" t="s">
        <v>73</v>
      </c>
      <c r="E18" s="11" t="s">
        <v>74</v>
      </c>
      <c r="F18" s="11" t="s">
        <v>75</v>
      </c>
      <c r="G18" s="11" t="n">
        <v>1</v>
      </c>
      <c r="H18" s="11" t="n">
        <v>12.5</v>
      </c>
      <c r="I18" s="11" t="n">
        <v>8</v>
      </c>
      <c r="J18" s="11" t="s">
        <v>40</v>
      </c>
      <c r="K18" s="11" t="n">
        <f aca="false">IF($J18="Y","",IF($F18="BW",$I18,$H18*$I18))</f>
        <v>100</v>
      </c>
      <c r="L18" s="11" t="str">
        <f aca="false">$D18&amp;"|"&amp;$H18</f>
        <v>Single Arm Lat Pulldown|12.5</v>
      </c>
      <c r="M18" s="11"/>
    </row>
    <row r="19" customFormat="false" ht="15" hidden="false" customHeight="false" outlineLevel="0" collapsed="false">
      <c r="A19" s="10" t="n">
        <v>46042</v>
      </c>
      <c r="B19" s="11" t="s">
        <v>69</v>
      </c>
      <c r="C19" s="11" t="s">
        <v>70</v>
      </c>
      <c r="D19" s="11" t="s">
        <v>73</v>
      </c>
      <c r="E19" s="11" t="s">
        <v>74</v>
      </c>
      <c r="F19" s="11" t="s">
        <v>75</v>
      </c>
      <c r="G19" s="11" t="n">
        <v>2</v>
      </c>
      <c r="H19" s="11" t="n">
        <v>15</v>
      </c>
      <c r="I19" s="11" t="n">
        <v>8</v>
      </c>
      <c r="J19" s="11" t="s">
        <v>40</v>
      </c>
      <c r="K19" s="11" t="n">
        <f aca="false">IF($J19="Y","",IF($F19="BW",$I19,$H19*$I19))</f>
        <v>120</v>
      </c>
      <c r="L19" s="11" t="str">
        <f aca="false">$D19&amp;"|"&amp;$H19</f>
        <v>Single Arm Lat Pulldown|15</v>
      </c>
      <c r="M19" s="11"/>
    </row>
    <row r="20" customFormat="false" ht="15" hidden="false" customHeight="false" outlineLevel="0" collapsed="false">
      <c r="A20" s="10" t="n">
        <v>46042</v>
      </c>
      <c r="B20" s="11" t="s">
        <v>69</v>
      </c>
      <c r="C20" s="11" t="s">
        <v>70</v>
      </c>
      <c r="D20" s="11" t="s">
        <v>73</v>
      </c>
      <c r="E20" s="11" t="s">
        <v>74</v>
      </c>
      <c r="F20" s="11" t="s">
        <v>75</v>
      </c>
      <c r="G20" s="11" t="n">
        <v>3</v>
      </c>
      <c r="H20" s="11" t="n">
        <v>15</v>
      </c>
      <c r="I20" s="11" t="n">
        <v>8</v>
      </c>
      <c r="J20" s="11" t="s">
        <v>40</v>
      </c>
      <c r="K20" s="11" t="n">
        <f aca="false">IF($J20="Y","",IF($F20="BW",$I20,$H20*$I20))</f>
        <v>120</v>
      </c>
      <c r="L20" s="11" t="str">
        <f aca="false">$D20&amp;"|"&amp;$H20</f>
        <v>Single Arm Lat Pulldown|15</v>
      </c>
      <c r="M20" s="11"/>
    </row>
    <row r="21" customFormat="false" ht="15" hidden="false" customHeight="false" outlineLevel="0" collapsed="false">
      <c r="A21" s="10" t="n">
        <v>46042</v>
      </c>
      <c r="B21" s="11" t="s">
        <v>69</v>
      </c>
      <c r="C21" s="11" t="s">
        <v>70</v>
      </c>
      <c r="D21" s="11" t="s">
        <v>76</v>
      </c>
      <c r="E21" s="11" t="s">
        <v>72</v>
      </c>
      <c r="F21" s="11" t="s">
        <v>39</v>
      </c>
      <c r="G21" s="11" t="n">
        <v>1</v>
      </c>
      <c r="H21" s="11" t="n">
        <v>25</v>
      </c>
      <c r="I21" s="11" t="n">
        <v>8</v>
      </c>
      <c r="J21" s="11" t="s">
        <v>40</v>
      </c>
      <c r="K21" s="11" t="n">
        <f aca="false">IF($J21="Y","",IF($F21="BW",$I21,$H21*$I21))</f>
        <v>200</v>
      </c>
      <c r="L21" s="11" t="str">
        <f aca="false">$D21&amp;"|"&amp;$H21</f>
        <v>Shoulder Press|25</v>
      </c>
      <c r="M21" s="11"/>
    </row>
    <row r="22" customFormat="false" ht="15" hidden="false" customHeight="false" outlineLevel="0" collapsed="false">
      <c r="A22" s="10" t="n">
        <v>46042</v>
      </c>
      <c r="B22" s="11" t="s">
        <v>69</v>
      </c>
      <c r="C22" s="11" t="s">
        <v>70</v>
      </c>
      <c r="D22" s="11" t="s">
        <v>76</v>
      </c>
      <c r="E22" s="11" t="s">
        <v>72</v>
      </c>
      <c r="F22" s="11" t="s">
        <v>39</v>
      </c>
      <c r="G22" s="11" t="n">
        <v>2</v>
      </c>
      <c r="H22" s="11" t="n">
        <v>30</v>
      </c>
      <c r="I22" s="11" t="n">
        <v>8</v>
      </c>
      <c r="J22" s="11" t="s">
        <v>40</v>
      </c>
      <c r="K22" s="11" t="n">
        <f aca="false">IF($J22="Y","",IF($F22="BW",$I22,$H22*$I22))</f>
        <v>240</v>
      </c>
      <c r="L22" s="11" t="str">
        <f aca="false">$D22&amp;"|"&amp;$H22</f>
        <v>Shoulder Press|30</v>
      </c>
      <c r="M22" s="11"/>
    </row>
    <row r="23" customFormat="false" ht="15" hidden="false" customHeight="false" outlineLevel="0" collapsed="false">
      <c r="A23" s="10" t="n">
        <v>46042</v>
      </c>
      <c r="B23" s="11" t="s">
        <v>69</v>
      </c>
      <c r="C23" s="11" t="s">
        <v>70</v>
      </c>
      <c r="D23" s="11" t="s">
        <v>77</v>
      </c>
      <c r="E23" s="11" t="s">
        <v>72</v>
      </c>
      <c r="F23" s="11" t="s">
        <v>39</v>
      </c>
      <c r="G23" s="11" t="n">
        <v>1</v>
      </c>
      <c r="H23" s="11" t="n">
        <v>25</v>
      </c>
      <c r="I23" s="11" t="n">
        <v>8</v>
      </c>
      <c r="J23" s="11" t="s">
        <v>40</v>
      </c>
      <c r="K23" s="11" t="n">
        <f aca="false">IF($J23="Y","",IF($F23="BW",$I23,$H23*$I23))</f>
        <v>200</v>
      </c>
      <c r="L23" s="11" t="str">
        <f aca="false">$D23&amp;"|"&amp;$H23</f>
        <v>Bicep Curls (DB)|25</v>
      </c>
      <c r="M23" s="11"/>
    </row>
    <row r="24" customFormat="false" ht="15" hidden="false" customHeight="false" outlineLevel="0" collapsed="false">
      <c r="A24" s="10" t="n">
        <v>46042</v>
      </c>
      <c r="B24" s="11" t="s">
        <v>69</v>
      </c>
      <c r="C24" s="11" t="s">
        <v>70</v>
      </c>
      <c r="D24" s="11" t="s">
        <v>77</v>
      </c>
      <c r="E24" s="11" t="s">
        <v>72</v>
      </c>
      <c r="F24" s="11" t="s">
        <v>39</v>
      </c>
      <c r="G24" s="11" t="n">
        <v>2</v>
      </c>
      <c r="H24" s="11" t="n">
        <v>25</v>
      </c>
      <c r="I24" s="11" t="n">
        <v>8</v>
      </c>
      <c r="J24" s="11" t="s">
        <v>40</v>
      </c>
      <c r="K24" s="11" t="n">
        <f aca="false">IF($J24="Y","",IF($F24="BW",$I24,$H24*$I24))</f>
        <v>200</v>
      </c>
      <c r="L24" s="11" t="str">
        <f aca="false">$D24&amp;"|"&amp;$H24</f>
        <v>Bicep Curls (DB)|25</v>
      </c>
      <c r="M24" s="11"/>
    </row>
    <row r="25" customFormat="false" ht="15" hidden="false" customHeight="false" outlineLevel="0" collapsed="false">
      <c r="A25" s="10" t="n">
        <v>46044</v>
      </c>
      <c r="B25" s="11" t="s">
        <v>35</v>
      </c>
      <c r="C25" s="11" t="s">
        <v>78</v>
      </c>
      <c r="D25" s="11" t="s">
        <v>79</v>
      </c>
      <c r="E25" s="11" t="s">
        <v>72</v>
      </c>
      <c r="F25" s="11" t="s">
        <v>39</v>
      </c>
      <c r="G25" s="11" t="n">
        <v>1</v>
      </c>
      <c r="H25" s="11" t="n">
        <v>15</v>
      </c>
      <c r="I25" s="11" t="n">
        <v>8</v>
      </c>
      <c r="J25" s="11" t="s">
        <v>40</v>
      </c>
      <c r="K25" s="11" t="n">
        <f aca="false">IF($J25="Y","",IF($F25="BW",$I25,$H25*$I25))</f>
        <v>120</v>
      </c>
      <c r="L25" s="11" t="str">
        <f aca="false">$D25&amp;"|"&amp;$H25</f>
        <v>DB Rows|15</v>
      </c>
      <c r="M25" s="11"/>
    </row>
    <row r="26" customFormat="false" ht="15" hidden="false" customHeight="false" outlineLevel="0" collapsed="false">
      <c r="A26" s="10" t="n">
        <v>46044</v>
      </c>
      <c r="B26" s="11" t="s">
        <v>35</v>
      </c>
      <c r="C26" s="11" t="s">
        <v>78</v>
      </c>
      <c r="D26" s="11" t="s">
        <v>79</v>
      </c>
      <c r="E26" s="11" t="s">
        <v>72</v>
      </c>
      <c r="F26" s="11" t="s">
        <v>39</v>
      </c>
      <c r="G26" s="11" t="n">
        <v>2</v>
      </c>
      <c r="H26" s="11" t="n">
        <v>25</v>
      </c>
      <c r="I26" s="11" t="n">
        <v>8</v>
      </c>
      <c r="J26" s="11" t="s">
        <v>40</v>
      </c>
      <c r="K26" s="11" t="n">
        <f aca="false">IF($J26="Y","",IF($F26="BW",$I26,$H26*$I26))</f>
        <v>200</v>
      </c>
      <c r="L26" s="11" t="str">
        <f aca="false">$D26&amp;"|"&amp;$H26</f>
        <v>DB Rows|25</v>
      </c>
      <c r="M26" s="11"/>
    </row>
    <row r="27" customFormat="false" ht="15" hidden="false" customHeight="false" outlineLevel="0" collapsed="false">
      <c r="A27" s="10" t="n">
        <v>46044</v>
      </c>
      <c r="B27" s="11" t="s">
        <v>35</v>
      </c>
      <c r="C27" s="11" t="s">
        <v>78</v>
      </c>
      <c r="D27" s="11" t="s">
        <v>79</v>
      </c>
      <c r="E27" s="11" t="s">
        <v>72</v>
      </c>
      <c r="F27" s="11" t="s">
        <v>39</v>
      </c>
      <c r="G27" s="11" t="n">
        <v>3</v>
      </c>
      <c r="H27" s="11" t="n">
        <v>30</v>
      </c>
      <c r="I27" s="11" t="n">
        <v>8</v>
      </c>
      <c r="J27" s="11" t="s">
        <v>40</v>
      </c>
      <c r="K27" s="11" t="n">
        <f aca="false">IF($J27="Y","",IF($F27="BW",$I27,$H27*$I27))</f>
        <v>240</v>
      </c>
      <c r="L27" s="11" t="str">
        <f aca="false">$D27&amp;"|"&amp;$H27</f>
        <v>DB Rows|30</v>
      </c>
      <c r="M27" s="11"/>
    </row>
    <row r="28" customFormat="false" ht="15" hidden="false" customHeight="false" outlineLevel="0" collapsed="false">
      <c r="A28" s="10" t="n">
        <v>46044</v>
      </c>
      <c r="B28" s="11" t="s">
        <v>35</v>
      </c>
      <c r="C28" s="11" t="s">
        <v>78</v>
      </c>
      <c r="D28" s="11" t="s">
        <v>79</v>
      </c>
      <c r="E28" s="11" t="s">
        <v>72</v>
      </c>
      <c r="F28" s="11" t="s">
        <v>39</v>
      </c>
      <c r="G28" s="11" t="n">
        <v>4</v>
      </c>
      <c r="H28" s="11" t="n">
        <v>30</v>
      </c>
      <c r="I28" s="11" t="n">
        <v>8</v>
      </c>
      <c r="J28" s="11" t="s">
        <v>40</v>
      </c>
      <c r="K28" s="11" t="n">
        <f aca="false">IF($J28="Y","",IF($F28="BW",$I28,$H28*$I28))</f>
        <v>240</v>
      </c>
      <c r="L28" s="11" t="str">
        <f aca="false">$D28&amp;"|"&amp;$H28</f>
        <v>DB Rows|30</v>
      </c>
      <c r="M28" s="11"/>
    </row>
    <row r="29" customFormat="false" ht="15" hidden="false" customHeight="false" outlineLevel="0" collapsed="false">
      <c r="A29" s="10" t="n">
        <v>46044</v>
      </c>
      <c r="B29" s="11" t="s">
        <v>35</v>
      </c>
      <c r="C29" s="11" t="s">
        <v>78</v>
      </c>
      <c r="D29" s="11" t="s">
        <v>77</v>
      </c>
      <c r="E29" s="11" t="s">
        <v>72</v>
      </c>
      <c r="F29" s="11" t="s">
        <v>39</v>
      </c>
      <c r="G29" s="11" t="n">
        <v>1</v>
      </c>
      <c r="H29" s="11" t="n">
        <v>25</v>
      </c>
      <c r="I29" s="11" t="n">
        <v>8</v>
      </c>
      <c r="J29" s="11" t="s">
        <v>40</v>
      </c>
      <c r="K29" s="11" t="n">
        <f aca="false">IF($J29="Y","",IF($F29="BW",$I29,$H29*$I29))</f>
        <v>200</v>
      </c>
      <c r="L29" s="11" t="str">
        <f aca="false">$D29&amp;"|"&amp;$H29</f>
        <v>Bicep Curls (DB)|25</v>
      </c>
      <c r="M29" s="11"/>
    </row>
    <row r="30" customFormat="false" ht="15" hidden="false" customHeight="false" outlineLevel="0" collapsed="false">
      <c r="A30" s="10" t="n">
        <v>46044</v>
      </c>
      <c r="B30" s="11" t="s">
        <v>35</v>
      </c>
      <c r="C30" s="11" t="s">
        <v>78</v>
      </c>
      <c r="D30" s="11" t="s">
        <v>77</v>
      </c>
      <c r="E30" s="11" t="s">
        <v>72</v>
      </c>
      <c r="F30" s="11" t="s">
        <v>39</v>
      </c>
      <c r="G30" s="11" t="n">
        <v>2</v>
      </c>
      <c r="H30" s="11" t="n">
        <v>30</v>
      </c>
      <c r="I30" s="11" t="n">
        <v>8</v>
      </c>
      <c r="J30" s="11" t="s">
        <v>40</v>
      </c>
      <c r="K30" s="11" t="n">
        <f aca="false">IF($J30="Y","",IF($F30="BW",$I30,$H30*$I30))</f>
        <v>240</v>
      </c>
      <c r="L30" s="11" t="str">
        <f aca="false">$D30&amp;"|"&amp;$H30</f>
        <v>Bicep Curls (DB)|30</v>
      </c>
      <c r="M30" s="11"/>
    </row>
    <row r="31" customFormat="false" ht="15" hidden="false" customHeight="false" outlineLevel="0" collapsed="false">
      <c r="A31" s="10" t="n">
        <v>46044</v>
      </c>
      <c r="B31" s="11" t="s">
        <v>35</v>
      </c>
      <c r="C31" s="11" t="s">
        <v>78</v>
      </c>
      <c r="D31" s="11" t="s">
        <v>77</v>
      </c>
      <c r="E31" s="11" t="s">
        <v>72</v>
      </c>
      <c r="F31" s="11" t="s">
        <v>39</v>
      </c>
      <c r="G31" s="11" t="n">
        <v>3</v>
      </c>
      <c r="H31" s="11" t="n">
        <v>30</v>
      </c>
      <c r="I31" s="11" t="n">
        <v>8</v>
      </c>
      <c r="J31" s="11" t="s">
        <v>40</v>
      </c>
      <c r="K31" s="11" t="n">
        <f aca="false">IF($J31="Y","",IF($F31="BW",$I31,$H31*$I31))</f>
        <v>240</v>
      </c>
      <c r="L31" s="11" t="str">
        <f aca="false">$D31&amp;"|"&amp;$H31</f>
        <v>Bicep Curls (DB)|30</v>
      </c>
      <c r="M31" s="11"/>
    </row>
    <row r="32" customFormat="false" ht="15" hidden="false" customHeight="false" outlineLevel="0" collapsed="false">
      <c r="A32" s="10" t="n">
        <v>46044</v>
      </c>
      <c r="B32" s="11" t="s">
        <v>35</v>
      </c>
      <c r="C32" s="11" t="s">
        <v>78</v>
      </c>
      <c r="D32" s="11" t="s">
        <v>80</v>
      </c>
      <c r="E32" s="11" t="s">
        <v>72</v>
      </c>
      <c r="F32" s="11" t="s">
        <v>39</v>
      </c>
      <c r="G32" s="11" t="n">
        <v>1</v>
      </c>
      <c r="H32" s="11" t="n">
        <v>20</v>
      </c>
      <c r="I32" s="11" t="n">
        <v>8</v>
      </c>
      <c r="J32" s="11" t="s">
        <v>40</v>
      </c>
      <c r="K32" s="11" t="n">
        <f aca="false">IF($J32="Y","",IF($F32="BW",$I32,$H32*$I32))</f>
        <v>160</v>
      </c>
      <c r="L32" s="11" t="str">
        <f aca="false">$D32&amp;"|"&amp;$H32</f>
        <v>Tricep Ext Overhead|20</v>
      </c>
      <c r="M32" s="11" t="s">
        <v>81</v>
      </c>
    </row>
    <row r="33" customFormat="false" ht="15" hidden="false" customHeight="false" outlineLevel="0" collapsed="false">
      <c r="A33" s="10" t="n">
        <v>46044</v>
      </c>
      <c r="B33" s="11" t="s">
        <v>35</v>
      </c>
      <c r="C33" s="11" t="s">
        <v>78</v>
      </c>
      <c r="D33" s="11" t="s">
        <v>80</v>
      </c>
      <c r="E33" s="11" t="s">
        <v>72</v>
      </c>
      <c r="F33" s="11" t="s">
        <v>39</v>
      </c>
      <c r="G33" s="11" t="n">
        <v>2</v>
      </c>
      <c r="H33" s="11" t="n">
        <v>40</v>
      </c>
      <c r="I33" s="11" t="n">
        <v>8</v>
      </c>
      <c r="J33" s="11" t="s">
        <v>40</v>
      </c>
      <c r="K33" s="11" t="n">
        <f aca="false">IF($J33="Y","",IF($F33="BW",$I33,$H33*$I33))</f>
        <v>320</v>
      </c>
      <c r="L33" s="11" t="str">
        <f aca="false">$D33&amp;"|"&amp;$H33</f>
        <v>Tricep Ext Overhead|40</v>
      </c>
      <c r="M33" s="11" t="s">
        <v>81</v>
      </c>
    </row>
    <row r="34" customFormat="false" ht="15" hidden="false" customHeight="false" outlineLevel="0" collapsed="false">
      <c r="A34" s="10" t="n">
        <v>46044</v>
      </c>
      <c r="B34" s="11" t="s">
        <v>35</v>
      </c>
      <c r="C34" s="11" t="s">
        <v>78</v>
      </c>
      <c r="D34" s="11" t="s">
        <v>80</v>
      </c>
      <c r="E34" s="11" t="s">
        <v>72</v>
      </c>
      <c r="F34" s="11" t="s">
        <v>39</v>
      </c>
      <c r="G34" s="11" t="n">
        <v>3</v>
      </c>
      <c r="H34" s="11" t="n">
        <v>50</v>
      </c>
      <c r="I34" s="11" t="n">
        <v>8</v>
      </c>
      <c r="J34" s="11" t="s">
        <v>40</v>
      </c>
      <c r="K34" s="11" t="n">
        <f aca="false">IF($J34="Y","",IF($F34="BW",$I34,$H34*$I34))</f>
        <v>400</v>
      </c>
      <c r="L34" s="11" t="str">
        <f aca="false">$D34&amp;"|"&amp;$H34</f>
        <v>Tricep Ext Overhead|50</v>
      </c>
      <c r="M34" s="11" t="s">
        <v>81</v>
      </c>
    </row>
    <row r="35" customFormat="false" ht="15" hidden="false" customHeight="false" outlineLevel="0" collapsed="false">
      <c r="A35" s="10" t="n">
        <v>46044</v>
      </c>
      <c r="B35" s="11" t="s">
        <v>35</v>
      </c>
      <c r="C35" s="11" t="s">
        <v>78</v>
      </c>
      <c r="D35" s="11" t="s">
        <v>80</v>
      </c>
      <c r="E35" s="11" t="s">
        <v>72</v>
      </c>
      <c r="F35" s="11" t="s">
        <v>39</v>
      </c>
      <c r="G35" s="11" t="n">
        <v>4</v>
      </c>
      <c r="H35" s="11" t="n">
        <v>50</v>
      </c>
      <c r="I35" s="11" t="n">
        <v>8</v>
      </c>
      <c r="J35" s="11" t="s">
        <v>40</v>
      </c>
      <c r="K35" s="11" t="n">
        <f aca="false">IF($J35="Y","",IF($F35="BW",$I35,$H35*$I35))</f>
        <v>400</v>
      </c>
      <c r="L35" s="11" t="str">
        <f aca="false">$D35&amp;"|"&amp;$H35</f>
        <v>Tricep Ext Overhead|50</v>
      </c>
      <c r="M35" s="11" t="s">
        <v>81</v>
      </c>
    </row>
    <row r="36" customFormat="false" ht="15" hidden="false" customHeight="false" outlineLevel="0" collapsed="false">
      <c r="A36" s="10" t="n">
        <v>46045</v>
      </c>
      <c r="B36" s="11" t="s">
        <v>82</v>
      </c>
      <c r="C36" s="11" t="s">
        <v>61</v>
      </c>
      <c r="D36" s="11" t="s">
        <v>62</v>
      </c>
      <c r="E36" s="11" t="s">
        <v>38</v>
      </c>
      <c r="F36" s="11" t="s">
        <v>39</v>
      </c>
      <c r="G36" s="11" t="n">
        <v>1</v>
      </c>
      <c r="H36" s="11" t="n">
        <v>50</v>
      </c>
      <c r="I36" s="11" t="n">
        <v>8</v>
      </c>
      <c r="J36" s="11" t="s">
        <v>40</v>
      </c>
      <c r="K36" s="11" t="n">
        <f aca="false">IF($J36="Y","",IF($F36="BW",$I36,$H36*$I36))</f>
        <v>400</v>
      </c>
      <c r="L36" s="11" t="str">
        <f aca="false">$D36&amp;"|"&amp;$H36</f>
        <v>Squats|50</v>
      </c>
      <c r="M36" s="11"/>
    </row>
    <row r="37" customFormat="false" ht="15" hidden="false" customHeight="false" outlineLevel="0" collapsed="false">
      <c r="A37" s="10" t="n">
        <v>46045</v>
      </c>
      <c r="B37" s="11" t="s">
        <v>82</v>
      </c>
      <c r="C37" s="11" t="s">
        <v>61</v>
      </c>
      <c r="D37" s="11" t="s">
        <v>62</v>
      </c>
      <c r="E37" s="11" t="s">
        <v>38</v>
      </c>
      <c r="F37" s="11" t="s">
        <v>39</v>
      </c>
      <c r="G37" s="11" t="n">
        <v>2</v>
      </c>
      <c r="H37" s="11" t="n">
        <v>50</v>
      </c>
      <c r="I37" s="11" t="n">
        <v>8</v>
      </c>
      <c r="J37" s="11" t="s">
        <v>40</v>
      </c>
      <c r="K37" s="11" t="n">
        <f aca="false">IF($J37="Y","",IF($F37="BW",$I37,$H37*$I37))</f>
        <v>400</v>
      </c>
      <c r="L37" s="11" t="str">
        <f aca="false">$D37&amp;"|"&amp;$H37</f>
        <v>Squats|50</v>
      </c>
      <c r="M37" s="11"/>
    </row>
    <row r="38" customFormat="false" ht="15" hidden="false" customHeight="false" outlineLevel="0" collapsed="false">
      <c r="A38" s="10" t="n">
        <v>46045</v>
      </c>
      <c r="B38" s="11" t="s">
        <v>82</v>
      </c>
      <c r="C38" s="11" t="s">
        <v>61</v>
      </c>
      <c r="D38" s="11" t="s">
        <v>62</v>
      </c>
      <c r="E38" s="11" t="s">
        <v>38</v>
      </c>
      <c r="F38" s="11" t="s">
        <v>39</v>
      </c>
      <c r="G38" s="11" t="n">
        <v>3</v>
      </c>
      <c r="H38" s="11" t="n">
        <v>50</v>
      </c>
      <c r="I38" s="11" t="n">
        <v>8</v>
      </c>
      <c r="J38" s="11" t="s">
        <v>40</v>
      </c>
      <c r="K38" s="11" t="n">
        <f aca="false">IF($J38="Y","",IF($F38="BW",$I38,$H38*$I38))</f>
        <v>400</v>
      </c>
      <c r="L38" s="11" t="str">
        <f aca="false">$D38&amp;"|"&amp;$H38</f>
        <v>Squats|50</v>
      </c>
      <c r="M38" s="11"/>
    </row>
    <row r="39" customFormat="false" ht="15" hidden="false" customHeight="false" outlineLevel="0" collapsed="false">
      <c r="A39" s="10" t="n">
        <v>46045</v>
      </c>
      <c r="B39" s="11" t="s">
        <v>82</v>
      </c>
      <c r="C39" s="11" t="s">
        <v>61</v>
      </c>
      <c r="D39" s="11" t="s">
        <v>65</v>
      </c>
      <c r="E39" s="11" t="s">
        <v>66</v>
      </c>
      <c r="F39" s="11" t="s">
        <v>67</v>
      </c>
      <c r="G39" s="11" t="n">
        <v>1</v>
      </c>
      <c r="H39" s="11" t="n">
        <v>0</v>
      </c>
      <c r="I39" s="11" t="n">
        <v>10</v>
      </c>
      <c r="J39" s="11" t="s">
        <v>40</v>
      </c>
      <c r="K39" s="11" t="n">
        <f aca="false">IF($J39="Y","",IF($F39="BW",$I39,$H39*$I39))</f>
        <v>10</v>
      </c>
      <c r="L39" s="11" t="str">
        <f aca="false">$D39&amp;"|"&amp;$H39</f>
        <v>Lunges|0</v>
      </c>
      <c r="M39" s="11" t="s">
        <v>68</v>
      </c>
    </row>
    <row r="40" customFormat="false" ht="15" hidden="false" customHeight="false" outlineLevel="0" collapsed="false">
      <c r="A40" s="10" t="n">
        <v>46045</v>
      </c>
      <c r="B40" s="11" t="s">
        <v>82</v>
      </c>
      <c r="C40" s="11" t="s">
        <v>61</v>
      </c>
      <c r="D40" s="11" t="s">
        <v>65</v>
      </c>
      <c r="E40" s="11" t="s">
        <v>66</v>
      </c>
      <c r="F40" s="11" t="s">
        <v>67</v>
      </c>
      <c r="G40" s="11" t="n">
        <v>2</v>
      </c>
      <c r="H40" s="11" t="n">
        <v>0</v>
      </c>
      <c r="I40" s="11" t="n">
        <v>8</v>
      </c>
      <c r="J40" s="11" t="s">
        <v>40</v>
      </c>
      <c r="K40" s="11" t="n">
        <f aca="false">IF($J40="Y","",IF($F40="BW",$I40,$H40*$I40))</f>
        <v>8</v>
      </c>
      <c r="L40" s="11" t="str">
        <f aca="false">$D40&amp;"|"&amp;$H40</f>
        <v>Lunges|0</v>
      </c>
      <c r="M40" s="11" t="s">
        <v>68</v>
      </c>
    </row>
    <row r="41" customFormat="false" ht="15" hidden="false" customHeight="false" outlineLevel="0" collapsed="false">
      <c r="A41" s="10" t="n">
        <v>46045</v>
      </c>
      <c r="B41" s="11" t="s">
        <v>82</v>
      </c>
      <c r="C41" s="11" t="s">
        <v>61</v>
      </c>
      <c r="D41" s="11" t="s">
        <v>63</v>
      </c>
      <c r="E41" s="11" t="s">
        <v>38</v>
      </c>
      <c r="F41" s="11" t="s">
        <v>39</v>
      </c>
      <c r="G41" s="11" t="n">
        <v>1</v>
      </c>
      <c r="H41" s="11" t="n">
        <v>20</v>
      </c>
      <c r="I41" s="11" t="n">
        <v>8</v>
      </c>
      <c r="J41" s="11" t="s">
        <v>40</v>
      </c>
      <c r="K41" s="11" t="n">
        <f aca="false">IF($J41="Y","",IF($F41="BW",$I41,$H41*$I41))</f>
        <v>160</v>
      </c>
      <c r="L41" s="11" t="str">
        <f aca="false">$D41&amp;"|"&amp;$H41</f>
        <v>RDLs|20</v>
      </c>
      <c r="M41" s="11"/>
    </row>
    <row r="42" customFormat="false" ht="15" hidden="false" customHeight="false" outlineLevel="0" collapsed="false">
      <c r="A42" s="10" t="n">
        <v>46045</v>
      </c>
      <c r="B42" s="11" t="s">
        <v>82</v>
      </c>
      <c r="C42" s="11" t="s">
        <v>61</v>
      </c>
      <c r="D42" s="11" t="s">
        <v>63</v>
      </c>
      <c r="E42" s="11" t="s">
        <v>38</v>
      </c>
      <c r="F42" s="11" t="s">
        <v>39</v>
      </c>
      <c r="G42" s="11" t="n">
        <v>2</v>
      </c>
      <c r="H42" s="11" t="n">
        <v>25</v>
      </c>
      <c r="I42" s="11" t="n">
        <v>8</v>
      </c>
      <c r="J42" s="11" t="s">
        <v>40</v>
      </c>
      <c r="K42" s="11" t="n">
        <f aca="false">IF($J42="Y","",IF($F42="BW",$I42,$H42*$I42))</f>
        <v>200</v>
      </c>
      <c r="L42" s="11" t="str">
        <f aca="false">$D42&amp;"|"&amp;$H42</f>
        <v>RDLs|25</v>
      </c>
      <c r="M42" s="11"/>
    </row>
    <row r="43" customFormat="false" ht="15" hidden="false" customHeight="false" outlineLevel="0" collapsed="false">
      <c r="A43" s="10" t="n">
        <v>46045</v>
      </c>
      <c r="B43" s="11" t="s">
        <v>82</v>
      </c>
      <c r="C43" s="11" t="s">
        <v>61</v>
      </c>
      <c r="D43" s="11" t="s">
        <v>63</v>
      </c>
      <c r="E43" s="11" t="s">
        <v>38</v>
      </c>
      <c r="F43" s="11" t="s">
        <v>39</v>
      </c>
      <c r="G43" s="11" t="n">
        <v>3</v>
      </c>
      <c r="H43" s="11" t="n">
        <v>30</v>
      </c>
      <c r="I43" s="11" t="n">
        <v>8</v>
      </c>
      <c r="J43" s="11" t="s">
        <v>40</v>
      </c>
      <c r="K43" s="11" t="n">
        <f aca="false">IF($J43="Y","",IF($F43="BW",$I43,$H43*$I43))</f>
        <v>240</v>
      </c>
      <c r="L43" s="11" t="str">
        <f aca="false">$D43&amp;"|"&amp;$H43</f>
        <v>RDLs|30</v>
      </c>
      <c r="M43" s="11"/>
    </row>
    <row r="44" customFormat="false" ht="15" hidden="false" customHeight="false" outlineLevel="0" collapsed="false">
      <c r="A44" s="10" t="n">
        <v>46045</v>
      </c>
      <c r="B44" s="11" t="s">
        <v>82</v>
      </c>
      <c r="C44" s="11" t="s">
        <v>61</v>
      </c>
      <c r="D44" s="11" t="s">
        <v>64</v>
      </c>
      <c r="E44" s="11" t="s">
        <v>38</v>
      </c>
      <c r="F44" s="11" t="s">
        <v>39</v>
      </c>
      <c r="G44" s="11" t="n">
        <v>1</v>
      </c>
      <c r="H44" s="11" t="n">
        <v>25</v>
      </c>
      <c r="I44" s="11" t="n">
        <v>8</v>
      </c>
      <c r="J44" s="11" t="s">
        <v>40</v>
      </c>
      <c r="K44" s="11" t="n">
        <f aca="false">IF($J44="Y","",IF($F44="BW",$I44,$H44*$I44))</f>
        <v>200</v>
      </c>
      <c r="L44" s="11" t="str">
        <f aca="false">$D44&amp;"|"&amp;$H44</f>
        <v>Calf Raises (Smith)|25</v>
      </c>
      <c r="M44" s="11"/>
    </row>
    <row r="45" customFormat="false" ht="15" hidden="false" customHeight="false" outlineLevel="0" collapsed="false">
      <c r="A45" s="10" t="n">
        <v>46045</v>
      </c>
      <c r="B45" s="11" t="s">
        <v>82</v>
      </c>
      <c r="C45" s="11" t="s">
        <v>61</v>
      </c>
      <c r="D45" s="11" t="s">
        <v>64</v>
      </c>
      <c r="E45" s="11" t="s">
        <v>38</v>
      </c>
      <c r="F45" s="11" t="s">
        <v>39</v>
      </c>
      <c r="G45" s="11" t="n">
        <v>2</v>
      </c>
      <c r="H45" s="11" t="n">
        <v>30</v>
      </c>
      <c r="I45" s="11" t="n">
        <v>15</v>
      </c>
      <c r="J45" s="11" t="s">
        <v>40</v>
      </c>
      <c r="K45" s="11" t="n">
        <f aca="false">IF($J45="Y","",IF($F45="BW",$I45,$H45*$I45))</f>
        <v>450</v>
      </c>
      <c r="L45" s="11" t="str">
        <f aca="false">$D45&amp;"|"&amp;$H45</f>
        <v>Calf Raises (Smith)|30</v>
      </c>
      <c r="M45" s="11"/>
    </row>
    <row r="46" customFormat="false" ht="15" hidden="false" customHeight="false" outlineLevel="0" collapsed="false">
      <c r="A46" s="10" t="n">
        <v>46045</v>
      </c>
      <c r="B46" s="11" t="s">
        <v>82</v>
      </c>
      <c r="C46" s="11" t="s">
        <v>61</v>
      </c>
      <c r="D46" s="11" t="s">
        <v>64</v>
      </c>
      <c r="E46" s="11" t="s">
        <v>38</v>
      </c>
      <c r="F46" s="11" t="s">
        <v>39</v>
      </c>
      <c r="G46" s="11" t="n">
        <v>3</v>
      </c>
      <c r="H46" s="11" t="n">
        <v>30</v>
      </c>
      <c r="I46" s="11" t="n">
        <v>17</v>
      </c>
      <c r="J46" s="11" t="s">
        <v>40</v>
      </c>
      <c r="K46" s="11" t="n">
        <f aca="false">IF($J46="Y","",IF($F46="BW",$I46,$H46*$I46))</f>
        <v>510</v>
      </c>
      <c r="L46" s="11" t="str">
        <f aca="false">$D46&amp;"|"&amp;$H46</f>
        <v>Calf Raises (Smith)|30</v>
      </c>
      <c r="M46" s="11"/>
    </row>
    <row r="47" customFormat="false" ht="15" hidden="false" customHeight="false" outlineLevel="0" collapsed="false">
      <c r="A47" s="12" t="n">
        <v>46047</v>
      </c>
      <c r="B47" s="13" t="s">
        <v>83</v>
      </c>
      <c r="C47" s="13" t="s">
        <v>36</v>
      </c>
      <c r="D47" s="13" t="s">
        <v>71</v>
      </c>
      <c r="E47" s="13" t="s">
        <v>72</v>
      </c>
      <c r="F47" s="13" t="s">
        <v>39</v>
      </c>
      <c r="G47" s="13" t="n">
        <v>1</v>
      </c>
      <c r="H47" s="13" t="n">
        <v>20</v>
      </c>
      <c r="I47" s="13" t="n">
        <v>8</v>
      </c>
      <c r="J47" s="13" t="s">
        <v>84</v>
      </c>
      <c r="K47" s="13" t="str">
        <f aca="false">IF($J47="Y","",IF($F47="BW",$I47,$H47*$I47))</f>
        <v/>
      </c>
      <c r="L47" s="13" t="str">
        <f aca="false">$D47&amp;"|"&amp;$H47</f>
        <v>Bench Press (DB)|20</v>
      </c>
      <c r="M47" s="13"/>
    </row>
    <row r="48" customFormat="false" ht="15" hidden="false" customHeight="false" outlineLevel="0" collapsed="false">
      <c r="A48" s="10" t="n">
        <v>46047</v>
      </c>
      <c r="B48" s="11" t="s">
        <v>83</v>
      </c>
      <c r="C48" s="11" t="s">
        <v>36</v>
      </c>
      <c r="D48" s="11" t="s">
        <v>71</v>
      </c>
      <c r="E48" s="11" t="s">
        <v>72</v>
      </c>
      <c r="F48" s="11" t="s">
        <v>39</v>
      </c>
      <c r="G48" s="11" t="n">
        <v>2</v>
      </c>
      <c r="H48" s="11" t="n">
        <v>35</v>
      </c>
      <c r="I48" s="11" t="n">
        <v>8</v>
      </c>
      <c r="J48" s="11" t="s">
        <v>40</v>
      </c>
      <c r="K48" s="11" t="n">
        <f aca="false">IF($J48="Y","",IF($F48="BW",$I48,$H48*$I48))</f>
        <v>280</v>
      </c>
      <c r="L48" s="11" t="str">
        <f aca="false">$D48&amp;"|"&amp;$H48</f>
        <v>Bench Press (DB)|35</v>
      </c>
      <c r="M48" s="11"/>
    </row>
    <row r="49" customFormat="false" ht="15" hidden="false" customHeight="false" outlineLevel="0" collapsed="false">
      <c r="A49" s="10" t="n">
        <v>46047</v>
      </c>
      <c r="B49" s="11" t="s">
        <v>83</v>
      </c>
      <c r="C49" s="11" t="s">
        <v>36</v>
      </c>
      <c r="D49" s="11" t="s">
        <v>71</v>
      </c>
      <c r="E49" s="11" t="s">
        <v>72</v>
      </c>
      <c r="F49" s="11" t="s">
        <v>39</v>
      </c>
      <c r="G49" s="11" t="n">
        <v>3</v>
      </c>
      <c r="H49" s="11" t="n">
        <v>40</v>
      </c>
      <c r="I49" s="11" t="n">
        <v>8</v>
      </c>
      <c r="J49" s="11" t="s">
        <v>40</v>
      </c>
      <c r="K49" s="11" t="n">
        <f aca="false">IF($J49="Y","",IF($F49="BW",$I49,$H49*$I49))</f>
        <v>320</v>
      </c>
      <c r="L49" s="11" t="str">
        <f aca="false">$D49&amp;"|"&amp;$H49</f>
        <v>Bench Press (DB)|40</v>
      </c>
      <c r="M49" s="11"/>
    </row>
    <row r="50" customFormat="false" ht="15" hidden="false" customHeight="false" outlineLevel="0" collapsed="false">
      <c r="A50" s="10" t="n">
        <v>46047</v>
      </c>
      <c r="B50" s="11" t="s">
        <v>83</v>
      </c>
      <c r="C50" s="11" t="s">
        <v>36</v>
      </c>
      <c r="D50" s="11" t="s">
        <v>71</v>
      </c>
      <c r="E50" s="11" t="s">
        <v>72</v>
      </c>
      <c r="F50" s="11" t="s">
        <v>39</v>
      </c>
      <c r="G50" s="11" t="n">
        <v>4</v>
      </c>
      <c r="H50" s="11" t="n">
        <v>40</v>
      </c>
      <c r="I50" s="11" t="n">
        <v>8</v>
      </c>
      <c r="J50" s="11" t="s">
        <v>40</v>
      </c>
      <c r="K50" s="11" t="n">
        <f aca="false">IF($J50="Y","",IF($F50="BW",$I50,$H50*$I50))</f>
        <v>320</v>
      </c>
      <c r="L50" s="11" t="str">
        <f aca="false">$D50&amp;"|"&amp;$H50</f>
        <v>Bench Press (DB)|40</v>
      </c>
      <c r="M50" s="11"/>
    </row>
    <row r="51" customFormat="false" ht="15" hidden="false" customHeight="false" outlineLevel="0" collapsed="false">
      <c r="A51" s="10" t="n">
        <v>46047</v>
      </c>
      <c r="B51" s="11" t="s">
        <v>83</v>
      </c>
      <c r="C51" s="11" t="s">
        <v>36</v>
      </c>
      <c r="D51" s="11" t="s">
        <v>85</v>
      </c>
      <c r="E51" s="11" t="s">
        <v>72</v>
      </c>
      <c r="F51" s="11" t="s">
        <v>39</v>
      </c>
      <c r="G51" s="11" t="n">
        <v>1</v>
      </c>
      <c r="H51" s="11" t="n">
        <v>15</v>
      </c>
      <c r="I51" s="11" t="n">
        <v>10</v>
      </c>
      <c r="J51" s="11" t="s">
        <v>40</v>
      </c>
      <c r="K51" s="11" t="n">
        <f aca="false">IF($J51="Y","",IF($F51="BW",$I51,$H51*$I51))</f>
        <v>150</v>
      </c>
      <c r="L51" s="11" t="str">
        <f aca="false">$D51&amp;"|"&amp;$H51</f>
        <v>Incline Flyes|15</v>
      </c>
      <c r="M51" s="11"/>
    </row>
    <row r="52" customFormat="false" ht="15" hidden="false" customHeight="false" outlineLevel="0" collapsed="false">
      <c r="A52" s="10" t="n">
        <v>46047</v>
      </c>
      <c r="B52" s="11" t="s">
        <v>83</v>
      </c>
      <c r="C52" s="11" t="s">
        <v>36</v>
      </c>
      <c r="D52" s="11" t="s">
        <v>85</v>
      </c>
      <c r="E52" s="11" t="s">
        <v>72</v>
      </c>
      <c r="F52" s="11" t="s">
        <v>39</v>
      </c>
      <c r="G52" s="11" t="n">
        <v>2</v>
      </c>
      <c r="H52" s="11" t="n">
        <v>20</v>
      </c>
      <c r="I52" s="11" t="n">
        <v>10</v>
      </c>
      <c r="J52" s="11" t="s">
        <v>40</v>
      </c>
      <c r="K52" s="11" t="n">
        <f aca="false">IF($J52="Y","",IF($F52="BW",$I52,$H52*$I52))</f>
        <v>200</v>
      </c>
      <c r="L52" s="11" t="str">
        <f aca="false">$D52&amp;"|"&amp;$H52</f>
        <v>Incline Flyes|20</v>
      </c>
      <c r="M52" s="11"/>
    </row>
    <row r="53" customFormat="false" ht="15" hidden="false" customHeight="false" outlineLevel="0" collapsed="false">
      <c r="A53" s="10" t="n">
        <v>46047</v>
      </c>
      <c r="B53" s="11" t="s">
        <v>83</v>
      </c>
      <c r="C53" s="11" t="s">
        <v>36</v>
      </c>
      <c r="D53" s="11" t="s">
        <v>85</v>
      </c>
      <c r="E53" s="11" t="s">
        <v>72</v>
      </c>
      <c r="F53" s="11" t="s">
        <v>39</v>
      </c>
      <c r="G53" s="11" t="n">
        <v>3</v>
      </c>
      <c r="H53" s="11" t="n">
        <v>20</v>
      </c>
      <c r="I53" s="11" t="n">
        <v>10</v>
      </c>
      <c r="J53" s="11" t="s">
        <v>40</v>
      </c>
      <c r="K53" s="11" t="n">
        <f aca="false">IF($J53="Y","",IF($F53="BW",$I53,$H53*$I53))</f>
        <v>200</v>
      </c>
      <c r="L53" s="11" t="str">
        <f aca="false">$D53&amp;"|"&amp;$H53</f>
        <v>Incline Flyes|20</v>
      </c>
      <c r="M53" s="11"/>
    </row>
    <row r="54" customFormat="false" ht="15" hidden="false" customHeight="false" outlineLevel="0" collapsed="false">
      <c r="A54" s="12" t="n">
        <v>46047</v>
      </c>
      <c r="B54" s="13" t="s">
        <v>83</v>
      </c>
      <c r="C54" s="13" t="s">
        <v>36</v>
      </c>
      <c r="D54" s="13" t="s">
        <v>80</v>
      </c>
      <c r="E54" s="13" t="s">
        <v>72</v>
      </c>
      <c r="F54" s="13" t="s">
        <v>39</v>
      </c>
      <c r="G54" s="13" t="n">
        <v>1</v>
      </c>
      <c r="H54" s="13" t="n">
        <v>25</v>
      </c>
      <c r="I54" s="13" t="n">
        <v>8</v>
      </c>
      <c r="J54" s="13" t="s">
        <v>84</v>
      </c>
      <c r="K54" s="13" t="str">
        <f aca="false">IF($J54="Y","",IF($F54="BW",$I54,$H54*$I54))</f>
        <v/>
      </c>
      <c r="L54" s="13" t="str">
        <f aca="false">$D54&amp;"|"&amp;$H54</f>
        <v>Tricep Ext Overhead|25</v>
      </c>
      <c r="M54" s="13"/>
    </row>
    <row r="55" customFormat="false" ht="15" hidden="false" customHeight="false" outlineLevel="0" collapsed="false">
      <c r="A55" s="10" t="n">
        <v>46047</v>
      </c>
      <c r="B55" s="11" t="s">
        <v>83</v>
      </c>
      <c r="C55" s="11" t="s">
        <v>36</v>
      </c>
      <c r="D55" s="11" t="s">
        <v>80</v>
      </c>
      <c r="E55" s="11" t="s">
        <v>72</v>
      </c>
      <c r="F55" s="11" t="s">
        <v>39</v>
      </c>
      <c r="G55" s="11" t="n">
        <v>2</v>
      </c>
      <c r="H55" s="11" t="n">
        <v>40</v>
      </c>
      <c r="I55" s="11" t="n">
        <v>8</v>
      </c>
      <c r="J55" s="11" t="s">
        <v>40</v>
      </c>
      <c r="K55" s="11" t="n">
        <f aca="false">IF($J55="Y","",IF($F55="BW",$I55,$H55*$I55))</f>
        <v>320</v>
      </c>
      <c r="L55" s="11" t="str">
        <f aca="false">$D55&amp;"|"&amp;$H55</f>
        <v>Tricep Ext Overhead|40</v>
      </c>
      <c r="M55" s="11"/>
    </row>
    <row r="56" customFormat="false" ht="15" hidden="false" customHeight="false" outlineLevel="0" collapsed="false">
      <c r="A56" s="10" t="n">
        <v>46047</v>
      </c>
      <c r="B56" s="11" t="s">
        <v>83</v>
      </c>
      <c r="C56" s="11" t="s">
        <v>36</v>
      </c>
      <c r="D56" s="11" t="s">
        <v>80</v>
      </c>
      <c r="E56" s="11" t="s">
        <v>72</v>
      </c>
      <c r="F56" s="11" t="s">
        <v>39</v>
      </c>
      <c r="G56" s="11" t="n">
        <v>3</v>
      </c>
      <c r="H56" s="11" t="n">
        <v>50</v>
      </c>
      <c r="I56" s="11" t="n">
        <v>8</v>
      </c>
      <c r="J56" s="11" t="s">
        <v>40</v>
      </c>
      <c r="K56" s="11" t="n">
        <f aca="false">IF($J56="Y","",IF($F56="BW",$I56,$H56*$I56))</f>
        <v>400</v>
      </c>
      <c r="L56" s="11" t="str">
        <f aca="false">$D56&amp;"|"&amp;$H56</f>
        <v>Tricep Ext Overhead|50</v>
      </c>
      <c r="M56" s="11"/>
    </row>
    <row r="57" customFormat="false" ht="15" hidden="false" customHeight="false" outlineLevel="0" collapsed="false">
      <c r="A57" s="10" t="n">
        <v>46047</v>
      </c>
      <c r="B57" s="11" t="s">
        <v>83</v>
      </c>
      <c r="C57" s="11" t="s">
        <v>36</v>
      </c>
      <c r="D57" s="11" t="s">
        <v>80</v>
      </c>
      <c r="E57" s="11" t="s">
        <v>72</v>
      </c>
      <c r="F57" s="11" t="s">
        <v>39</v>
      </c>
      <c r="G57" s="11" t="n">
        <v>4</v>
      </c>
      <c r="H57" s="11" t="n">
        <v>50</v>
      </c>
      <c r="I57" s="11" t="n">
        <v>8</v>
      </c>
      <c r="J57" s="11" t="s">
        <v>40</v>
      </c>
      <c r="K57" s="11" t="n">
        <f aca="false">IF($J57="Y","",IF($F57="BW",$I57,$H57*$I57))</f>
        <v>400</v>
      </c>
      <c r="L57" s="11" t="str">
        <f aca="false">$D57&amp;"|"&amp;$H57</f>
        <v>Tricep Ext Overhead|50</v>
      </c>
      <c r="M57" s="11"/>
    </row>
    <row r="58" customFormat="false" ht="15" hidden="false" customHeight="false" outlineLevel="0" collapsed="false">
      <c r="A58" s="10" t="n">
        <v>46049</v>
      </c>
      <c r="B58" s="11" t="s">
        <v>69</v>
      </c>
      <c r="C58" s="11" t="s">
        <v>86</v>
      </c>
      <c r="D58" s="11" t="s">
        <v>73</v>
      </c>
      <c r="E58" s="11" t="s">
        <v>74</v>
      </c>
      <c r="F58" s="11" t="s">
        <v>75</v>
      </c>
      <c r="G58" s="11" t="n">
        <v>1</v>
      </c>
      <c r="H58" s="11" t="n">
        <v>12.5</v>
      </c>
      <c r="I58" s="11" t="n">
        <v>8</v>
      </c>
      <c r="J58" s="11" t="s">
        <v>40</v>
      </c>
      <c r="K58" s="11" t="n">
        <f aca="false">IF($J58="Y","",IF($F58="BW",$I58,$H58*$I58))</f>
        <v>100</v>
      </c>
      <c r="L58" s="11" t="str">
        <f aca="false">$D58&amp;"|"&amp;$H58</f>
        <v>Single Arm Lat Pulldown|12.5</v>
      </c>
      <c r="M58" s="11" t="s">
        <v>87</v>
      </c>
    </row>
    <row r="59" customFormat="false" ht="15" hidden="false" customHeight="false" outlineLevel="0" collapsed="false">
      <c r="A59" s="10" t="n">
        <v>46049</v>
      </c>
      <c r="B59" s="11" t="s">
        <v>69</v>
      </c>
      <c r="C59" s="11" t="s">
        <v>86</v>
      </c>
      <c r="D59" s="11" t="s">
        <v>73</v>
      </c>
      <c r="E59" s="11" t="s">
        <v>74</v>
      </c>
      <c r="F59" s="11" t="s">
        <v>75</v>
      </c>
      <c r="G59" s="11" t="n">
        <v>2</v>
      </c>
      <c r="H59" s="11" t="n">
        <v>15</v>
      </c>
      <c r="I59" s="11" t="n">
        <v>8</v>
      </c>
      <c r="J59" s="11" t="s">
        <v>40</v>
      </c>
      <c r="K59" s="11" t="n">
        <f aca="false">IF($J59="Y","",IF($F59="BW",$I59,$H59*$I59))</f>
        <v>120</v>
      </c>
      <c r="L59" s="11" t="str">
        <f aca="false">$D59&amp;"|"&amp;$H59</f>
        <v>Single Arm Lat Pulldown|15</v>
      </c>
      <c r="M59" s="11" t="s">
        <v>87</v>
      </c>
    </row>
    <row r="60" customFormat="false" ht="15" hidden="false" customHeight="false" outlineLevel="0" collapsed="false">
      <c r="A60" s="10" t="n">
        <v>46049</v>
      </c>
      <c r="B60" s="11" t="s">
        <v>69</v>
      </c>
      <c r="C60" s="11" t="s">
        <v>86</v>
      </c>
      <c r="D60" s="11" t="s">
        <v>73</v>
      </c>
      <c r="E60" s="11" t="s">
        <v>74</v>
      </c>
      <c r="F60" s="11" t="s">
        <v>75</v>
      </c>
      <c r="G60" s="11" t="n">
        <v>3</v>
      </c>
      <c r="H60" s="11" t="n">
        <v>17.5</v>
      </c>
      <c r="I60" s="11" t="n">
        <v>8</v>
      </c>
      <c r="J60" s="11" t="s">
        <v>40</v>
      </c>
      <c r="K60" s="11" t="n">
        <f aca="false">IF($J60="Y","",IF($F60="BW",$I60,$H60*$I60))</f>
        <v>140</v>
      </c>
      <c r="L60" s="11" t="str">
        <f aca="false">$D60&amp;"|"&amp;$H60</f>
        <v>Single Arm Lat Pulldown|17.5</v>
      </c>
      <c r="M60" s="11" t="s">
        <v>87</v>
      </c>
    </row>
    <row r="61" customFormat="false" ht="15" hidden="false" customHeight="false" outlineLevel="0" collapsed="false">
      <c r="A61" s="12" t="n">
        <v>46049</v>
      </c>
      <c r="B61" s="13" t="s">
        <v>69</v>
      </c>
      <c r="C61" s="13" t="s">
        <v>86</v>
      </c>
      <c r="D61" s="13" t="s">
        <v>88</v>
      </c>
      <c r="E61" s="13" t="s">
        <v>38</v>
      </c>
      <c r="F61" s="13" t="s">
        <v>39</v>
      </c>
      <c r="G61" s="13" t="n">
        <v>1</v>
      </c>
      <c r="H61" s="13" t="n">
        <v>20</v>
      </c>
      <c r="I61" s="13" t="n">
        <v>8</v>
      </c>
      <c r="J61" s="13" t="s">
        <v>84</v>
      </c>
      <c r="K61" s="13" t="str">
        <f aca="false">IF($J61="Y","",IF($F61="BW",$I61,$H61*$I61))</f>
        <v/>
      </c>
      <c r="L61" s="13" t="str">
        <f aca="false">$D61&amp;"|"&amp;$H61</f>
        <v>Smith Rows|20</v>
      </c>
      <c r="M61" s="13"/>
    </row>
    <row r="62" customFormat="false" ht="15" hidden="false" customHeight="false" outlineLevel="0" collapsed="false">
      <c r="A62" s="10" t="n">
        <v>46049</v>
      </c>
      <c r="B62" s="11" t="s">
        <v>69</v>
      </c>
      <c r="C62" s="11" t="s">
        <v>86</v>
      </c>
      <c r="D62" s="11" t="s">
        <v>88</v>
      </c>
      <c r="E62" s="11" t="s">
        <v>38</v>
      </c>
      <c r="F62" s="11" t="s">
        <v>39</v>
      </c>
      <c r="G62" s="11" t="n">
        <v>2</v>
      </c>
      <c r="H62" s="11" t="n">
        <v>40</v>
      </c>
      <c r="I62" s="11" t="n">
        <v>8</v>
      </c>
      <c r="J62" s="11" t="s">
        <v>40</v>
      </c>
      <c r="K62" s="11" t="n">
        <f aca="false">IF($J62="Y","",IF($F62="BW",$I62,$H62*$I62))</f>
        <v>320</v>
      </c>
      <c r="L62" s="11" t="str">
        <f aca="false">$D62&amp;"|"&amp;$H62</f>
        <v>Smith Rows|40</v>
      </c>
      <c r="M62" s="11"/>
    </row>
    <row r="63" customFormat="false" ht="15" hidden="false" customHeight="false" outlineLevel="0" collapsed="false">
      <c r="A63" s="10" t="n">
        <v>46049</v>
      </c>
      <c r="B63" s="11" t="s">
        <v>69</v>
      </c>
      <c r="C63" s="11" t="s">
        <v>86</v>
      </c>
      <c r="D63" s="11" t="s">
        <v>88</v>
      </c>
      <c r="E63" s="11" t="s">
        <v>38</v>
      </c>
      <c r="F63" s="11" t="s">
        <v>39</v>
      </c>
      <c r="G63" s="11" t="n">
        <v>3</v>
      </c>
      <c r="H63" s="11" t="n">
        <v>50</v>
      </c>
      <c r="I63" s="11" t="n">
        <v>8</v>
      </c>
      <c r="J63" s="11" t="s">
        <v>40</v>
      </c>
      <c r="K63" s="11" t="n">
        <f aca="false">IF($J63="Y","",IF($F63="BW",$I63,$H63*$I63))</f>
        <v>400</v>
      </c>
      <c r="L63" s="11" t="str">
        <f aca="false">$D63&amp;"|"&amp;$H63</f>
        <v>Smith Rows|50</v>
      </c>
      <c r="M63" s="11"/>
    </row>
    <row r="64" customFormat="false" ht="15" hidden="false" customHeight="false" outlineLevel="0" collapsed="false">
      <c r="A64" s="10" t="n">
        <v>46049</v>
      </c>
      <c r="B64" s="11" t="s">
        <v>69</v>
      </c>
      <c r="C64" s="11" t="s">
        <v>86</v>
      </c>
      <c r="D64" s="11" t="s">
        <v>88</v>
      </c>
      <c r="E64" s="11" t="s">
        <v>38</v>
      </c>
      <c r="F64" s="11" t="s">
        <v>39</v>
      </c>
      <c r="G64" s="11" t="n">
        <v>4</v>
      </c>
      <c r="H64" s="11" t="n">
        <v>50</v>
      </c>
      <c r="I64" s="11" t="n">
        <v>8</v>
      </c>
      <c r="J64" s="11" t="s">
        <v>40</v>
      </c>
      <c r="K64" s="11" t="n">
        <f aca="false">IF($J64="Y","",IF($F64="BW",$I64,$H64*$I64))</f>
        <v>400</v>
      </c>
      <c r="L64" s="11" t="str">
        <f aca="false">$D64&amp;"|"&amp;$H64</f>
        <v>Smith Rows|50</v>
      </c>
      <c r="M64" s="11"/>
    </row>
    <row r="65" customFormat="false" ht="15" hidden="false" customHeight="false" outlineLevel="0" collapsed="false">
      <c r="A65" s="12" t="n">
        <v>46049</v>
      </c>
      <c r="B65" s="13" t="s">
        <v>69</v>
      </c>
      <c r="C65" s="13" t="s">
        <v>86</v>
      </c>
      <c r="D65" s="13" t="s">
        <v>76</v>
      </c>
      <c r="E65" s="13" t="s">
        <v>72</v>
      </c>
      <c r="F65" s="13" t="s">
        <v>39</v>
      </c>
      <c r="G65" s="13" t="n">
        <v>1</v>
      </c>
      <c r="H65" s="13" t="n">
        <v>15</v>
      </c>
      <c r="I65" s="13" t="n">
        <v>8</v>
      </c>
      <c r="J65" s="13" t="s">
        <v>84</v>
      </c>
      <c r="K65" s="13" t="str">
        <f aca="false">IF($J65="Y","",IF($F65="BW",$I65,$H65*$I65))</f>
        <v/>
      </c>
      <c r="L65" s="13" t="str">
        <f aca="false">$D65&amp;"|"&amp;$H65</f>
        <v>Shoulder Press|15</v>
      </c>
      <c r="M65" s="13" t="s">
        <v>89</v>
      </c>
    </row>
    <row r="66" customFormat="false" ht="15" hidden="false" customHeight="false" outlineLevel="0" collapsed="false">
      <c r="A66" s="10" t="n">
        <v>46049</v>
      </c>
      <c r="B66" s="11" t="s">
        <v>69</v>
      </c>
      <c r="C66" s="11" t="s">
        <v>86</v>
      </c>
      <c r="D66" s="11" t="s">
        <v>76</v>
      </c>
      <c r="E66" s="11" t="s">
        <v>72</v>
      </c>
      <c r="F66" s="11" t="s">
        <v>39</v>
      </c>
      <c r="G66" s="11" t="n">
        <v>2</v>
      </c>
      <c r="H66" s="11" t="n">
        <v>30</v>
      </c>
      <c r="I66" s="11" t="n">
        <v>8</v>
      </c>
      <c r="J66" s="11" t="s">
        <v>40</v>
      </c>
      <c r="K66" s="11" t="n">
        <f aca="false">IF($J66="Y","",IF($F66="BW",$I66,$H66*$I66))</f>
        <v>240</v>
      </c>
      <c r="L66" s="11" t="str">
        <f aca="false">$D66&amp;"|"&amp;$H66</f>
        <v>Shoulder Press|30</v>
      </c>
      <c r="M66" s="11" t="s">
        <v>89</v>
      </c>
    </row>
    <row r="67" customFormat="false" ht="15" hidden="false" customHeight="false" outlineLevel="0" collapsed="false">
      <c r="A67" s="10" t="n">
        <v>46049</v>
      </c>
      <c r="B67" s="11" t="s">
        <v>69</v>
      </c>
      <c r="C67" s="11" t="s">
        <v>86</v>
      </c>
      <c r="D67" s="11" t="s">
        <v>76</v>
      </c>
      <c r="E67" s="11" t="s">
        <v>72</v>
      </c>
      <c r="F67" s="11" t="s">
        <v>39</v>
      </c>
      <c r="G67" s="11" t="n">
        <v>3</v>
      </c>
      <c r="H67" s="11" t="n">
        <v>30</v>
      </c>
      <c r="I67" s="11" t="n">
        <v>8</v>
      </c>
      <c r="J67" s="11" t="s">
        <v>40</v>
      </c>
      <c r="K67" s="11" t="n">
        <f aca="false">IF($J67="Y","",IF($F67="BW",$I67,$H67*$I67))</f>
        <v>240</v>
      </c>
      <c r="L67" s="11" t="str">
        <f aca="false">$D67&amp;"|"&amp;$H67</f>
        <v>Shoulder Press|30</v>
      </c>
      <c r="M67" s="11" t="s">
        <v>89</v>
      </c>
    </row>
    <row r="68" customFormat="false" ht="15" hidden="false" customHeight="false" outlineLevel="0" collapsed="false">
      <c r="A68" s="10" t="n">
        <v>46049</v>
      </c>
      <c r="B68" s="11" t="s">
        <v>69</v>
      </c>
      <c r="C68" s="11" t="s">
        <v>86</v>
      </c>
      <c r="D68" s="11" t="s">
        <v>76</v>
      </c>
      <c r="E68" s="11" t="s">
        <v>72</v>
      </c>
      <c r="F68" s="11" t="s">
        <v>39</v>
      </c>
      <c r="G68" s="11" t="n">
        <v>4</v>
      </c>
      <c r="H68" s="11" t="n">
        <v>35</v>
      </c>
      <c r="I68" s="11" t="n">
        <v>8</v>
      </c>
      <c r="J68" s="11" t="s">
        <v>40</v>
      </c>
      <c r="K68" s="11" t="n">
        <f aca="false">IF($J68="Y","",IF($F68="BW",$I68,$H68*$I68))</f>
        <v>280</v>
      </c>
      <c r="L68" s="11" t="str">
        <f aca="false">$D68&amp;"|"&amp;$H68</f>
        <v>Shoulder Press|35</v>
      </c>
      <c r="M68" s="11" t="s">
        <v>89</v>
      </c>
    </row>
    <row r="69" customFormat="false" ht="15" hidden="false" customHeight="false" outlineLevel="0" collapsed="false">
      <c r="A69" s="10" t="n">
        <v>46049</v>
      </c>
      <c r="B69" s="11" t="s">
        <v>69</v>
      </c>
      <c r="C69" s="11" t="s">
        <v>86</v>
      </c>
      <c r="D69" s="11" t="s">
        <v>90</v>
      </c>
      <c r="E69" s="11" t="s">
        <v>72</v>
      </c>
      <c r="F69" s="11" t="s">
        <v>39</v>
      </c>
      <c r="G69" s="11" t="n">
        <v>1</v>
      </c>
      <c r="H69" s="11" t="n">
        <v>10</v>
      </c>
      <c r="I69" s="11" t="n">
        <v>12</v>
      </c>
      <c r="J69" s="11" t="s">
        <v>40</v>
      </c>
      <c r="K69" s="11" t="n">
        <f aca="false">IF($J69="Y","",IF($F69="BW",$I69,$H69*$I69))</f>
        <v>120</v>
      </c>
      <c r="L69" s="11" t="str">
        <f aca="false">$D69&amp;"|"&amp;$H69</f>
        <v>Lateral Raises|10</v>
      </c>
      <c r="M69" s="11"/>
    </row>
    <row r="70" customFormat="false" ht="15" hidden="false" customHeight="false" outlineLevel="0" collapsed="false">
      <c r="A70" s="10" t="n">
        <v>46049</v>
      </c>
      <c r="B70" s="11" t="s">
        <v>69</v>
      </c>
      <c r="C70" s="11" t="s">
        <v>86</v>
      </c>
      <c r="D70" s="11" t="s">
        <v>90</v>
      </c>
      <c r="E70" s="11" t="s">
        <v>72</v>
      </c>
      <c r="F70" s="11" t="s">
        <v>39</v>
      </c>
      <c r="G70" s="11" t="n">
        <v>2</v>
      </c>
      <c r="H70" s="11" t="n">
        <v>10</v>
      </c>
      <c r="I70" s="11" t="n">
        <v>12</v>
      </c>
      <c r="J70" s="11" t="s">
        <v>40</v>
      </c>
      <c r="K70" s="11" t="n">
        <f aca="false">IF($J70="Y","",IF($F70="BW",$I70,$H70*$I70))</f>
        <v>120</v>
      </c>
      <c r="L70" s="11" t="str">
        <f aca="false">$D70&amp;"|"&amp;$H70</f>
        <v>Lateral Raises|10</v>
      </c>
      <c r="M70" s="11"/>
    </row>
    <row r="71" customFormat="false" ht="15" hidden="false" customHeight="false" outlineLevel="0" collapsed="false">
      <c r="A71" s="10" t="n">
        <v>46049</v>
      </c>
      <c r="B71" s="11" t="s">
        <v>69</v>
      </c>
      <c r="C71" s="11" t="s">
        <v>86</v>
      </c>
      <c r="D71" s="11" t="s">
        <v>90</v>
      </c>
      <c r="E71" s="11" t="s">
        <v>72</v>
      </c>
      <c r="F71" s="11" t="s">
        <v>39</v>
      </c>
      <c r="G71" s="11" t="n">
        <v>3</v>
      </c>
      <c r="H71" s="11" t="n">
        <v>10</v>
      </c>
      <c r="I71" s="11" t="n">
        <v>12</v>
      </c>
      <c r="J71" s="11" t="s">
        <v>40</v>
      </c>
      <c r="K71" s="11" t="n">
        <f aca="false">IF($J71="Y","",IF($F71="BW",$I71,$H71*$I71))</f>
        <v>120</v>
      </c>
      <c r="L71" s="11" t="str">
        <f aca="false">$D71&amp;"|"&amp;$H71</f>
        <v>Lateral Raises|10</v>
      </c>
      <c r="M71" s="11"/>
    </row>
    <row r="72" customFormat="false" ht="15" hidden="false" customHeight="false" outlineLevel="0" collapsed="false">
      <c r="A72" s="10" t="n">
        <v>46049</v>
      </c>
      <c r="B72" s="11" t="s">
        <v>69</v>
      </c>
      <c r="C72" s="11" t="s">
        <v>86</v>
      </c>
      <c r="D72" s="11" t="s">
        <v>91</v>
      </c>
      <c r="E72" s="11" t="s">
        <v>72</v>
      </c>
      <c r="F72" s="11" t="s">
        <v>39</v>
      </c>
      <c r="G72" s="11" t="n">
        <v>1</v>
      </c>
      <c r="H72" s="11" t="n">
        <v>40</v>
      </c>
      <c r="I72" s="11" t="n">
        <v>8</v>
      </c>
      <c r="J72" s="11" t="s">
        <v>40</v>
      </c>
      <c r="K72" s="11" t="n">
        <f aca="false">IF($J72="Y","",IF($F72="BW",$I72,$H72*$I72))</f>
        <v>320</v>
      </c>
      <c r="L72" s="11" t="str">
        <f aca="false">$D72&amp;"|"&amp;$H72</f>
        <v>Shrugs|40</v>
      </c>
      <c r="M72" s="11" t="s">
        <v>92</v>
      </c>
    </row>
    <row r="73" customFormat="false" ht="15" hidden="false" customHeight="false" outlineLevel="0" collapsed="false">
      <c r="A73" s="10" t="n">
        <v>46049</v>
      </c>
      <c r="B73" s="11" t="s">
        <v>69</v>
      </c>
      <c r="C73" s="11" t="s">
        <v>86</v>
      </c>
      <c r="D73" s="11" t="s">
        <v>91</v>
      </c>
      <c r="E73" s="11" t="s">
        <v>72</v>
      </c>
      <c r="F73" s="11" t="s">
        <v>39</v>
      </c>
      <c r="G73" s="11" t="n">
        <v>2</v>
      </c>
      <c r="H73" s="11" t="n">
        <v>40</v>
      </c>
      <c r="I73" s="11" t="n">
        <v>8</v>
      </c>
      <c r="J73" s="11" t="s">
        <v>40</v>
      </c>
      <c r="K73" s="11" t="n">
        <f aca="false">IF($J73="Y","",IF($F73="BW",$I73,$H73*$I73))</f>
        <v>320</v>
      </c>
      <c r="L73" s="11" t="str">
        <f aca="false">$D73&amp;"|"&amp;$H73</f>
        <v>Shrugs|40</v>
      </c>
      <c r="M73" s="11" t="s">
        <v>92</v>
      </c>
    </row>
    <row r="74" customFormat="false" ht="15" hidden="false" customHeight="false" outlineLevel="0" collapsed="false">
      <c r="A74" s="10" t="n">
        <v>46049</v>
      </c>
      <c r="B74" s="11" t="s">
        <v>69</v>
      </c>
      <c r="C74" s="11" t="s">
        <v>86</v>
      </c>
      <c r="D74" s="11" t="s">
        <v>91</v>
      </c>
      <c r="E74" s="11" t="s">
        <v>72</v>
      </c>
      <c r="F74" s="11" t="s">
        <v>39</v>
      </c>
      <c r="G74" s="11" t="n">
        <v>3</v>
      </c>
      <c r="H74" s="11" t="n">
        <v>45</v>
      </c>
      <c r="I74" s="11" t="n">
        <v>8</v>
      </c>
      <c r="J74" s="11" t="s">
        <v>40</v>
      </c>
      <c r="K74" s="11" t="n">
        <f aca="false">IF($J74="Y","",IF($F74="BW",$I74,$H74*$I74))</f>
        <v>360</v>
      </c>
      <c r="L74" s="11" t="str">
        <f aca="false">$D74&amp;"|"&amp;$H74</f>
        <v>Shrugs|45</v>
      </c>
      <c r="M74" s="11" t="s">
        <v>92</v>
      </c>
    </row>
    <row r="75" customFormat="false" ht="15" hidden="false" customHeight="false" outlineLevel="0" collapsed="false">
      <c r="A75" s="10" t="n">
        <v>46051</v>
      </c>
      <c r="B75" s="11" t="s">
        <v>35</v>
      </c>
      <c r="C75" s="11" t="s">
        <v>61</v>
      </c>
      <c r="D75" s="11" t="s">
        <v>62</v>
      </c>
      <c r="E75" s="11" t="s">
        <v>38</v>
      </c>
      <c r="F75" s="11" t="s">
        <v>39</v>
      </c>
      <c r="G75" s="11" t="n">
        <v>1</v>
      </c>
      <c r="H75" s="11" t="n">
        <v>25</v>
      </c>
      <c r="I75" s="11" t="n">
        <v>8</v>
      </c>
      <c r="J75" s="11" t="s">
        <v>40</v>
      </c>
      <c r="K75" s="11" t="n">
        <f aca="false">IF($J75="Y","",IF($F75="BW",$I75,$H75*$I75))</f>
        <v>200</v>
      </c>
      <c r="L75" s="11" t="str">
        <f aca="false">$D75&amp;"|"&amp;$H75</f>
        <v>Squats|25</v>
      </c>
      <c r="M75" s="11"/>
    </row>
    <row r="76" customFormat="false" ht="15" hidden="false" customHeight="false" outlineLevel="0" collapsed="false">
      <c r="A76" s="10" t="n">
        <v>46051</v>
      </c>
      <c r="B76" s="11" t="s">
        <v>35</v>
      </c>
      <c r="C76" s="11" t="s">
        <v>61</v>
      </c>
      <c r="D76" s="11" t="s">
        <v>62</v>
      </c>
      <c r="E76" s="11" t="s">
        <v>38</v>
      </c>
      <c r="F76" s="11" t="s">
        <v>39</v>
      </c>
      <c r="G76" s="11" t="n">
        <v>2</v>
      </c>
      <c r="H76" s="11" t="n">
        <v>35</v>
      </c>
      <c r="I76" s="11" t="n">
        <v>8</v>
      </c>
      <c r="J76" s="11" t="s">
        <v>40</v>
      </c>
      <c r="K76" s="11" t="n">
        <f aca="false">IF($J76="Y","",IF($F76="BW",$I76,$H76*$I76))</f>
        <v>280</v>
      </c>
      <c r="L76" s="11" t="str">
        <f aca="false">$D76&amp;"|"&amp;$H76</f>
        <v>Squats|35</v>
      </c>
      <c r="M76" s="11"/>
    </row>
    <row r="77" customFormat="false" ht="15" hidden="false" customHeight="false" outlineLevel="0" collapsed="false">
      <c r="A77" s="10" t="n">
        <v>46051</v>
      </c>
      <c r="B77" s="11" t="s">
        <v>35</v>
      </c>
      <c r="C77" s="11" t="s">
        <v>61</v>
      </c>
      <c r="D77" s="11" t="s">
        <v>62</v>
      </c>
      <c r="E77" s="11" t="s">
        <v>38</v>
      </c>
      <c r="F77" s="11" t="s">
        <v>39</v>
      </c>
      <c r="G77" s="11" t="n">
        <v>3</v>
      </c>
      <c r="H77" s="11" t="n">
        <v>50</v>
      </c>
      <c r="I77" s="11" t="n">
        <v>8</v>
      </c>
      <c r="J77" s="11" t="s">
        <v>40</v>
      </c>
      <c r="K77" s="11" t="n">
        <f aca="false">IF($J77="Y","",IF($F77="BW",$I77,$H77*$I77))</f>
        <v>400</v>
      </c>
      <c r="L77" s="11" t="str">
        <f aca="false">$D77&amp;"|"&amp;$H77</f>
        <v>Squats|50</v>
      </c>
      <c r="M77" s="11"/>
    </row>
    <row r="78" customFormat="false" ht="15" hidden="false" customHeight="false" outlineLevel="0" collapsed="false">
      <c r="A78" s="10" t="n">
        <v>46051</v>
      </c>
      <c r="B78" s="11" t="s">
        <v>35</v>
      </c>
      <c r="C78" s="11" t="s">
        <v>61</v>
      </c>
      <c r="D78" s="11" t="s">
        <v>62</v>
      </c>
      <c r="E78" s="11" t="s">
        <v>38</v>
      </c>
      <c r="F78" s="11" t="s">
        <v>39</v>
      </c>
      <c r="G78" s="11" t="n">
        <v>4</v>
      </c>
      <c r="H78" s="11" t="n">
        <v>50</v>
      </c>
      <c r="I78" s="11" t="n">
        <v>8</v>
      </c>
      <c r="J78" s="11" t="s">
        <v>40</v>
      </c>
      <c r="K78" s="11" t="n">
        <f aca="false">IF($J78="Y","",IF($F78="BW",$I78,$H78*$I78))</f>
        <v>400</v>
      </c>
      <c r="L78" s="11" t="str">
        <f aca="false">$D78&amp;"|"&amp;$H78</f>
        <v>Squats|50</v>
      </c>
      <c r="M78" s="11"/>
    </row>
    <row r="79" customFormat="false" ht="15" hidden="false" customHeight="false" outlineLevel="0" collapsed="false">
      <c r="A79" s="10" t="n">
        <v>46051</v>
      </c>
      <c r="B79" s="11" t="s">
        <v>35</v>
      </c>
      <c r="C79" s="11" t="s">
        <v>61</v>
      </c>
      <c r="D79" s="11" t="s">
        <v>65</v>
      </c>
      <c r="E79" s="11" t="s">
        <v>66</v>
      </c>
      <c r="F79" s="11" t="s">
        <v>67</v>
      </c>
      <c r="G79" s="11" t="n">
        <v>1</v>
      </c>
      <c r="H79" s="11" t="n">
        <v>0</v>
      </c>
      <c r="I79" s="11" t="n">
        <v>8</v>
      </c>
      <c r="J79" s="11" t="s">
        <v>40</v>
      </c>
      <c r="K79" s="11" t="n">
        <f aca="false">IF($J79="Y","",IF($F79="BW",$I79,$H79*$I79))</f>
        <v>8</v>
      </c>
      <c r="L79" s="11" t="str">
        <f aca="false">$D79&amp;"|"&amp;$H79</f>
        <v>Lunges|0</v>
      </c>
      <c r="M79" s="11" t="s">
        <v>68</v>
      </c>
    </row>
    <row r="80" customFormat="false" ht="15" hidden="false" customHeight="false" outlineLevel="0" collapsed="false">
      <c r="A80" s="10" t="n">
        <v>46051</v>
      </c>
      <c r="B80" s="11" t="s">
        <v>35</v>
      </c>
      <c r="C80" s="11" t="s">
        <v>61</v>
      </c>
      <c r="D80" s="11" t="s">
        <v>65</v>
      </c>
      <c r="E80" s="11" t="s">
        <v>66</v>
      </c>
      <c r="F80" s="11" t="s">
        <v>67</v>
      </c>
      <c r="G80" s="11" t="n">
        <v>2</v>
      </c>
      <c r="H80" s="11" t="n">
        <v>0</v>
      </c>
      <c r="I80" s="11" t="n">
        <v>8</v>
      </c>
      <c r="J80" s="11" t="s">
        <v>40</v>
      </c>
      <c r="K80" s="11" t="n">
        <f aca="false">IF($J80="Y","",IF($F80="BW",$I80,$H80*$I80))</f>
        <v>8</v>
      </c>
      <c r="L80" s="11" t="str">
        <f aca="false">$D80&amp;"|"&amp;$H80</f>
        <v>Lunges|0</v>
      </c>
      <c r="M80" s="11" t="s">
        <v>68</v>
      </c>
    </row>
    <row r="81" customFormat="false" ht="15" hidden="false" customHeight="false" outlineLevel="0" collapsed="false">
      <c r="A81" s="10" t="n">
        <v>46051</v>
      </c>
      <c r="B81" s="11" t="s">
        <v>35</v>
      </c>
      <c r="C81" s="11" t="s">
        <v>61</v>
      </c>
      <c r="D81" s="11" t="s">
        <v>65</v>
      </c>
      <c r="E81" s="11" t="s">
        <v>66</v>
      </c>
      <c r="F81" s="11" t="s">
        <v>67</v>
      </c>
      <c r="G81" s="11" t="n">
        <v>3</v>
      </c>
      <c r="H81" s="11" t="n">
        <v>0</v>
      </c>
      <c r="I81" s="11" t="n">
        <v>8</v>
      </c>
      <c r="J81" s="11" t="s">
        <v>40</v>
      </c>
      <c r="K81" s="11" t="n">
        <f aca="false">IF($J81="Y","",IF($F81="BW",$I81,$H81*$I81))</f>
        <v>8</v>
      </c>
      <c r="L81" s="11" t="str">
        <f aca="false">$D81&amp;"|"&amp;$H81</f>
        <v>Lunges|0</v>
      </c>
      <c r="M81" s="11" t="s">
        <v>68</v>
      </c>
    </row>
    <row r="82" customFormat="false" ht="15" hidden="false" customHeight="false" outlineLevel="0" collapsed="false">
      <c r="A82" s="12" t="n">
        <v>46051</v>
      </c>
      <c r="B82" s="13" t="s">
        <v>35</v>
      </c>
      <c r="C82" s="13" t="s">
        <v>61</v>
      </c>
      <c r="D82" s="13" t="s">
        <v>63</v>
      </c>
      <c r="E82" s="13" t="s">
        <v>38</v>
      </c>
      <c r="F82" s="13" t="s">
        <v>39</v>
      </c>
      <c r="G82" s="13" t="n">
        <v>1</v>
      </c>
      <c r="H82" s="13" t="n">
        <v>25</v>
      </c>
      <c r="I82" s="13" t="n">
        <v>8</v>
      </c>
      <c r="J82" s="13" t="s">
        <v>84</v>
      </c>
      <c r="K82" s="13" t="str">
        <f aca="false">IF($J82="Y","",IF($F82="BW",$I82,$H82*$I82))</f>
        <v/>
      </c>
      <c r="L82" s="13" t="str">
        <f aca="false">$D82&amp;"|"&amp;$H82</f>
        <v>RDLs|25</v>
      </c>
      <c r="M82" s="13" t="s">
        <v>92</v>
      </c>
    </row>
    <row r="83" customFormat="false" ht="15" hidden="false" customHeight="false" outlineLevel="0" collapsed="false">
      <c r="A83" s="10" t="n">
        <v>46051</v>
      </c>
      <c r="B83" s="11" t="s">
        <v>35</v>
      </c>
      <c r="C83" s="11" t="s">
        <v>61</v>
      </c>
      <c r="D83" s="11" t="s">
        <v>63</v>
      </c>
      <c r="E83" s="11" t="s">
        <v>38</v>
      </c>
      <c r="F83" s="11" t="s">
        <v>39</v>
      </c>
      <c r="G83" s="11" t="n">
        <v>2</v>
      </c>
      <c r="H83" s="11" t="n">
        <v>35</v>
      </c>
      <c r="I83" s="11" t="n">
        <v>8</v>
      </c>
      <c r="J83" s="11" t="s">
        <v>40</v>
      </c>
      <c r="K83" s="11" t="n">
        <f aca="false">IF($J83="Y","",IF($F83="BW",$I83,$H83*$I83))</f>
        <v>280</v>
      </c>
      <c r="L83" s="11" t="str">
        <f aca="false">$D83&amp;"|"&amp;$H83</f>
        <v>RDLs|35</v>
      </c>
      <c r="M83" s="11" t="s">
        <v>92</v>
      </c>
    </row>
    <row r="84" customFormat="false" ht="15" hidden="false" customHeight="false" outlineLevel="0" collapsed="false">
      <c r="A84" s="10" t="n">
        <v>46051</v>
      </c>
      <c r="B84" s="11" t="s">
        <v>35</v>
      </c>
      <c r="C84" s="11" t="s">
        <v>61</v>
      </c>
      <c r="D84" s="11" t="s">
        <v>63</v>
      </c>
      <c r="E84" s="11" t="s">
        <v>38</v>
      </c>
      <c r="F84" s="11" t="s">
        <v>39</v>
      </c>
      <c r="G84" s="11" t="n">
        <v>3</v>
      </c>
      <c r="H84" s="11" t="n">
        <v>45</v>
      </c>
      <c r="I84" s="11" t="n">
        <v>8</v>
      </c>
      <c r="J84" s="11" t="s">
        <v>40</v>
      </c>
      <c r="K84" s="11" t="n">
        <f aca="false">IF($J84="Y","",IF($F84="BW",$I84,$H84*$I84))</f>
        <v>360</v>
      </c>
      <c r="L84" s="11" t="str">
        <f aca="false">$D84&amp;"|"&amp;$H84</f>
        <v>RDLs|45</v>
      </c>
      <c r="M84" s="11" t="s">
        <v>92</v>
      </c>
    </row>
    <row r="85" customFormat="false" ht="15" hidden="false" customHeight="false" outlineLevel="0" collapsed="false">
      <c r="A85" s="10" t="n">
        <v>46051</v>
      </c>
      <c r="B85" s="11" t="s">
        <v>35</v>
      </c>
      <c r="C85" s="11" t="s">
        <v>61</v>
      </c>
      <c r="D85" s="11" t="s">
        <v>64</v>
      </c>
      <c r="E85" s="11" t="s">
        <v>38</v>
      </c>
      <c r="F85" s="11" t="s">
        <v>39</v>
      </c>
      <c r="G85" s="11" t="n">
        <v>1</v>
      </c>
      <c r="H85" s="11" t="n">
        <v>25</v>
      </c>
      <c r="I85" s="11" t="n">
        <v>15</v>
      </c>
      <c r="J85" s="11" t="s">
        <v>40</v>
      </c>
      <c r="K85" s="11" t="n">
        <f aca="false">IF($J85="Y","",IF($F85="BW",$I85,$H85*$I85))</f>
        <v>375</v>
      </c>
      <c r="L85" s="11" t="str">
        <f aca="false">$D85&amp;"|"&amp;$H85</f>
        <v>Calf Raises (Smith)|25</v>
      </c>
      <c r="M85" s="11" t="s">
        <v>89</v>
      </c>
    </row>
    <row r="86" customFormat="false" ht="15" hidden="false" customHeight="false" outlineLevel="0" collapsed="false">
      <c r="A86" s="10" t="n">
        <v>46051</v>
      </c>
      <c r="B86" s="11" t="s">
        <v>35</v>
      </c>
      <c r="C86" s="11" t="s">
        <v>61</v>
      </c>
      <c r="D86" s="11" t="s">
        <v>64</v>
      </c>
      <c r="E86" s="11" t="s">
        <v>38</v>
      </c>
      <c r="F86" s="11" t="s">
        <v>39</v>
      </c>
      <c r="G86" s="11" t="n">
        <v>2</v>
      </c>
      <c r="H86" s="11" t="n">
        <v>35</v>
      </c>
      <c r="I86" s="11" t="n">
        <v>15</v>
      </c>
      <c r="J86" s="11" t="s">
        <v>40</v>
      </c>
      <c r="K86" s="11" t="n">
        <f aca="false">IF($J86="Y","",IF($F86="BW",$I86,$H86*$I86))</f>
        <v>525</v>
      </c>
      <c r="L86" s="11" t="str">
        <f aca="false">$D86&amp;"|"&amp;$H86</f>
        <v>Calf Raises (Smith)|35</v>
      </c>
      <c r="M86" s="11" t="s">
        <v>89</v>
      </c>
    </row>
    <row r="87" customFormat="false" ht="15" hidden="false" customHeight="false" outlineLevel="0" collapsed="false">
      <c r="A87" s="10" t="n">
        <v>46051</v>
      </c>
      <c r="B87" s="11" t="s">
        <v>35</v>
      </c>
      <c r="C87" s="11" t="s">
        <v>61</v>
      </c>
      <c r="D87" s="11" t="s">
        <v>64</v>
      </c>
      <c r="E87" s="11" t="s">
        <v>38</v>
      </c>
      <c r="F87" s="11" t="s">
        <v>39</v>
      </c>
      <c r="G87" s="11" t="n">
        <v>3</v>
      </c>
      <c r="H87" s="11" t="n">
        <v>35</v>
      </c>
      <c r="I87" s="11" t="n">
        <v>15</v>
      </c>
      <c r="J87" s="11" t="s">
        <v>40</v>
      </c>
      <c r="K87" s="11" t="n">
        <f aca="false">IF($J87="Y","",IF($F87="BW",$I87,$H87*$I87))</f>
        <v>525</v>
      </c>
      <c r="L87" s="11" t="str">
        <f aca="false">$D87&amp;"|"&amp;$H87</f>
        <v>Calf Raises (Smith)|35</v>
      </c>
      <c r="M87" s="11" t="s">
        <v>89</v>
      </c>
    </row>
    <row r="88" customFormat="false" ht="15" hidden="false" customHeight="false" outlineLevel="0" collapsed="false">
      <c r="A88" s="12" t="n">
        <v>46060</v>
      </c>
      <c r="B88" s="13" t="s">
        <v>60</v>
      </c>
      <c r="C88" s="13" t="s">
        <v>93</v>
      </c>
      <c r="D88" s="13" t="s">
        <v>71</v>
      </c>
      <c r="E88" s="13" t="s">
        <v>72</v>
      </c>
      <c r="F88" s="13" t="s">
        <v>39</v>
      </c>
      <c r="G88" s="13" t="n">
        <v>1</v>
      </c>
      <c r="H88" s="13" t="n">
        <v>20</v>
      </c>
      <c r="I88" s="13" t="n">
        <v>8</v>
      </c>
      <c r="J88" s="13" t="s">
        <v>84</v>
      </c>
      <c r="K88" s="13" t="str">
        <f aca="false">IF($J88="Y","",IF($F88="BW",$I88,$H88*$I88))</f>
        <v/>
      </c>
      <c r="L88" s="13" t="str">
        <f aca="false">$D88&amp;"|"&amp;$H88</f>
        <v>Bench Press (DB)|20</v>
      </c>
      <c r="M88" s="13"/>
    </row>
    <row r="89" customFormat="false" ht="15" hidden="false" customHeight="false" outlineLevel="0" collapsed="false">
      <c r="A89" s="10" t="n">
        <v>46060</v>
      </c>
      <c r="B89" s="11" t="s">
        <v>60</v>
      </c>
      <c r="C89" s="11" t="s">
        <v>93</v>
      </c>
      <c r="D89" s="11" t="s">
        <v>71</v>
      </c>
      <c r="E89" s="11" t="s">
        <v>72</v>
      </c>
      <c r="F89" s="11" t="s">
        <v>39</v>
      </c>
      <c r="G89" s="11" t="n">
        <v>2</v>
      </c>
      <c r="H89" s="11" t="n">
        <v>30</v>
      </c>
      <c r="I89" s="11" t="n">
        <v>8</v>
      </c>
      <c r="J89" s="11" t="s">
        <v>40</v>
      </c>
      <c r="K89" s="11" t="n">
        <f aca="false">IF($J89="Y","",IF($F89="BW",$I89,$H89*$I89))</f>
        <v>240</v>
      </c>
      <c r="L89" s="11" t="str">
        <f aca="false">$D89&amp;"|"&amp;$H89</f>
        <v>Bench Press (DB)|30</v>
      </c>
      <c r="M89" s="11"/>
    </row>
    <row r="90" customFormat="false" ht="15" hidden="false" customHeight="false" outlineLevel="0" collapsed="false">
      <c r="A90" s="10" t="n">
        <v>46060</v>
      </c>
      <c r="B90" s="11" t="s">
        <v>60</v>
      </c>
      <c r="C90" s="11" t="s">
        <v>93</v>
      </c>
      <c r="D90" s="11" t="s">
        <v>62</v>
      </c>
      <c r="E90" s="11" t="s">
        <v>38</v>
      </c>
      <c r="F90" s="11" t="s">
        <v>39</v>
      </c>
      <c r="G90" s="11" t="n">
        <v>1</v>
      </c>
      <c r="H90" s="11" t="n">
        <v>30</v>
      </c>
      <c r="I90" s="11" t="n">
        <v>8</v>
      </c>
      <c r="J90" s="11" t="s">
        <v>40</v>
      </c>
      <c r="K90" s="11" t="n">
        <f aca="false">IF($J90="Y","",IF($F90="BW",$I90,$H90*$I90))</f>
        <v>240</v>
      </c>
      <c r="L90" s="11" t="str">
        <f aca="false">$D90&amp;"|"&amp;$H90</f>
        <v>Squats|30</v>
      </c>
      <c r="M90" s="11"/>
    </row>
    <row r="91" customFormat="false" ht="15" hidden="false" customHeight="false" outlineLevel="0" collapsed="false">
      <c r="A91" s="10" t="n">
        <v>46060</v>
      </c>
      <c r="B91" s="11" t="s">
        <v>60</v>
      </c>
      <c r="C91" s="11" t="s">
        <v>93</v>
      </c>
      <c r="D91" s="11" t="s">
        <v>62</v>
      </c>
      <c r="E91" s="11" t="s">
        <v>38</v>
      </c>
      <c r="F91" s="11" t="s">
        <v>39</v>
      </c>
      <c r="G91" s="11" t="n">
        <v>2</v>
      </c>
      <c r="H91" s="11" t="n">
        <v>30</v>
      </c>
      <c r="I91" s="11" t="n">
        <v>8</v>
      </c>
      <c r="J91" s="11" t="s">
        <v>40</v>
      </c>
      <c r="K91" s="11" t="n">
        <f aca="false">IF($J91="Y","",IF($F91="BW",$I91,$H91*$I91))</f>
        <v>240</v>
      </c>
      <c r="L91" s="11" t="str">
        <f aca="false">$D91&amp;"|"&amp;$H91</f>
        <v>Squats|30</v>
      </c>
      <c r="M91" s="11"/>
    </row>
    <row r="92" customFormat="false" ht="15" hidden="false" customHeight="false" outlineLevel="0" collapsed="false">
      <c r="A92" s="10" t="n">
        <v>46060</v>
      </c>
      <c r="B92" s="11" t="s">
        <v>60</v>
      </c>
      <c r="C92" s="11" t="s">
        <v>93</v>
      </c>
      <c r="D92" s="11" t="s">
        <v>62</v>
      </c>
      <c r="E92" s="11" t="s">
        <v>38</v>
      </c>
      <c r="F92" s="11" t="s">
        <v>39</v>
      </c>
      <c r="G92" s="11" t="n">
        <v>3</v>
      </c>
      <c r="H92" s="11" t="n">
        <v>30</v>
      </c>
      <c r="I92" s="11" t="n">
        <v>8</v>
      </c>
      <c r="J92" s="11" t="s">
        <v>40</v>
      </c>
      <c r="K92" s="11" t="n">
        <f aca="false">IF($J92="Y","",IF($F92="BW",$I92,$H92*$I92))</f>
        <v>240</v>
      </c>
      <c r="L92" s="11" t="str">
        <f aca="false">$D92&amp;"|"&amp;$H92</f>
        <v>Squats|30</v>
      </c>
      <c r="M92" s="11"/>
    </row>
    <row r="93" customFormat="false" ht="15" hidden="false" customHeight="false" outlineLevel="0" collapsed="false">
      <c r="A93" s="10" t="n">
        <v>46060</v>
      </c>
      <c r="B93" s="11" t="s">
        <v>60</v>
      </c>
      <c r="C93" s="11" t="s">
        <v>93</v>
      </c>
      <c r="D93" s="11" t="s">
        <v>88</v>
      </c>
      <c r="E93" s="11" t="s">
        <v>38</v>
      </c>
      <c r="F93" s="11" t="s">
        <v>39</v>
      </c>
      <c r="G93" s="11" t="n">
        <v>1</v>
      </c>
      <c r="H93" s="11" t="n">
        <v>30</v>
      </c>
      <c r="I93" s="11" t="n">
        <v>8</v>
      </c>
      <c r="J93" s="11" t="s">
        <v>40</v>
      </c>
      <c r="K93" s="11" t="n">
        <f aca="false">IF($J93="Y","",IF($F93="BW",$I93,$H93*$I93))</f>
        <v>240</v>
      </c>
      <c r="L93" s="11" t="str">
        <f aca="false">$D93&amp;"|"&amp;$H93</f>
        <v>Smith Rows|30</v>
      </c>
      <c r="M93" s="11"/>
    </row>
    <row r="94" customFormat="false" ht="15" hidden="false" customHeight="false" outlineLevel="0" collapsed="false">
      <c r="A94" s="10" t="n">
        <v>46060</v>
      </c>
      <c r="B94" s="11" t="s">
        <v>60</v>
      </c>
      <c r="C94" s="11" t="s">
        <v>93</v>
      </c>
      <c r="D94" s="11" t="s">
        <v>88</v>
      </c>
      <c r="E94" s="11" t="s">
        <v>38</v>
      </c>
      <c r="F94" s="11" t="s">
        <v>39</v>
      </c>
      <c r="G94" s="11" t="n">
        <v>2</v>
      </c>
      <c r="H94" s="11" t="n">
        <v>30</v>
      </c>
      <c r="I94" s="11" t="n">
        <v>8</v>
      </c>
      <c r="J94" s="11" t="s">
        <v>40</v>
      </c>
      <c r="K94" s="11" t="n">
        <f aca="false">IF($J94="Y","",IF($F94="BW",$I94,$H94*$I94))</f>
        <v>240</v>
      </c>
      <c r="L94" s="11" t="str">
        <f aca="false">$D94&amp;"|"&amp;$H94</f>
        <v>Smith Rows|30</v>
      </c>
      <c r="M94" s="11"/>
    </row>
    <row r="95" customFormat="false" ht="15" hidden="false" customHeight="false" outlineLevel="0" collapsed="false">
      <c r="A95" s="10" t="n">
        <v>46060</v>
      </c>
      <c r="B95" s="11" t="s">
        <v>60</v>
      </c>
      <c r="C95" s="11" t="s">
        <v>93</v>
      </c>
      <c r="D95" s="11" t="s">
        <v>88</v>
      </c>
      <c r="E95" s="11" t="s">
        <v>38</v>
      </c>
      <c r="F95" s="11" t="s">
        <v>39</v>
      </c>
      <c r="G95" s="11" t="n">
        <v>3</v>
      </c>
      <c r="H95" s="11" t="n">
        <v>40</v>
      </c>
      <c r="I95" s="11" t="n">
        <v>8</v>
      </c>
      <c r="J95" s="11" t="s">
        <v>40</v>
      </c>
      <c r="K95" s="11" t="n">
        <f aca="false">IF($J95="Y","",IF($F95="BW",$I95,$H95*$I95))</f>
        <v>320</v>
      </c>
      <c r="L95" s="11" t="str">
        <f aca="false">$D95&amp;"|"&amp;$H95</f>
        <v>Smith Rows|40</v>
      </c>
      <c r="M95" s="11"/>
    </row>
    <row r="96" customFormat="false" ht="15" hidden="false" customHeight="false" outlineLevel="0" collapsed="false">
      <c r="A96" s="10" t="n">
        <v>46062</v>
      </c>
      <c r="B96" s="11" t="s">
        <v>94</v>
      </c>
      <c r="C96" s="11" t="s">
        <v>70</v>
      </c>
      <c r="D96" s="11" t="s">
        <v>71</v>
      </c>
      <c r="E96" s="11" t="s">
        <v>72</v>
      </c>
      <c r="F96" s="11" t="s">
        <v>39</v>
      </c>
      <c r="G96" s="11" t="n">
        <v>1</v>
      </c>
      <c r="H96" s="11" t="n">
        <v>30</v>
      </c>
      <c r="I96" s="11" t="n">
        <v>8</v>
      </c>
      <c r="J96" s="11" t="s">
        <v>40</v>
      </c>
      <c r="K96" s="11" t="n">
        <f aca="false">IF($J96="Y","",IF($F96="BW",$I96,$H96*$I96))</f>
        <v>240</v>
      </c>
      <c r="L96" s="11" t="str">
        <f aca="false">$D96&amp;"|"&amp;$H96</f>
        <v>Bench Press (DB)|30</v>
      </c>
      <c r="M96" s="11" t="s">
        <v>92</v>
      </c>
    </row>
    <row r="97" customFormat="false" ht="15" hidden="false" customHeight="false" outlineLevel="0" collapsed="false">
      <c r="A97" s="10" t="n">
        <v>46062</v>
      </c>
      <c r="B97" s="11" t="s">
        <v>94</v>
      </c>
      <c r="C97" s="11" t="s">
        <v>70</v>
      </c>
      <c r="D97" s="11" t="s">
        <v>71</v>
      </c>
      <c r="E97" s="11" t="s">
        <v>72</v>
      </c>
      <c r="F97" s="11" t="s">
        <v>39</v>
      </c>
      <c r="G97" s="11" t="n">
        <v>2</v>
      </c>
      <c r="H97" s="11" t="n">
        <v>40</v>
      </c>
      <c r="I97" s="11" t="n">
        <v>8</v>
      </c>
      <c r="J97" s="11" t="s">
        <v>40</v>
      </c>
      <c r="K97" s="11" t="n">
        <f aca="false">IF($J97="Y","",IF($F97="BW",$I97,$H97*$I97))</f>
        <v>320</v>
      </c>
      <c r="L97" s="11" t="str">
        <f aca="false">$D97&amp;"|"&amp;$H97</f>
        <v>Bench Press (DB)|40</v>
      </c>
      <c r="M97" s="11" t="s">
        <v>92</v>
      </c>
    </row>
    <row r="98" customFormat="false" ht="15" hidden="false" customHeight="false" outlineLevel="0" collapsed="false">
      <c r="A98" s="10" t="n">
        <v>46062</v>
      </c>
      <c r="B98" s="11" t="s">
        <v>94</v>
      </c>
      <c r="C98" s="11" t="s">
        <v>70</v>
      </c>
      <c r="D98" s="11" t="s">
        <v>71</v>
      </c>
      <c r="E98" s="11" t="s">
        <v>72</v>
      </c>
      <c r="F98" s="11" t="s">
        <v>39</v>
      </c>
      <c r="G98" s="11" t="n">
        <v>3</v>
      </c>
      <c r="H98" s="11" t="n">
        <v>45</v>
      </c>
      <c r="I98" s="11" t="n">
        <v>8</v>
      </c>
      <c r="J98" s="11" t="s">
        <v>40</v>
      </c>
      <c r="K98" s="11" t="n">
        <f aca="false">IF($J98="Y","",IF($F98="BW",$I98,$H98*$I98))</f>
        <v>360</v>
      </c>
      <c r="L98" s="11" t="str">
        <f aca="false">$D98&amp;"|"&amp;$H98</f>
        <v>Bench Press (DB)|45</v>
      </c>
      <c r="M98" s="11" t="s">
        <v>92</v>
      </c>
    </row>
    <row r="99" customFormat="false" ht="15" hidden="false" customHeight="false" outlineLevel="0" collapsed="false">
      <c r="A99" s="10" t="n">
        <v>46062</v>
      </c>
      <c r="B99" s="11" t="s">
        <v>94</v>
      </c>
      <c r="C99" s="11" t="s">
        <v>70</v>
      </c>
      <c r="D99" s="11" t="s">
        <v>71</v>
      </c>
      <c r="E99" s="11" t="s">
        <v>72</v>
      </c>
      <c r="F99" s="11" t="s">
        <v>39</v>
      </c>
      <c r="G99" s="11" t="n">
        <v>4</v>
      </c>
      <c r="H99" s="11" t="n">
        <v>45</v>
      </c>
      <c r="I99" s="11" t="n">
        <v>8</v>
      </c>
      <c r="J99" s="11" t="s">
        <v>40</v>
      </c>
      <c r="K99" s="11" t="n">
        <f aca="false">IF($J99="Y","",IF($F99="BW",$I99,$H99*$I99))</f>
        <v>360</v>
      </c>
      <c r="L99" s="11" t="str">
        <f aca="false">$D99&amp;"|"&amp;$H99</f>
        <v>Bench Press (DB)|45</v>
      </c>
      <c r="M99" s="11" t="s">
        <v>92</v>
      </c>
    </row>
    <row r="100" customFormat="false" ht="15" hidden="false" customHeight="false" outlineLevel="0" collapsed="false">
      <c r="A100" s="10" t="n">
        <v>46062</v>
      </c>
      <c r="B100" s="11" t="s">
        <v>94</v>
      </c>
      <c r="C100" s="11" t="s">
        <v>70</v>
      </c>
      <c r="D100" s="11" t="s">
        <v>85</v>
      </c>
      <c r="E100" s="11" t="s">
        <v>72</v>
      </c>
      <c r="F100" s="11" t="s">
        <v>39</v>
      </c>
      <c r="G100" s="11" t="n">
        <v>1</v>
      </c>
      <c r="H100" s="11" t="n">
        <v>15</v>
      </c>
      <c r="I100" s="11" t="n">
        <v>10</v>
      </c>
      <c r="J100" s="11" t="s">
        <v>40</v>
      </c>
      <c r="K100" s="11" t="n">
        <f aca="false">IF($J100="Y","",IF($F100="BW",$I100,$H100*$I100))</f>
        <v>150</v>
      </c>
      <c r="L100" s="11" t="str">
        <f aca="false">$D100&amp;"|"&amp;$H100</f>
        <v>Incline Flyes|15</v>
      </c>
      <c r="M100" s="11"/>
    </row>
    <row r="101" customFormat="false" ht="15" hidden="false" customHeight="false" outlineLevel="0" collapsed="false">
      <c r="A101" s="10" t="n">
        <v>46062</v>
      </c>
      <c r="B101" s="11" t="s">
        <v>94</v>
      </c>
      <c r="C101" s="11" t="s">
        <v>70</v>
      </c>
      <c r="D101" s="11" t="s">
        <v>85</v>
      </c>
      <c r="E101" s="11" t="s">
        <v>72</v>
      </c>
      <c r="F101" s="11" t="s">
        <v>39</v>
      </c>
      <c r="G101" s="11" t="n">
        <v>2</v>
      </c>
      <c r="H101" s="11" t="n">
        <v>15</v>
      </c>
      <c r="I101" s="11" t="n">
        <v>10</v>
      </c>
      <c r="J101" s="11" t="s">
        <v>40</v>
      </c>
      <c r="K101" s="11" t="n">
        <f aca="false">IF($J101="Y","",IF($F101="BW",$I101,$H101*$I101))</f>
        <v>150</v>
      </c>
      <c r="L101" s="11" t="str">
        <f aca="false">$D101&amp;"|"&amp;$H101</f>
        <v>Incline Flyes|15</v>
      </c>
      <c r="M101" s="11"/>
    </row>
    <row r="102" customFormat="false" ht="15" hidden="false" customHeight="false" outlineLevel="0" collapsed="false">
      <c r="A102" s="10" t="n">
        <v>46062</v>
      </c>
      <c r="B102" s="11" t="s">
        <v>94</v>
      </c>
      <c r="C102" s="11" t="s">
        <v>70</v>
      </c>
      <c r="D102" s="11" t="s">
        <v>85</v>
      </c>
      <c r="E102" s="11" t="s">
        <v>72</v>
      </c>
      <c r="F102" s="11" t="s">
        <v>39</v>
      </c>
      <c r="G102" s="11" t="n">
        <v>3</v>
      </c>
      <c r="H102" s="11" t="n">
        <v>20</v>
      </c>
      <c r="I102" s="11" t="n">
        <v>10</v>
      </c>
      <c r="J102" s="11" t="s">
        <v>40</v>
      </c>
      <c r="K102" s="11" t="n">
        <f aca="false">IF($J102="Y","",IF($F102="BW",$I102,$H102*$I102))</f>
        <v>200</v>
      </c>
      <c r="L102" s="11" t="str">
        <f aca="false">$D102&amp;"|"&amp;$H102</f>
        <v>Incline Flyes|20</v>
      </c>
      <c r="M102" s="11"/>
    </row>
    <row r="103" customFormat="false" ht="15" hidden="false" customHeight="false" outlineLevel="0" collapsed="false">
      <c r="A103" s="10" t="n">
        <v>46062</v>
      </c>
      <c r="B103" s="11" t="s">
        <v>94</v>
      </c>
      <c r="C103" s="11" t="s">
        <v>70</v>
      </c>
      <c r="D103" s="11" t="s">
        <v>79</v>
      </c>
      <c r="E103" s="11" t="s">
        <v>72</v>
      </c>
      <c r="F103" s="11" t="s">
        <v>39</v>
      </c>
      <c r="G103" s="11" t="n">
        <v>1</v>
      </c>
      <c r="H103" s="11" t="n">
        <v>25</v>
      </c>
      <c r="I103" s="11" t="n">
        <v>8</v>
      </c>
      <c r="J103" s="11" t="s">
        <v>40</v>
      </c>
      <c r="K103" s="11" t="n">
        <f aca="false">IF($J103="Y","",IF($F103="BW",$I103,$H103*$I103))</f>
        <v>200</v>
      </c>
      <c r="L103" s="11" t="str">
        <f aca="false">$D103&amp;"|"&amp;$H103</f>
        <v>DB Rows|25</v>
      </c>
      <c r="M103" s="11"/>
    </row>
    <row r="104" customFormat="false" ht="15" hidden="false" customHeight="false" outlineLevel="0" collapsed="false">
      <c r="A104" s="10" t="n">
        <v>46062</v>
      </c>
      <c r="B104" s="11" t="s">
        <v>94</v>
      </c>
      <c r="C104" s="11" t="s">
        <v>70</v>
      </c>
      <c r="D104" s="11" t="s">
        <v>79</v>
      </c>
      <c r="E104" s="11" t="s">
        <v>72</v>
      </c>
      <c r="F104" s="11" t="s">
        <v>39</v>
      </c>
      <c r="G104" s="11" t="n">
        <v>2</v>
      </c>
      <c r="H104" s="11" t="n">
        <v>30</v>
      </c>
      <c r="I104" s="11" t="n">
        <v>8</v>
      </c>
      <c r="J104" s="11" t="s">
        <v>40</v>
      </c>
      <c r="K104" s="11" t="n">
        <f aca="false">IF($J104="Y","",IF($F104="BW",$I104,$H104*$I104))</f>
        <v>240</v>
      </c>
      <c r="L104" s="11" t="str">
        <f aca="false">$D104&amp;"|"&amp;$H104</f>
        <v>DB Rows|30</v>
      </c>
      <c r="M104" s="11"/>
    </row>
    <row r="105" customFormat="false" ht="15" hidden="false" customHeight="false" outlineLevel="0" collapsed="false">
      <c r="A105" s="10" t="n">
        <v>46062</v>
      </c>
      <c r="B105" s="11" t="s">
        <v>94</v>
      </c>
      <c r="C105" s="11" t="s">
        <v>70</v>
      </c>
      <c r="D105" s="11" t="s">
        <v>79</v>
      </c>
      <c r="E105" s="11" t="s">
        <v>72</v>
      </c>
      <c r="F105" s="11" t="s">
        <v>39</v>
      </c>
      <c r="G105" s="11" t="n">
        <v>3</v>
      </c>
      <c r="H105" s="11" t="n">
        <v>30</v>
      </c>
      <c r="I105" s="11" t="n">
        <v>8</v>
      </c>
      <c r="J105" s="11" t="s">
        <v>40</v>
      </c>
      <c r="K105" s="11" t="n">
        <f aca="false">IF($J105="Y","",IF($F105="BW",$I105,$H105*$I105))</f>
        <v>240</v>
      </c>
      <c r="L105" s="11" t="str">
        <f aca="false">$D105&amp;"|"&amp;$H105</f>
        <v>DB Rows|30</v>
      </c>
      <c r="M105" s="11"/>
    </row>
    <row r="106" customFormat="false" ht="15" hidden="false" customHeight="false" outlineLevel="0" collapsed="false">
      <c r="A106" s="10" t="n">
        <v>46062</v>
      </c>
      <c r="B106" s="11" t="s">
        <v>94</v>
      </c>
      <c r="C106" s="11" t="s">
        <v>70</v>
      </c>
      <c r="D106" s="11" t="s">
        <v>73</v>
      </c>
      <c r="E106" s="11" t="s">
        <v>74</v>
      </c>
      <c r="F106" s="11" t="s">
        <v>75</v>
      </c>
      <c r="G106" s="11" t="n">
        <v>1</v>
      </c>
      <c r="H106" s="11" t="n">
        <v>17.5</v>
      </c>
      <c r="I106" s="11" t="n">
        <v>8</v>
      </c>
      <c r="J106" s="11" t="s">
        <v>40</v>
      </c>
      <c r="K106" s="11" t="n">
        <f aca="false">IF($J106="Y","",IF($F106="BW",$I106,$H106*$I106))</f>
        <v>140</v>
      </c>
      <c r="L106" s="11" t="str">
        <f aca="false">$D106&amp;"|"&amp;$H106</f>
        <v>Single Arm Lat Pulldown|17.5</v>
      </c>
      <c r="M106" s="11" t="s">
        <v>95</v>
      </c>
    </row>
    <row r="107" customFormat="false" ht="15" hidden="false" customHeight="false" outlineLevel="0" collapsed="false">
      <c r="A107" s="10" t="n">
        <v>46062</v>
      </c>
      <c r="B107" s="11" t="s">
        <v>94</v>
      </c>
      <c r="C107" s="11" t="s">
        <v>70</v>
      </c>
      <c r="D107" s="11" t="s">
        <v>73</v>
      </c>
      <c r="E107" s="11" t="s">
        <v>74</v>
      </c>
      <c r="F107" s="11" t="s">
        <v>75</v>
      </c>
      <c r="G107" s="11" t="n">
        <v>2</v>
      </c>
      <c r="H107" s="11" t="n">
        <v>20</v>
      </c>
      <c r="I107" s="11" t="n">
        <v>8</v>
      </c>
      <c r="J107" s="11" t="s">
        <v>40</v>
      </c>
      <c r="K107" s="11" t="n">
        <f aca="false">IF($J107="Y","",IF($F107="BW",$I107,$H107*$I107))</f>
        <v>160</v>
      </c>
      <c r="L107" s="11" t="str">
        <f aca="false">$D107&amp;"|"&amp;$H107</f>
        <v>Single Arm Lat Pulldown|20</v>
      </c>
      <c r="M107" s="11" t="s">
        <v>95</v>
      </c>
    </row>
    <row r="108" customFormat="false" ht="15" hidden="false" customHeight="false" outlineLevel="0" collapsed="false">
      <c r="A108" s="10" t="n">
        <v>46062</v>
      </c>
      <c r="B108" s="11" t="s">
        <v>94</v>
      </c>
      <c r="C108" s="11" t="s">
        <v>70</v>
      </c>
      <c r="D108" s="11" t="s">
        <v>73</v>
      </c>
      <c r="E108" s="11" t="s">
        <v>74</v>
      </c>
      <c r="F108" s="11" t="s">
        <v>75</v>
      </c>
      <c r="G108" s="11" t="n">
        <v>3</v>
      </c>
      <c r="H108" s="11" t="n">
        <v>22.5</v>
      </c>
      <c r="I108" s="11" t="n">
        <v>8</v>
      </c>
      <c r="J108" s="11" t="s">
        <v>40</v>
      </c>
      <c r="K108" s="11" t="n">
        <f aca="false">IF($J108="Y","",IF($F108="BW",$I108,$H108*$I108))</f>
        <v>180</v>
      </c>
      <c r="L108" s="11" t="str">
        <f aca="false">$D108&amp;"|"&amp;$H108</f>
        <v>Single Arm Lat Pulldown|22.5</v>
      </c>
      <c r="M108" s="11" t="s">
        <v>95</v>
      </c>
    </row>
    <row r="109" customFormat="false" ht="15" hidden="false" customHeight="false" outlineLevel="0" collapsed="false">
      <c r="A109" s="10" t="n">
        <v>46062</v>
      </c>
      <c r="B109" s="11" t="s">
        <v>94</v>
      </c>
      <c r="C109" s="11" t="s">
        <v>70</v>
      </c>
      <c r="D109" s="11" t="s">
        <v>77</v>
      </c>
      <c r="E109" s="11" t="s">
        <v>72</v>
      </c>
      <c r="F109" s="11" t="s">
        <v>39</v>
      </c>
      <c r="G109" s="11" t="n">
        <v>1</v>
      </c>
      <c r="H109" s="11" t="n">
        <v>30</v>
      </c>
      <c r="I109" s="11" t="n">
        <v>6</v>
      </c>
      <c r="J109" s="11" t="s">
        <v>40</v>
      </c>
      <c r="K109" s="11" t="n">
        <f aca="false">IF($J109="Y","",IF($F109="BW",$I109,$H109*$I109))</f>
        <v>180</v>
      </c>
      <c r="L109" s="11" t="str">
        <f aca="false">$D109&amp;"|"&amp;$H109</f>
        <v>Bicep Curls (DB)|30</v>
      </c>
      <c r="M109" s="11"/>
    </row>
    <row r="110" customFormat="false" ht="15" hidden="false" customHeight="false" outlineLevel="0" collapsed="false">
      <c r="A110" s="10" t="n">
        <v>46062</v>
      </c>
      <c r="B110" s="11" t="s">
        <v>94</v>
      </c>
      <c r="C110" s="11" t="s">
        <v>70</v>
      </c>
      <c r="D110" s="11" t="s">
        <v>77</v>
      </c>
      <c r="E110" s="11" t="s">
        <v>72</v>
      </c>
      <c r="F110" s="11" t="s">
        <v>39</v>
      </c>
      <c r="G110" s="11" t="n">
        <v>2</v>
      </c>
      <c r="H110" s="11" t="n">
        <v>30</v>
      </c>
      <c r="I110" s="11" t="n">
        <v>6</v>
      </c>
      <c r="J110" s="11" t="s">
        <v>40</v>
      </c>
      <c r="K110" s="11" t="n">
        <f aca="false">IF($J110="Y","",IF($F110="BW",$I110,$H110*$I110))</f>
        <v>180</v>
      </c>
      <c r="L110" s="11" t="str">
        <f aca="false">$D110&amp;"|"&amp;$H110</f>
        <v>Bicep Curls (DB)|30</v>
      </c>
      <c r="M110" s="11"/>
    </row>
    <row r="111" customFormat="false" ht="15" hidden="false" customHeight="false" outlineLevel="0" collapsed="false">
      <c r="A111" s="10" t="n">
        <v>46062</v>
      </c>
      <c r="B111" s="11" t="s">
        <v>94</v>
      </c>
      <c r="C111" s="11" t="s">
        <v>70</v>
      </c>
      <c r="D111" s="11" t="s">
        <v>80</v>
      </c>
      <c r="E111" s="11" t="s">
        <v>72</v>
      </c>
      <c r="F111" s="11" t="s">
        <v>39</v>
      </c>
      <c r="G111" s="11" t="n">
        <v>1</v>
      </c>
      <c r="H111" s="11" t="n">
        <v>45</v>
      </c>
      <c r="I111" s="11" t="n">
        <v>8</v>
      </c>
      <c r="J111" s="11" t="s">
        <v>40</v>
      </c>
      <c r="K111" s="11" t="n">
        <f aca="false">IF($J111="Y","",IF($F111="BW",$I111,$H111*$I111))</f>
        <v>360</v>
      </c>
      <c r="L111" s="11" t="str">
        <f aca="false">$D111&amp;"|"&amp;$H111</f>
        <v>Tricep Ext Overhead|45</v>
      </c>
      <c r="M111" s="11"/>
    </row>
    <row r="112" customFormat="false" ht="15" hidden="false" customHeight="false" outlineLevel="0" collapsed="false">
      <c r="A112" s="10" t="n">
        <v>46062</v>
      </c>
      <c r="B112" s="11" t="s">
        <v>94</v>
      </c>
      <c r="C112" s="11" t="s">
        <v>70</v>
      </c>
      <c r="D112" s="11" t="s">
        <v>80</v>
      </c>
      <c r="E112" s="11" t="s">
        <v>72</v>
      </c>
      <c r="F112" s="11" t="s">
        <v>39</v>
      </c>
      <c r="G112" s="11" t="n">
        <v>2</v>
      </c>
      <c r="H112" s="11" t="n">
        <v>45</v>
      </c>
      <c r="I112" s="11" t="n">
        <v>8</v>
      </c>
      <c r="J112" s="11" t="s">
        <v>40</v>
      </c>
      <c r="K112" s="11" t="n">
        <f aca="false">IF($J112="Y","",IF($F112="BW",$I112,$H112*$I112))</f>
        <v>360</v>
      </c>
      <c r="L112" s="11" t="str">
        <f aca="false">$D112&amp;"|"&amp;$H112</f>
        <v>Tricep Ext Overhead|45</v>
      </c>
      <c r="M112" s="11"/>
    </row>
    <row r="113" customFormat="false" ht="15" hidden="false" customHeight="false" outlineLevel="0" collapsed="false">
      <c r="A113" s="10" t="n">
        <v>46062</v>
      </c>
      <c r="B113" s="11" t="s">
        <v>94</v>
      </c>
      <c r="C113" s="11" t="s">
        <v>70</v>
      </c>
      <c r="D113" s="11" t="s">
        <v>80</v>
      </c>
      <c r="E113" s="11" t="s">
        <v>72</v>
      </c>
      <c r="F113" s="11" t="s">
        <v>39</v>
      </c>
      <c r="G113" s="11" t="n">
        <v>3</v>
      </c>
      <c r="H113" s="11" t="n">
        <v>45</v>
      </c>
      <c r="I113" s="11" t="n">
        <v>8</v>
      </c>
      <c r="J113" s="11" t="s">
        <v>40</v>
      </c>
      <c r="K113" s="11" t="n">
        <f aca="false">IF($J113="Y","",IF($F113="BW",$I113,$H113*$I113))</f>
        <v>360</v>
      </c>
      <c r="L113" s="11" t="str">
        <f aca="false">$D113&amp;"|"&amp;$H113</f>
        <v>Tricep Ext Overhead|45</v>
      </c>
      <c r="M113" s="11"/>
    </row>
    <row r="114" customFormat="false" ht="15" hidden="false" customHeight="false" outlineLevel="0" collapsed="false">
      <c r="A114" s="10" t="n">
        <v>46063</v>
      </c>
      <c r="B114" s="11" t="s">
        <v>69</v>
      </c>
      <c r="C114" s="11" t="s">
        <v>61</v>
      </c>
      <c r="D114" s="11" t="s">
        <v>62</v>
      </c>
      <c r="E114" s="11" t="s">
        <v>38</v>
      </c>
      <c r="F114" s="11" t="s">
        <v>39</v>
      </c>
      <c r="G114" s="11" t="n">
        <v>1</v>
      </c>
      <c r="H114" s="11" t="n">
        <v>45</v>
      </c>
      <c r="I114" s="11" t="n">
        <v>8</v>
      </c>
      <c r="J114" s="11" t="s">
        <v>40</v>
      </c>
      <c r="K114" s="11" t="n">
        <f aca="false">IF($J114="Y","",IF($F114="BW",$I114,$H114*$I114))</f>
        <v>360</v>
      </c>
      <c r="L114" s="11" t="str">
        <f aca="false">$D114&amp;"|"&amp;$H114</f>
        <v>Squats|45</v>
      </c>
      <c r="M114" s="11"/>
    </row>
    <row r="115" customFormat="false" ht="15" hidden="false" customHeight="false" outlineLevel="0" collapsed="false">
      <c r="A115" s="10" t="n">
        <v>46063</v>
      </c>
      <c r="B115" s="11" t="s">
        <v>69</v>
      </c>
      <c r="C115" s="11" t="s">
        <v>61</v>
      </c>
      <c r="D115" s="11" t="s">
        <v>62</v>
      </c>
      <c r="E115" s="11" t="s">
        <v>38</v>
      </c>
      <c r="F115" s="11" t="s">
        <v>39</v>
      </c>
      <c r="G115" s="11" t="n">
        <v>2</v>
      </c>
      <c r="H115" s="11" t="n">
        <v>50</v>
      </c>
      <c r="I115" s="11" t="n">
        <v>8</v>
      </c>
      <c r="J115" s="11" t="s">
        <v>40</v>
      </c>
      <c r="K115" s="11" t="n">
        <f aca="false">IF($J115="Y","",IF($F115="BW",$I115,$H115*$I115))</f>
        <v>400</v>
      </c>
      <c r="L115" s="11" t="str">
        <f aca="false">$D115&amp;"|"&amp;$H115</f>
        <v>Squats|50</v>
      </c>
      <c r="M115" s="11"/>
    </row>
    <row r="116" customFormat="false" ht="15" hidden="false" customHeight="false" outlineLevel="0" collapsed="false">
      <c r="A116" s="10" t="n">
        <v>46063</v>
      </c>
      <c r="B116" s="11" t="s">
        <v>69</v>
      </c>
      <c r="C116" s="11" t="s">
        <v>61</v>
      </c>
      <c r="D116" s="11" t="s">
        <v>62</v>
      </c>
      <c r="E116" s="11" t="s">
        <v>38</v>
      </c>
      <c r="F116" s="11" t="s">
        <v>39</v>
      </c>
      <c r="G116" s="11" t="n">
        <v>3</v>
      </c>
      <c r="H116" s="11" t="n">
        <v>50</v>
      </c>
      <c r="I116" s="11" t="n">
        <v>8</v>
      </c>
      <c r="J116" s="11" t="s">
        <v>40</v>
      </c>
      <c r="K116" s="11" t="n">
        <f aca="false">IF($J116="Y","",IF($F116="BW",$I116,$H116*$I116))</f>
        <v>400</v>
      </c>
      <c r="L116" s="11" t="str">
        <f aca="false">$D116&amp;"|"&amp;$H116</f>
        <v>Squats|50</v>
      </c>
      <c r="M116" s="11"/>
    </row>
    <row r="117" customFormat="false" ht="15" hidden="false" customHeight="false" outlineLevel="0" collapsed="false">
      <c r="A117" s="10" t="n">
        <v>46063</v>
      </c>
      <c r="B117" s="11" t="s">
        <v>69</v>
      </c>
      <c r="C117" s="11" t="s">
        <v>61</v>
      </c>
      <c r="D117" s="11" t="s">
        <v>65</v>
      </c>
      <c r="E117" s="11" t="s">
        <v>66</v>
      </c>
      <c r="F117" s="11" t="s">
        <v>67</v>
      </c>
      <c r="G117" s="11" t="n">
        <v>1</v>
      </c>
      <c r="H117" s="11" t="n">
        <v>0</v>
      </c>
      <c r="I117" s="11" t="n">
        <v>8</v>
      </c>
      <c r="J117" s="11" t="s">
        <v>40</v>
      </c>
      <c r="K117" s="11" t="n">
        <f aca="false">IF($J117="Y","",IF($F117="BW",$I117,$H117*$I117))</f>
        <v>8</v>
      </c>
      <c r="L117" s="11" t="str">
        <f aca="false">$D117&amp;"|"&amp;$H117</f>
        <v>Lunges|0</v>
      </c>
      <c r="M117" s="11" t="s">
        <v>68</v>
      </c>
    </row>
    <row r="118" customFormat="false" ht="15" hidden="false" customHeight="false" outlineLevel="0" collapsed="false">
      <c r="A118" s="10" t="n">
        <v>46063</v>
      </c>
      <c r="B118" s="11" t="s">
        <v>69</v>
      </c>
      <c r="C118" s="11" t="s">
        <v>61</v>
      </c>
      <c r="D118" s="11" t="s">
        <v>65</v>
      </c>
      <c r="E118" s="11" t="s">
        <v>66</v>
      </c>
      <c r="F118" s="11" t="s">
        <v>67</v>
      </c>
      <c r="G118" s="11" t="n">
        <v>2</v>
      </c>
      <c r="H118" s="11" t="n">
        <v>0</v>
      </c>
      <c r="I118" s="11" t="n">
        <v>8</v>
      </c>
      <c r="J118" s="11" t="s">
        <v>40</v>
      </c>
      <c r="K118" s="11" t="n">
        <f aca="false">IF($J118="Y","",IF($F118="BW",$I118,$H118*$I118))</f>
        <v>8</v>
      </c>
      <c r="L118" s="11" t="str">
        <f aca="false">$D118&amp;"|"&amp;$H118</f>
        <v>Lunges|0</v>
      </c>
      <c r="M118" s="11" t="s">
        <v>68</v>
      </c>
    </row>
    <row r="119" customFormat="false" ht="15" hidden="false" customHeight="false" outlineLevel="0" collapsed="false">
      <c r="A119" s="10" t="n">
        <v>46063</v>
      </c>
      <c r="B119" s="11" t="s">
        <v>69</v>
      </c>
      <c r="C119" s="11" t="s">
        <v>61</v>
      </c>
      <c r="D119" s="11" t="s">
        <v>65</v>
      </c>
      <c r="E119" s="11" t="s">
        <v>66</v>
      </c>
      <c r="F119" s="11" t="s">
        <v>67</v>
      </c>
      <c r="G119" s="11" t="n">
        <v>3</v>
      </c>
      <c r="H119" s="11" t="n">
        <v>0</v>
      </c>
      <c r="I119" s="11" t="n">
        <v>8</v>
      </c>
      <c r="J119" s="11" t="s">
        <v>40</v>
      </c>
      <c r="K119" s="11" t="n">
        <f aca="false">IF($J119="Y","",IF($F119="BW",$I119,$H119*$I119))</f>
        <v>8</v>
      </c>
      <c r="L119" s="11" t="str">
        <f aca="false">$D119&amp;"|"&amp;$H119</f>
        <v>Lunges|0</v>
      </c>
      <c r="M119" s="11" t="s">
        <v>68</v>
      </c>
    </row>
    <row r="120" customFormat="false" ht="15" hidden="false" customHeight="false" outlineLevel="0" collapsed="false">
      <c r="A120" s="12" t="n">
        <v>46063</v>
      </c>
      <c r="B120" s="13" t="s">
        <v>69</v>
      </c>
      <c r="C120" s="13" t="s">
        <v>61</v>
      </c>
      <c r="D120" s="13" t="s">
        <v>63</v>
      </c>
      <c r="E120" s="13" t="s">
        <v>38</v>
      </c>
      <c r="F120" s="13" t="s">
        <v>39</v>
      </c>
      <c r="G120" s="13" t="n">
        <v>1</v>
      </c>
      <c r="H120" s="13" t="n">
        <v>25</v>
      </c>
      <c r="I120" s="13" t="n">
        <v>8</v>
      </c>
      <c r="J120" s="13" t="s">
        <v>84</v>
      </c>
      <c r="K120" s="13" t="str">
        <f aca="false">IF($J120="Y","",IF($F120="BW",$I120,$H120*$I120))</f>
        <v/>
      </c>
      <c r="L120" s="13" t="str">
        <f aca="false">$D120&amp;"|"&amp;$H120</f>
        <v>RDLs|25</v>
      </c>
      <c r="M120" s="13" t="s">
        <v>81</v>
      </c>
    </row>
    <row r="121" customFormat="false" ht="15" hidden="false" customHeight="false" outlineLevel="0" collapsed="false">
      <c r="A121" s="10" t="n">
        <v>46063</v>
      </c>
      <c r="B121" s="11" t="s">
        <v>69</v>
      </c>
      <c r="C121" s="11" t="s">
        <v>61</v>
      </c>
      <c r="D121" s="11" t="s">
        <v>63</v>
      </c>
      <c r="E121" s="11" t="s">
        <v>38</v>
      </c>
      <c r="F121" s="11" t="s">
        <v>39</v>
      </c>
      <c r="G121" s="11" t="n">
        <v>2</v>
      </c>
      <c r="H121" s="11" t="n">
        <v>50</v>
      </c>
      <c r="I121" s="11" t="n">
        <v>8</v>
      </c>
      <c r="J121" s="11" t="s">
        <v>40</v>
      </c>
      <c r="K121" s="11" t="n">
        <f aca="false">IF($J121="Y","",IF($F121="BW",$I121,$H121*$I121))</f>
        <v>400</v>
      </c>
      <c r="L121" s="11" t="str">
        <f aca="false">$D121&amp;"|"&amp;$H121</f>
        <v>RDLs|50</v>
      </c>
      <c r="M121" s="11" t="s">
        <v>81</v>
      </c>
    </row>
    <row r="122" customFormat="false" ht="15" hidden="false" customHeight="false" outlineLevel="0" collapsed="false">
      <c r="A122" s="10" t="n">
        <v>46063</v>
      </c>
      <c r="B122" s="11" t="s">
        <v>69</v>
      </c>
      <c r="C122" s="11" t="s">
        <v>61</v>
      </c>
      <c r="D122" s="11" t="s">
        <v>63</v>
      </c>
      <c r="E122" s="11" t="s">
        <v>38</v>
      </c>
      <c r="F122" s="11" t="s">
        <v>39</v>
      </c>
      <c r="G122" s="11" t="n">
        <v>3</v>
      </c>
      <c r="H122" s="11" t="n">
        <v>50</v>
      </c>
      <c r="I122" s="11" t="n">
        <v>8</v>
      </c>
      <c r="J122" s="11" t="s">
        <v>40</v>
      </c>
      <c r="K122" s="11" t="n">
        <f aca="false">IF($J122="Y","",IF($F122="BW",$I122,$H122*$I122))</f>
        <v>400</v>
      </c>
      <c r="L122" s="11" t="str">
        <f aca="false">$D122&amp;"|"&amp;$H122</f>
        <v>RDLs|50</v>
      </c>
      <c r="M122" s="11" t="s">
        <v>81</v>
      </c>
    </row>
    <row r="123" customFormat="false" ht="15" hidden="false" customHeight="false" outlineLevel="0" collapsed="false">
      <c r="A123" s="10" t="n">
        <v>46063</v>
      </c>
      <c r="B123" s="11" t="s">
        <v>69</v>
      </c>
      <c r="C123" s="11" t="s">
        <v>61</v>
      </c>
      <c r="D123" s="11" t="s">
        <v>64</v>
      </c>
      <c r="E123" s="11" t="s">
        <v>38</v>
      </c>
      <c r="F123" s="11" t="s">
        <v>39</v>
      </c>
      <c r="G123" s="11" t="n">
        <v>1</v>
      </c>
      <c r="H123" s="11" t="n">
        <v>35</v>
      </c>
      <c r="I123" s="11" t="n">
        <v>15</v>
      </c>
      <c r="J123" s="11" t="s">
        <v>40</v>
      </c>
      <c r="K123" s="11" t="n">
        <f aca="false">IF($J123="Y","",IF($F123="BW",$I123,$H123*$I123))</f>
        <v>525</v>
      </c>
      <c r="L123" s="11" t="str">
        <f aca="false">$D123&amp;"|"&amp;$H123</f>
        <v>Calf Raises (Smith)|35</v>
      </c>
      <c r="M123" s="11"/>
    </row>
    <row r="124" customFormat="false" ht="15" hidden="false" customHeight="false" outlineLevel="0" collapsed="false">
      <c r="A124" s="10" t="n">
        <v>46063</v>
      </c>
      <c r="B124" s="11" t="s">
        <v>69</v>
      </c>
      <c r="C124" s="11" t="s">
        <v>61</v>
      </c>
      <c r="D124" s="11" t="s">
        <v>64</v>
      </c>
      <c r="E124" s="11" t="s">
        <v>38</v>
      </c>
      <c r="F124" s="11" t="s">
        <v>39</v>
      </c>
      <c r="G124" s="11" t="n">
        <v>2</v>
      </c>
      <c r="H124" s="11" t="n">
        <v>35</v>
      </c>
      <c r="I124" s="11" t="n">
        <v>15</v>
      </c>
      <c r="J124" s="11" t="s">
        <v>40</v>
      </c>
      <c r="K124" s="11" t="n">
        <f aca="false">IF($J124="Y","",IF($F124="BW",$I124,$H124*$I124))</f>
        <v>525</v>
      </c>
      <c r="L124" s="11" t="str">
        <f aca="false">$D124&amp;"|"&amp;$H124</f>
        <v>Calf Raises (Smith)|35</v>
      </c>
      <c r="M124" s="11"/>
    </row>
    <row r="125" customFormat="false" ht="15" hidden="false" customHeight="false" outlineLevel="0" collapsed="false">
      <c r="A125" s="10" t="n">
        <v>46066</v>
      </c>
      <c r="B125" s="11" t="s">
        <v>82</v>
      </c>
      <c r="C125" s="11" t="s">
        <v>96</v>
      </c>
      <c r="D125" s="11" t="s">
        <v>97</v>
      </c>
      <c r="E125" s="11" t="s">
        <v>98</v>
      </c>
      <c r="F125" s="11" t="s">
        <v>39</v>
      </c>
      <c r="G125" s="11" t="n">
        <v>1</v>
      </c>
      <c r="H125" s="11" t="n">
        <v>55</v>
      </c>
      <c r="I125" s="11" t="n">
        <v>8</v>
      </c>
      <c r="J125" s="11" t="s">
        <v>40</v>
      </c>
      <c r="K125" s="11" t="n">
        <f aca="false">IF($J125="Y","",IF($F125="BW",$I125,$H125*$I125))</f>
        <v>440</v>
      </c>
      <c r="L125" s="11" t="str">
        <f aca="false">$D125&amp;"|"&amp;$H125</f>
        <v>Chest Press Machine|55</v>
      </c>
      <c r="M125" s="11" t="s">
        <v>99</v>
      </c>
    </row>
    <row r="126" customFormat="false" ht="15" hidden="false" customHeight="false" outlineLevel="0" collapsed="false">
      <c r="A126" s="10" t="n">
        <v>46066</v>
      </c>
      <c r="B126" s="11" t="s">
        <v>82</v>
      </c>
      <c r="C126" s="11" t="s">
        <v>96</v>
      </c>
      <c r="D126" s="11" t="s">
        <v>100</v>
      </c>
      <c r="E126" s="11" t="s">
        <v>98</v>
      </c>
      <c r="F126" s="11" t="s">
        <v>39</v>
      </c>
      <c r="G126" s="11" t="n">
        <v>1</v>
      </c>
      <c r="H126" s="11" t="n">
        <v>100</v>
      </c>
      <c r="I126" s="11" t="n">
        <v>8</v>
      </c>
      <c r="J126" s="11" t="s">
        <v>40</v>
      </c>
      <c r="K126" s="11" t="n">
        <f aca="false">IF($J126="Y","",IF($F126="BW",$I126,$H126*$I126))</f>
        <v>800</v>
      </c>
      <c r="L126" s="11" t="str">
        <f aca="false">$D126&amp;"|"&amp;$H126</f>
        <v>Lat Pulldown Machine|100</v>
      </c>
      <c r="M126" s="11" t="s">
        <v>99</v>
      </c>
    </row>
    <row r="127" customFormat="false" ht="15" hidden="false" customHeight="false" outlineLevel="0" collapsed="false">
      <c r="A127" s="10" t="n">
        <v>46066</v>
      </c>
      <c r="B127" s="11" t="s">
        <v>82</v>
      </c>
      <c r="C127" s="11" t="s">
        <v>96</v>
      </c>
      <c r="D127" s="11" t="s">
        <v>101</v>
      </c>
      <c r="E127" s="11" t="s">
        <v>98</v>
      </c>
      <c r="F127" s="11" t="s">
        <v>39</v>
      </c>
      <c r="G127" s="11" t="n">
        <v>1</v>
      </c>
      <c r="H127" s="11" t="n">
        <v>65</v>
      </c>
      <c r="I127" s="11" t="n">
        <v>6</v>
      </c>
      <c r="J127" s="11" t="s">
        <v>40</v>
      </c>
      <c r="K127" s="11" t="n">
        <f aca="false">IF($J127="Y","",IF($F127="BW",$I127,$H127*$I127))</f>
        <v>390</v>
      </c>
      <c r="L127" s="11" t="str">
        <f aca="false">$D127&amp;"|"&amp;$H127</f>
        <v>Shoulder Press Machine|65</v>
      </c>
      <c r="M127" s="11" t="s">
        <v>99</v>
      </c>
    </row>
    <row r="128" customFormat="false" ht="15" hidden="false" customHeight="false" outlineLevel="0" collapsed="false">
      <c r="A128" s="10" t="n">
        <v>46066</v>
      </c>
      <c r="B128" s="11" t="s">
        <v>82</v>
      </c>
      <c r="C128" s="11" t="s">
        <v>96</v>
      </c>
      <c r="D128" s="11" t="s">
        <v>90</v>
      </c>
      <c r="E128" s="11" t="s">
        <v>72</v>
      </c>
      <c r="F128" s="11" t="s">
        <v>39</v>
      </c>
      <c r="G128" s="11" t="n">
        <v>1</v>
      </c>
      <c r="H128" s="11" t="n">
        <v>10</v>
      </c>
      <c r="I128" s="11" t="n">
        <v>12</v>
      </c>
      <c r="J128" s="11" t="s">
        <v>40</v>
      </c>
      <c r="K128" s="11" t="n">
        <f aca="false">IF($J128="Y","",IF($F128="BW",$I128,$H128*$I128))</f>
        <v>120</v>
      </c>
      <c r="L128" s="11" t="str">
        <f aca="false">$D128&amp;"|"&amp;$H128</f>
        <v>Lateral Raises|10</v>
      </c>
      <c r="M128" s="11" t="s">
        <v>99</v>
      </c>
    </row>
    <row r="129" customFormat="false" ht="15" hidden="false" customHeight="false" outlineLevel="0" collapsed="false">
      <c r="A129" s="10" t="n">
        <v>46068</v>
      </c>
      <c r="B129" s="11" t="s">
        <v>83</v>
      </c>
      <c r="C129" s="11" t="s">
        <v>102</v>
      </c>
      <c r="D129" s="11" t="s">
        <v>103</v>
      </c>
      <c r="E129" s="11" t="s">
        <v>98</v>
      </c>
      <c r="F129" s="11" t="s">
        <v>39</v>
      </c>
      <c r="G129" s="11" t="n">
        <v>1</v>
      </c>
      <c r="H129" s="11" t="n">
        <v>85</v>
      </c>
      <c r="I129" s="11" t="n">
        <v>8</v>
      </c>
      <c r="J129" s="11" t="s">
        <v>40</v>
      </c>
      <c r="K129" s="11" t="n">
        <f aca="false">IF($J129="Y","",IF($F129="BW",$I129,$H129*$I129))</f>
        <v>680</v>
      </c>
      <c r="L129" s="11" t="str">
        <f aca="false">$D129&amp;"|"&amp;$H129</f>
        <v>Assisted Pull-ups|85</v>
      </c>
      <c r="M129" s="11" t="s">
        <v>104</v>
      </c>
    </row>
    <row r="130" customFormat="false" ht="15" hidden="false" customHeight="false" outlineLevel="0" collapsed="false">
      <c r="A130" s="10" t="n">
        <v>46068</v>
      </c>
      <c r="B130" s="11" t="s">
        <v>83</v>
      </c>
      <c r="C130" s="11" t="s">
        <v>102</v>
      </c>
      <c r="D130" s="11" t="s">
        <v>103</v>
      </c>
      <c r="E130" s="11" t="s">
        <v>98</v>
      </c>
      <c r="F130" s="11" t="s">
        <v>39</v>
      </c>
      <c r="G130" s="11" t="n">
        <v>2</v>
      </c>
      <c r="H130" s="11" t="n">
        <v>70</v>
      </c>
      <c r="I130" s="11" t="n">
        <v>8</v>
      </c>
      <c r="J130" s="11" t="s">
        <v>40</v>
      </c>
      <c r="K130" s="11" t="n">
        <f aca="false">IF($J130="Y","",IF($F130="BW",$I130,$H130*$I130))</f>
        <v>560</v>
      </c>
      <c r="L130" s="11" t="str">
        <f aca="false">$D130&amp;"|"&amp;$H130</f>
        <v>Assisted Pull-ups|70</v>
      </c>
      <c r="M130" s="11" t="s">
        <v>104</v>
      </c>
    </row>
    <row r="131" customFormat="false" ht="15" hidden="false" customHeight="false" outlineLevel="0" collapsed="false">
      <c r="A131" s="10" t="n">
        <v>46068</v>
      </c>
      <c r="B131" s="11" t="s">
        <v>83</v>
      </c>
      <c r="C131" s="11" t="s">
        <v>102</v>
      </c>
      <c r="D131" s="11" t="s">
        <v>105</v>
      </c>
      <c r="E131" s="11" t="s">
        <v>98</v>
      </c>
      <c r="F131" s="11" t="s">
        <v>39</v>
      </c>
      <c r="G131" s="11" t="n">
        <v>1</v>
      </c>
      <c r="H131" s="11" t="n">
        <v>70</v>
      </c>
      <c r="I131" s="11" t="n">
        <v>8</v>
      </c>
      <c r="J131" s="11" t="s">
        <v>40</v>
      </c>
      <c r="K131" s="11" t="n">
        <f aca="false">IF($J131="Y","",IF($F131="BW",$I131,$H131*$I131))</f>
        <v>560</v>
      </c>
      <c r="L131" s="11" t="str">
        <f aca="false">$D131&amp;"|"&amp;$H131</f>
        <v>Dips|70</v>
      </c>
      <c r="M131" s="11" t="s">
        <v>104</v>
      </c>
    </row>
    <row r="132" customFormat="false" ht="15" hidden="false" customHeight="false" outlineLevel="0" collapsed="false">
      <c r="A132" s="10" t="n">
        <v>46068</v>
      </c>
      <c r="B132" s="11" t="s">
        <v>83</v>
      </c>
      <c r="C132" s="11" t="s">
        <v>102</v>
      </c>
      <c r="D132" s="11" t="s">
        <v>105</v>
      </c>
      <c r="E132" s="11" t="s">
        <v>98</v>
      </c>
      <c r="F132" s="11" t="s">
        <v>39</v>
      </c>
      <c r="G132" s="11" t="n">
        <v>2</v>
      </c>
      <c r="H132" s="11" t="n">
        <v>55</v>
      </c>
      <c r="I132" s="11" t="n">
        <v>8</v>
      </c>
      <c r="J132" s="11" t="s">
        <v>40</v>
      </c>
      <c r="K132" s="11" t="n">
        <f aca="false">IF($J132="Y","",IF($F132="BW",$I132,$H132*$I132))</f>
        <v>440</v>
      </c>
      <c r="L132" s="11" t="str">
        <f aca="false">$D132&amp;"|"&amp;$H132</f>
        <v>Dips|55</v>
      </c>
      <c r="M132" s="11" t="s">
        <v>104</v>
      </c>
    </row>
    <row r="133" customFormat="false" ht="15" hidden="false" customHeight="false" outlineLevel="0" collapsed="false">
      <c r="A133" s="10" t="n">
        <v>46068</v>
      </c>
      <c r="B133" s="11" t="s">
        <v>83</v>
      </c>
      <c r="C133" s="11" t="s">
        <v>102</v>
      </c>
      <c r="D133" s="11" t="s">
        <v>105</v>
      </c>
      <c r="E133" s="11" t="s">
        <v>98</v>
      </c>
      <c r="F133" s="11" t="s">
        <v>39</v>
      </c>
      <c r="G133" s="11" t="n">
        <v>3</v>
      </c>
      <c r="H133" s="11" t="n">
        <v>40</v>
      </c>
      <c r="I133" s="11" t="n">
        <v>8</v>
      </c>
      <c r="J133" s="11" t="s">
        <v>40</v>
      </c>
      <c r="K133" s="11" t="n">
        <f aca="false">IF($J133="Y","",IF($F133="BW",$I133,$H133*$I133))</f>
        <v>320</v>
      </c>
      <c r="L133" s="11" t="str">
        <f aca="false">$D133&amp;"|"&amp;$H133</f>
        <v>Dips|40</v>
      </c>
      <c r="M133" s="11" t="s">
        <v>104</v>
      </c>
    </row>
    <row r="134" customFormat="false" ht="15" hidden="false" customHeight="false" outlineLevel="0" collapsed="false">
      <c r="A134" s="10" t="n">
        <v>46068</v>
      </c>
      <c r="B134" s="11" t="s">
        <v>83</v>
      </c>
      <c r="C134" s="11" t="s">
        <v>102</v>
      </c>
      <c r="D134" s="11" t="s">
        <v>106</v>
      </c>
      <c r="E134" s="11" t="s">
        <v>66</v>
      </c>
      <c r="F134" s="11" t="s">
        <v>67</v>
      </c>
      <c r="G134" s="11" t="n">
        <v>1</v>
      </c>
      <c r="H134" s="11" t="n">
        <v>0</v>
      </c>
      <c r="I134" s="11" t="n">
        <v>8</v>
      </c>
      <c r="J134" s="11" t="s">
        <v>40</v>
      </c>
      <c r="K134" s="11" t="n">
        <f aca="false">IF($J134="Y","",IF($F134="BW",$I134,$H134*$I134))</f>
        <v>8</v>
      </c>
      <c r="L134" s="11" t="str">
        <f aca="false">$D134&amp;"|"&amp;$H134</f>
        <v>Chin-ups|0</v>
      </c>
      <c r="M134" s="11" t="s">
        <v>99</v>
      </c>
    </row>
    <row r="135" customFormat="false" ht="15" hidden="false" customHeight="false" outlineLevel="0" collapsed="false">
      <c r="A135" s="10" t="n">
        <v>46070</v>
      </c>
      <c r="B135" s="11" t="s">
        <v>69</v>
      </c>
      <c r="C135" s="11" t="s">
        <v>61</v>
      </c>
      <c r="D135" s="11" t="s">
        <v>62</v>
      </c>
      <c r="E135" s="11" t="s">
        <v>38</v>
      </c>
      <c r="F135" s="11" t="s">
        <v>39</v>
      </c>
      <c r="G135" s="11" t="n">
        <v>1</v>
      </c>
      <c r="H135" s="11" t="n">
        <v>40</v>
      </c>
      <c r="I135" s="11" t="n">
        <v>8</v>
      </c>
      <c r="J135" s="11" t="s">
        <v>40</v>
      </c>
      <c r="K135" s="11" t="n">
        <f aca="false">IF($J135="Y","",IF($F135="BW",$I135,$H135*$I135))</f>
        <v>320</v>
      </c>
      <c r="L135" s="11" t="str">
        <f aca="false">$D135&amp;"|"&amp;$H135</f>
        <v>Squats|40</v>
      </c>
      <c r="M135" s="11" t="s">
        <v>99</v>
      </c>
    </row>
    <row r="136" customFormat="false" ht="15" hidden="false" customHeight="false" outlineLevel="0" collapsed="false">
      <c r="A136" s="10" t="n">
        <v>46070</v>
      </c>
      <c r="B136" s="11" t="s">
        <v>69</v>
      </c>
      <c r="C136" s="11" t="s">
        <v>61</v>
      </c>
      <c r="D136" s="11" t="s">
        <v>62</v>
      </c>
      <c r="E136" s="11" t="s">
        <v>38</v>
      </c>
      <c r="F136" s="11" t="s">
        <v>39</v>
      </c>
      <c r="G136" s="11" t="n">
        <v>2</v>
      </c>
      <c r="H136" s="11" t="n">
        <v>50</v>
      </c>
      <c r="I136" s="11" t="n">
        <v>8</v>
      </c>
      <c r="J136" s="11" t="s">
        <v>40</v>
      </c>
      <c r="K136" s="11" t="n">
        <f aca="false">IF($J136="Y","",IF($F136="BW",$I136,$H136*$I136))</f>
        <v>400</v>
      </c>
      <c r="L136" s="11" t="str">
        <f aca="false">$D136&amp;"|"&amp;$H136</f>
        <v>Squats|50</v>
      </c>
      <c r="M136" s="11" t="s">
        <v>99</v>
      </c>
    </row>
    <row r="137" customFormat="false" ht="15" hidden="false" customHeight="false" outlineLevel="0" collapsed="false">
      <c r="A137" s="10" t="n">
        <v>46070</v>
      </c>
      <c r="B137" s="11" t="s">
        <v>69</v>
      </c>
      <c r="C137" s="11" t="s">
        <v>61</v>
      </c>
      <c r="D137" s="11" t="s">
        <v>62</v>
      </c>
      <c r="E137" s="11" t="s">
        <v>38</v>
      </c>
      <c r="F137" s="11" t="s">
        <v>39</v>
      </c>
      <c r="G137" s="11" t="n">
        <v>3</v>
      </c>
      <c r="H137" s="11" t="n">
        <v>50</v>
      </c>
      <c r="I137" s="11" t="n">
        <v>8</v>
      </c>
      <c r="J137" s="11" t="s">
        <v>40</v>
      </c>
      <c r="K137" s="11" t="n">
        <f aca="false">IF($J137="Y","",IF($F137="BW",$I137,$H137*$I137))</f>
        <v>400</v>
      </c>
      <c r="L137" s="11" t="str">
        <f aca="false">$D137&amp;"|"&amp;$H137</f>
        <v>Squats|50</v>
      </c>
      <c r="M137" s="11" t="s">
        <v>99</v>
      </c>
    </row>
    <row r="138" customFormat="false" ht="15" hidden="false" customHeight="false" outlineLevel="0" collapsed="false">
      <c r="A138" s="10" t="n">
        <v>46070</v>
      </c>
      <c r="B138" s="11" t="s">
        <v>69</v>
      </c>
      <c r="C138" s="11" t="s">
        <v>61</v>
      </c>
      <c r="D138" s="11" t="s">
        <v>63</v>
      </c>
      <c r="E138" s="11" t="s">
        <v>38</v>
      </c>
      <c r="F138" s="11" t="s">
        <v>39</v>
      </c>
      <c r="G138" s="11" t="n">
        <v>1</v>
      </c>
      <c r="H138" s="11" t="n">
        <v>45</v>
      </c>
      <c r="I138" s="11" t="n">
        <v>8</v>
      </c>
      <c r="J138" s="11" t="s">
        <v>40</v>
      </c>
      <c r="K138" s="11" t="n">
        <f aca="false">IF($J138="Y","",IF($F138="BW",$I138,$H138*$I138))</f>
        <v>360</v>
      </c>
      <c r="L138" s="11" t="str">
        <f aca="false">$D138&amp;"|"&amp;$H138</f>
        <v>RDLs|45</v>
      </c>
      <c r="M138" s="11" t="s">
        <v>107</v>
      </c>
    </row>
    <row r="139" customFormat="false" ht="15" hidden="false" customHeight="false" outlineLevel="0" collapsed="false">
      <c r="A139" s="10" t="n">
        <v>46070</v>
      </c>
      <c r="B139" s="11" t="s">
        <v>69</v>
      </c>
      <c r="C139" s="11" t="s">
        <v>61</v>
      </c>
      <c r="D139" s="11" t="s">
        <v>63</v>
      </c>
      <c r="E139" s="11" t="s">
        <v>38</v>
      </c>
      <c r="F139" s="11" t="s">
        <v>39</v>
      </c>
      <c r="G139" s="11" t="n">
        <v>2</v>
      </c>
      <c r="H139" s="11" t="n">
        <v>55</v>
      </c>
      <c r="I139" s="11" t="n">
        <v>8</v>
      </c>
      <c r="J139" s="11" t="s">
        <v>40</v>
      </c>
      <c r="K139" s="11" t="n">
        <f aca="false">IF($J139="Y","",IF($F139="BW",$I139,$H139*$I139))</f>
        <v>440</v>
      </c>
      <c r="L139" s="11" t="str">
        <f aca="false">$D139&amp;"|"&amp;$H139</f>
        <v>RDLs|55</v>
      </c>
      <c r="M139" s="11" t="s">
        <v>107</v>
      </c>
    </row>
    <row r="140" customFormat="false" ht="15" hidden="false" customHeight="false" outlineLevel="0" collapsed="false">
      <c r="A140" s="10" t="n">
        <v>46070</v>
      </c>
      <c r="B140" s="11" t="s">
        <v>69</v>
      </c>
      <c r="C140" s="11" t="s">
        <v>61</v>
      </c>
      <c r="D140" s="11" t="s">
        <v>63</v>
      </c>
      <c r="E140" s="11" t="s">
        <v>38</v>
      </c>
      <c r="F140" s="11" t="s">
        <v>39</v>
      </c>
      <c r="G140" s="11" t="n">
        <v>3</v>
      </c>
      <c r="H140" s="11" t="n">
        <v>55</v>
      </c>
      <c r="I140" s="11" t="n">
        <v>8</v>
      </c>
      <c r="J140" s="11" t="s">
        <v>40</v>
      </c>
      <c r="K140" s="11" t="n">
        <f aca="false">IF($J140="Y","",IF($F140="BW",$I140,$H140*$I140))</f>
        <v>440</v>
      </c>
      <c r="L140" s="11" t="str">
        <f aca="false">$D140&amp;"|"&amp;$H140</f>
        <v>RDLs|55</v>
      </c>
      <c r="M140" s="11" t="s">
        <v>107</v>
      </c>
    </row>
    <row r="141" customFormat="false" ht="15" hidden="false" customHeight="false" outlineLevel="0" collapsed="false">
      <c r="A141" s="10" t="n">
        <v>46073</v>
      </c>
      <c r="B141" s="11" t="s">
        <v>82</v>
      </c>
      <c r="C141" s="11" t="s">
        <v>36</v>
      </c>
      <c r="D141" s="11" t="s">
        <v>71</v>
      </c>
      <c r="E141" s="11" t="s">
        <v>72</v>
      </c>
      <c r="F141" s="11" t="s">
        <v>39</v>
      </c>
      <c r="G141" s="11" t="n">
        <v>1</v>
      </c>
      <c r="H141" s="11" t="n">
        <v>30</v>
      </c>
      <c r="I141" s="11" t="n">
        <v>8</v>
      </c>
      <c r="J141" s="11" t="s">
        <v>40</v>
      </c>
      <c r="K141" s="11" t="n">
        <f aca="false">IF($J141="Y","",IF($F141="BW",$I141,$H141*$I141))</f>
        <v>240</v>
      </c>
      <c r="L141" s="11" t="str">
        <f aca="false">$D141&amp;"|"&amp;$H141</f>
        <v>Bench Press (DB)|30</v>
      </c>
      <c r="M141" s="11" t="s">
        <v>99</v>
      </c>
    </row>
    <row r="142" customFormat="false" ht="15" hidden="false" customHeight="false" outlineLevel="0" collapsed="false">
      <c r="A142" s="10" t="n">
        <v>46073</v>
      </c>
      <c r="B142" s="11" t="s">
        <v>82</v>
      </c>
      <c r="C142" s="11" t="s">
        <v>36</v>
      </c>
      <c r="D142" s="11" t="s">
        <v>71</v>
      </c>
      <c r="E142" s="11" t="s">
        <v>72</v>
      </c>
      <c r="F142" s="11" t="s">
        <v>39</v>
      </c>
      <c r="G142" s="11" t="n">
        <v>2</v>
      </c>
      <c r="H142" s="11" t="n">
        <v>40</v>
      </c>
      <c r="I142" s="11" t="n">
        <v>8</v>
      </c>
      <c r="J142" s="11" t="s">
        <v>40</v>
      </c>
      <c r="K142" s="11" t="n">
        <f aca="false">IF($J142="Y","",IF($F142="BW",$I142,$H142*$I142))</f>
        <v>320</v>
      </c>
      <c r="L142" s="11" t="str">
        <f aca="false">$D142&amp;"|"&amp;$H142</f>
        <v>Bench Press (DB)|40</v>
      </c>
      <c r="M142" s="11" t="s">
        <v>99</v>
      </c>
    </row>
    <row r="143" customFormat="false" ht="15" hidden="false" customHeight="false" outlineLevel="0" collapsed="false">
      <c r="A143" s="10" t="n">
        <v>46073</v>
      </c>
      <c r="B143" s="11" t="s">
        <v>82</v>
      </c>
      <c r="C143" s="11" t="s">
        <v>36</v>
      </c>
      <c r="D143" s="11" t="s">
        <v>71</v>
      </c>
      <c r="E143" s="11" t="s">
        <v>72</v>
      </c>
      <c r="F143" s="11" t="s">
        <v>39</v>
      </c>
      <c r="G143" s="11" t="n">
        <v>3</v>
      </c>
      <c r="H143" s="11" t="n">
        <v>45</v>
      </c>
      <c r="I143" s="11" t="n">
        <v>8</v>
      </c>
      <c r="J143" s="11" t="s">
        <v>40</v>
      </c>
      <c r="K143" s="11" t="n">
        <f aca="false">IF($J143="Y","",IF($F143="BW",$I143,$H143*$I143))</f>
        <v>360</v>
      </c>
      <c r="L143" s="11" t="str">
        <f aca="false">$D143&amp;"|"&amp;$H143</f>
        <v>Bench Press (DB)|45</v>
      </c>
      <c r="M143" s="11" t="s">
        <v>99</v>
      </c>
    </row>
    <row r="144" customFormat="false" ht="15" hidden="false" customHeight="false" outlineLevel="0" collapsed="false">
      <c r="A144" s="10" t="n">
        <v>46073</v>
      </c>
      <c r="B144" s="11" t="s">
        <v>82</v>
      </c>
      <c r="C144" s="11" t="s">
        <v>36</v>
      </c>
      <c r="D144" s="11" t="s">
        <v>85</v>
      </c>
      <c r="E144" s="11" t="s">
        <v>72</v>
      </c>
      <c r="F144" s="11" t="s">
        <v>39</v>
      </c>
      <c r="G144" s="11" t="n">
        <v>1</v>
      </c>
      <c r="H144" s="11" t="n">
        <v>15</v>
      </c>
      <c r="I144" s="11" t="n">
        <v>8</v>
      </c>
      <c r="J144" s="11" t="s">
        <v>40</v>
      </c>
      <c r="K144" s="11" t="n">
        <f aca="false">IF($J144="Y","",IF($F144="BW",$I144,$H144*$I144))</f>
        <v>120</v>
      </c>
      <c r="L144" s="11" t="str">
        <f aca="false">$D144&amp;"|"&amp;$H144</f>
        <v>Incline Flyes|15</v>
      </c>
      <c r="M144" s="11" t="s">
        <v>99</v>
      </c>
    </row>
    <row r="145" customFormat="false" ht="15" hidden="false" customHeight="false" outlineLevel="0" collapsed="false">
      <c r="A145" s="10" t="n">
        <v>46073</v>
      </c>
      <c r="B145" s="11" t="s">
        <v>82</v>
      </c>
      <c r="C145" s="11" t="s">
        <v>36</v>
      </c>
      <c r="D145" s="11" t="s">
        <v>85</v>
      </c>
      <c r="E145" s="11" t="s">
        <v>72</v>
      </c>
      <c r="F145" s="11" t="s">
        <v>39</v>
      </c>
      <c r="G145" s="11" t="n">
        <v>2</v>
      </c>
      <c r="H145" s="11" t="n">
        <v>20</v>
      </c>
      <c r="I145" s="11" t="n">
        <v>8</v>
      </c>
      <c r="J145" s="11" t="s">
        <v>40</v>
      </c>
      <c r="K145" s="11" t="n">
        <f aca="false">IF($J145="Y","",IF($F145="BW",$I145,$H145*$I145))</f>
        <v>160</v>
      </c>
      <c r="L145" s="11" t="str">
        <f aca="false">$D145&amp;"|"&amp;$H145</f>
        <v>Incline Flyes|20</v>
      </c>
      <c r="M145" s="11" t="s">
        <v>99</v>
      </c>
    </row>
    <row r="146" customFormat="false" ht="15" hidden="false" customHeight="false" outlineLevel="0" collapsed="false">
      <c r="A146" s="10" t="n">
        <v>46073</v>
      </c>
      <c r="B146" s="11" t="s">
        <v>82</v>
      </c>
      <c r="C146" s="11" t="s">
        <v>36</v>
      </c>
      <c r="D146" s="11" t="s">
        <v>85</v>
      </c>
      <c r="E146" s="11" t="s">
        <v>72</v>
      </c>
      <c r="F146" s="11" t="s">
        <v>39</v>
      </c>
      <c r="G146" s="11" t="n">
        <v>3</v>
      </c>
      <c r="H146" s="11" t="n">
        <v>20</v>
      </c>
      <c r="I146" s="11" t="n">
        <v>8</v>
      </c>
      <c r="J146" s="11" t="s">
        <v>40</v>
      </c>
      <c r="K146" s="11" t="n">
        <f aca="false">IF($J146="Y","",IF($F146="BW",$I146,$H146*$I146))</f>
        <v>160</v>
      </c>
      <c r="L146" s="11" t="str">
        <f aca="false">$D146&amp;"|"&amp;$H146</f>
        <v>Incline Flyes|20</v>
      </c>
      <c r="M146" s="11" t="s">
        <v>99</v>
      </c>
    </row>
    <row r="147" customFormat="false" ht="15" hidden="false" customHeight="false" outlineLevel="0" collapsed="false">
      <c r="A147" s="10" t="n">
        <v>46073</v>
      </c>
      <c r="B147" s="11" t="s">
        <v>82</v>
      </c>
      <c r="C147" s="11" t="s">
        <v>36</v>
      </c>
      <c r="D147" s="11" t="s">
        <v>76</v>
      </c>
      <c r="E147" s="11" t="s">
        <v>72</v>
      </c>
      <c r="F147" s="11" t="s">
        <v>39</v>
      </c>
      <c r="G147" s="11" t="n">
        <v>1</v>
      </c>
      <c r="H147" s="11" t="n">
        <v>25</v>
      </c>
      <c r="I147" s="11" t="n">
        <v>8</v>
      </c>
      <c r="J147" s="11" t="s">
        <v>40</v>
      </c>
      <c r="K147" s="11" t="n">
        <f aca="false">IF($J147="Y","",IF($F147="BW",$I147,$H147*$I147))</f>
        <v>200</v>
      </c>
      <c r="L147" s="11" t="str">
        <f aca="false">$D147&amp;"|"&amp;$H147</f>
        <v>Shoulder Press|25</v>
      </c>
      <c r="M147" s="11" t="s">
        <v>99</v>
      </c>
    </row>
    <row r="148" customFormat="false" ht="15" hidden="false" customHeight="false" outlineLevel="0" collapsed="false">
      <c r="A148" s="10" t="n">
        <v>46073</v>
      </c>
      <c r="B148" s="11" t="s">
        <v>82</v>
      </c>
      <c r="C148" s="11" t="s">
        <v>36</v>
      </c>
      <c r="D148" s="11" t="s">
        <v>76</v>
      </c>
      <c r="E148" s="11" t="s">
        <v>72</v>
      </c>
      <c r="F148" s="11" t="s">
        <v>39</v>
      </c>
      <c r="G148" s="11" t="n">
        <v>2</v>
      </c>
      <c r="H148" s="11" t="n">
        <v>30</v>
      </c>
      <c r="I148" s="11" t="n">
        <v>8</v>
      </c>
      <c r="J148" s="11" t="s">
        <v>40</v>
      </c>
      <c r="K148" s="11" t="n">
        <f aca="false">IF($J148="Y","",IF($F148="BW",$I148,$H148*$I148))</f>
        <v>240</v>
      </c>
      <c r="L148" s="11" t="str">
        <f aca="false">$D148&amp;"|"&amp;$H148</f>
        <v>Shoulder Press|30</v>
      </c>
      <c r="M148" s="11" t="s">
        <v>99</v>
      </c>
    </row>
    <row r="149" customFormat="false" ht="15" hidden="false" customHeight="false" outlineLevel="0" collapsed="false">
      <c r="A149" s="10" t="n">
        <v>46073</v>
      </c>
      <c r="B149" s="11" t="s">
        <v>82</v>
      </c>
      <c r="C149" s="11" t="s">
        <v>36</v>
      </c>
      <c r="D149" s="11" t="s">
        <v>76</v>
      </c>
      <c r="E149" s="11" t="s">
        <v>72</v>
      </c>
      <c r="F149" s="11" t="s">
        <v>39</v>
      </c>
      <c r="G149" s="11" t="n">
        <v>3</v>
      </c>
      <c r="H149" s="11" t="n">
        <v>30</v>
      </c>
      <c r="I149" s="11" t="n">
        <v>8</v>
      </c>
      <c r="J149" s="11" t="s">
        <v>40</v>
      </c>
      <c r="K149" s="11" t="n">
        <f aca="false">IF($J149="Y","",IF($F149="BW",$I149,$H149*$I149))</f>
        <v>240</v>
      </c>
      <c r="L149" s="11" t="str">
        <f aca="false">$D149&amp;"|"&amp;$H149</f>
        <v>Shoulder Press|30</v>
      </c>
      <c r="M149" s="11" t="s">
        <v>99</v>
      </c>
    </row>
    <row r="150" customFormat="false" ht="15" hidden="false" customHeight="false" outlineLevel="0" collapsed="false">
      <c r="A150" s="10" t="n">
        <v>46074</v>
      </c>
      <c r="B150" s="11" t="s">
        <v>60</v>
      </c>
      <c r="C150" s="11" t="s">
        <v>108</v>
      </c>
      <c r="D150" s="11" t="s">
        <v>73</v>
      </c>
      <c r="E150" s="11" t="s">
        <v>74</v>
      </c>
      <c r="F150" s="11" t="s">
        <v>75</v>
      </c>
      <c r="G150" s="11" t="n">
        <v>1</v>
      </c>
      <c r="H150" s="11" t="n">
        <v>15</v>
      </c>
      <c r="I150" s="11" t="n">
        <v>8</v>
      </c>
      <c r="J150" s="11" t="s">
        <v>40</v>
      </c>
      <c r="K150" s="11" t="n">
        <f aca="false">IF($J150="Y","",IF($F150="BW",$I150,$H150*$I150))</f>
        <v>120</v>
      </c>
      <c r="L150" s="11" t="str">
        <f aca="false">$D150&amp;"|"&amp;$H150</f>
        <v>Single Arm Lat Pulldown|15</v>
      </c>
      <c r="M150" s="11" t="s">
        <v>99</v>
      </c>
    </row>
    <row r="151" customFormat="false" ht="15" hidden="false" customHeight="false" outlineLevel="0" collapsed="false">
      <c r="A151" s="10" t="n">
        <v>46074</v>
      </c>
      <c r="B151" s="11" t="s">
        <v>60</v>
      </c>
      <c r="C151" s="11" t="s">
        <v>108</v>
      </c>
      <c r="D151" s="11" t="s">
        <v>73</v>
      </c>
      <c r="E151" s="11" t="s">
        <v>74</v>
      </c>
      <c r="F151" s="11" t="s">
        <v>75</v>
      </c>
      <c r="G151" s="11" t="n">
        <v>2</v>
      </c>
      <c r="H151" s="11" t="n">
        <v>17.5</v>
      </c>
      <c r="I151" s="11" t="n">
        <v>8</v>
      </c>
      <c r="J151" s="11" t="s">
        <v>40</v>
      </c>
      <c r="K151" s="11" t="n">
        <f aca="false">IF($J151="Y","",IF($F151="BW",$I151,$H151*$I151))</f>
        <v>140</v>
      </c>
      <c r="L151" s="11" t="str">
        <f aca="false">$D151&amp;"|"&amp;$H151</f>
        <v>Single Arm Lat Pulldown|17.5</v>
      </c>
      <c r="M151" s="11" t="s">
        <v>99</v>
      </c>
    </row>
    <row r="152" customFormat="false" ht="15" hidden="false" customHeight="false" outlineLevel="0" collapsed="false">
      <c r="A152" s="10" t="n">
        <v>46074</v>
      </c>
      <c r="B152" s="11" t="s">
        <v>60</v>
      </c>
      <c r="C152" s="11" t="s">
        <v>108</v>
      </c>
      <c r="D152" s="11" t="s">
        <v>73</v>
      </c>
      <c r="E152" s="11" t="s">
        <v>74</v>
      </c>
      <c r="F152" s="11" t="s">
        <v>75</v>
      </c>
      <c r="G152" s="11" t="n">
        <v>3</v>
      </c>
      <c r="H152" s="11" t="n">
        <v>22.5</v>
      </c>
      <c r="I152" s="11" t="n">
        <v>8</v>
      </c>
      <c r="J152" s="11" t="s">
        <v>40</v>
      </c>
      <c r="K152" s="11" t="n">
        <f aca="false">IF($J152="Y","",IF($F152="BW",$I152,$H152*$I152))</f>
        <v>180</v>
      </c>
      <c r="L152" s="11" t="str">
        <f aca="false">$D152&amp;"|"&amp;$H152</f>
        <v>Single Arm Lat Pulldown|22.5</v>
      </c>
      <c r="M152" s="11" t="s">
        <v>99</v>
      </c>
    </row>
    <row r="153" customFormat="false" ht="15" hidden="false" customHeight="false" outlineLevel="0" collapsed="false">
      <c r="A153" s="10" t="n">
        <v>46074</v>
      </c>
      <c r="B153" s="11" t="s">
        <v>60</v>
      </c>
      <c r="C153" s="11" t="s">
        <v>108</v>
      </c>
      <c r="D153" s="11" t="s">
        <v>79</v>
      </c>
      <c r="E153" s="11" t="s">
        <v>72</v>
      </c>
      <c r="F153" s="11" t="s">
        <v>39</v>
      </c>
      <c r="G153" s="11" t="n">
        <v>1</v>
      </c>
      <c r="H153" s="11" t="n">
        <v>28</v>
      </c>
      <c r="I153" s="11" t="n">
        <v>8</v>
      </c>
      <c r="J153" s="11" t="s">
        <v>40</v>
      </c>
      <c r="K153" s="11" t="n">
        <f aca="false">IF($J153="Y","",IF($F153="BW",$I153,$H153*$I153))</f>
        <v>224</v>
      </c>
      <c r="L153" s="11" t="str">
        <f aca="false">$D153&amp;"|"&amp;$H153</f>
        <v>DB Rows|28</v>
      </c>
      <c r="M153" s="11" t="s">
        <v>99</v>
      </c>
    </row>
    <row r="154" customFormat="false" ht="15" hidden="false" customHeight="false" outlineLevel="0" collapsed="false">
      <c r="A154" s="10" t="n">
        <v>46074</v>
      </c>
      <c r="B154" s="11" t="s">
        <v>60</v>
      </c>
      <c r="C154" s="11" t="s">
        <v>108</v>
      </c>
      <c r="D154" s="11" t="s">
        <v>79</v>
      </c>
      <c r="E154" s="11" t="s">
        <v>72</v>
      </c>
      <c r="F154" s="11" t="s">
        <v>39</v>
      </c>
      <c r="G154" s="11" t="n">
        <v>2</v>
      </c>
      <c r="H154" s="11" t="n">
        <v>30</v>
      </c>
      <c r="I154" s="11" t="n">
        <v>8</v>
      </c>
      <c r="J154" s="11" t="s">
        <v>40</v>
      </c>
      <c r="K154" s="11" t="n">
        <f aca="false">IF($J154="Y","",IF($F154="BW",$I154,$H154*$I154))</f>
        <v>240</v>
      </c>
      <c r="L154" s="11" t="str">
        <f aca="false">$D154&amp;"|"&amp;$H154</f>
        <v>DB Rows|30</v>
      </c>
      <c r="M154" s="11" t="s">
        <v>99</v>
      </c>
    </row>
    <row r="155" customFormat="false" ht="15" hidden="false" customHeight="false" outlineLevel="0" collapsed="false">
      <c r="A155" s="10" t="n">
        <v>46074</v>
      </c>
      <c r="B155" s="11" t="s">
        <v>60</v>
      </c>
      <c r="C155" s="11" t="s">
        <v>108</v>
      </c>
      <c r="D155" s="11" t="s">
        <v>79</v>
      </c>
      <c r="E155" s="11" t="s">
        <v>72</v>
      </c>
      <c r="F155" s="11" t="s">
        <v>39</v>
      </c>
      <c r="G155" s="11" t="n">
        <v>3</v>
      </c>
      <c r="H155" s="11" t="n">
        <v>30</v>
      </c>
      <c r="I155" s="11" t="n">
        <v>8</v>
      </c>
      <c r="J155" s="11" t="s">
        <v>40</v>
      </c>
      <c r="K155" s="11" t="n">
        <f aca="false">IF($J155="Y","",IF($F155="BW",$I155,$H155*$I155))</f>
        <v>240</v>
      </c>
      <c r="L155" s="11" t="str">
        <f aca="false">$D155&amp;"|"&amp;$H155</f>
        <v>DB Rows|30</v>
      </c>
      <c r="M155" s="11" t="s">
        <v>99</v>
      </c>
    </row>
    <row r="156" customFormat="false" ht="15" hidden="false" customHeight="false" outlineLevel="0" collapsed="false">
      <c r="A156" s="10" t="n">
        <v>46074</v>
      </c>
      <c r="B156" s="11" t="s">
        <v>60</v>
      </c>
      <c r="C156" s="11" t="s">
        <v>108</v>
      </c>
      <c r="D156" s="11" t="s">
        <v>77</v>
      </c>
      <c r="E156" s="11" t="s">
        <v>72</v>
      </c>
      <c r="F156" s="11" t="s">
        <v>39</v>
      </c>
      <c r="G156" s="11" t="n">
        <v>1</v>
      </c>
      <c r="H156" s="11" t="n">
        <v>25</v>
      </c>
      <c r="I156" s="11" t="n">
        <v>8</v>
      </c>
      <c r="J156" s="11" t="s">
        <v>40</v>
      </c>
      <c r="K156" s="11" t="n">
        <f aca="false">IF($J156="Y","",IF($F156="BW",$I156,$H156*$I156))</f>
        <v>200</v>
      </c>
      <c r="L156" s="11" t="str">
        <f aca="false">$D156&amp;"|"&amp;$H156</f>
        <v>Bicep Curls (DB)|25</v>
      </c>
      <c r="M156" s="11" t="s">
        <v>99</v>
      </c>
    </row>
    <row r="157" customFormat="false" ht="15" hidden="false" customHeight="false" outlineLevel="0" collapsed="false">
      <c r="A157" s="10" t="n">
        <v>46074</v>
      </c>
      <c r="B157" s="11" t="s">
        <v>60</v>
      </c>
      <c r="C157" s="11" t="s">
        <v>108</v>
      </c>
      <c r="D157" s="11" t="s">
        <v>77</v>
      </c>
      <c r="E157" s="11" t="s">
        <v>72</v>
      </c>
      <c r="F157" s="11" t="s">
        <v>39</v>
      </c>
      <c r="G157" s="11" t="n">
        <v>2</v>
      </c>
      <c r="H157" s="11" t="n">
        <v>25</v>
      </c>
      <c r="I157" s="11" t="n">
        <v>8</v>
      </c>
      <c r="J157" s="11" t="s">
        <v>40</v>
      </c>
      <c r="K157" s="11" t="n">
        <f aca="false">IF($J157="Y","",IF($F157="BW",$I157,$H157*$I157))</f>
        <v>200</v>
      </c>
      <c r="L157" s="11" t="str">
        <f aca="false">$D157&amp;"|"&amp;$H157</f>
        <v>Bicep Curls (DB)|25</v>
      </c>
      <c r="M157" s="11" t="s">
        <v>99</v>
      </c>
    </row>
    <row r="158" customFormat="false" ht="15" hidden="false" customHeight="false" outlineLevel="0" collapsed="false">
      <c r="A158" s="10" t="n">
        <v>46075</v>
      </c>
      <c r="B158" s="11" t="s">
        <v>83</v>
      </c>
      <c r="C158" s="11" t="s">
        <v>109</v>
      </c>
      <c r="D158" s="11" t="s">
        <v>77</v>
      </c>
      <c r="E158" s="11" t="s">
        <v>72</v>
      </c>
      <c r="F158" s="11" t="s">
        <v>39</v>
      </c>
      <c r="G158" s="11" t="n">
        <v>1</v>
      </c>
      <c r="H158" s="11" t="n">
        <v>25</v>
      </c>
      <c r="I158" s="11" t="n">
        <v>8</v>
      </c>
      <c r="J158" s="11" t="s">
        <v>40</v>
      </c>
      <c r="K158" s="11" t="n">
        <f aca="false">IF($J158="Y","",IF($F158="BW",$I158,$H158*$I158))</f>
        <v>200</v>
      </c>
      <c r="L158" s="11" t="str">
        <f aca="false">$D158&amp;"|"&amp;$H158</f>
        <v>Bicep Curls (DB)|25</v>
      </c>
      <c r="M158" s="11" t="s">
        <v>99</v>
      </c>
    </row>
    <row r="159" customFormat="false" ht="15" hidden="false" customHeight="false" outlineLevel="0" collapsed="false">
      <c r="A159" s="10" t="n">
        <v>46075</v>
      </c>
      <c r="B159" s="11" t="s">
        <v>83</v>
      </c>
      <c r="C159" s="11" t="s">
        <v>109</v>
      </c>
      <c r="D159" s="11" t="s">
        <v>77</v>
      </c>
      <c r="E159" s="11" t="s">
        <v>72</v>
      </c>
      <c r="F159" s="11" t="s">
        <v>39</v>
      </c>
      <c r="G159" s="11" t="n">
        <v>2</v>
      </c>
      <c r="H159" s="11" t="n">
        <v>25</v>
      </c>
      <c r="I159" s="11" t="n">
        <v>8</v>
      </c>
      <c r="J159" s="11" t="s">
        <v>40</v>
      </c>
      <c r="K159" s="11" t="n">
        <f aca="false">IF($J159="Y","",IF($F159="BW",$I159,$H159*$I159))</f>
        <v>200</v>
      </c>
      <c r="L159" s="11" t="str">
        <f aca="false">$D159&amp;"|"&amp;$H159</f>
        <v>Bicep Curls (DB)|25</v>
      </c>
      <c r="M159" s="11" t="s">
        <v>99</v>
      </c>
    </row>
    <row r="160" customFormat="false" ht="15" hidden="false" customHeight="false" outlineLevel="0" collapsed="false">
      <c r="A160" s="10" t="n">
        <v>46075</v>
      </c>
      <c r="B160" s="11" t="s">
        <v>83</v>
      </c>
      <c r="C160" s="11" t="s">
        <v>109</v>
      </c>
      <c r="D160" s="11" t="s">
        <v>80</v>
      </c>
      <c r="E160" s="11" t="s">
        <v>72</v>
      </c>
      <c r="F160" s="11" t="s">
        <v>39</v>
      </c>
      <c r="G160" s="11" t="n">
        <v>1</v>
      </c>
      <c r="H160" s="11" t="n">
        <v>40</v>
      </c>
      <c r="I160" s="11" t="n">
        <v>8</v>
      </c>
      <c r="J160" s="11" t="s">
        <v>40</v>
      </c>
      <c r="K160" s="11" t="n">
        <f aca="false">IF($J160="Y","",IF($F160="BW",$I160,$H160*$I160))</f>
        <v>320</v>
      </c>
      <c r="L160" s="11" t="str">
        <f aca="false">$D160&amp;"|"&amp;$H160</f>
        <v>Tricep Ext Overhead|40</v>
      </c>
      <c r="M160" s="11" t="s">
        <v>99</v>
      </c>
    </row>
    <row r="161" customFormat="false" ht="15" hidden="false" customHeight="false" outlineLevel="0" collapsed="false">
      <c r="A161" s="10" t="n">
        <v>46075</v>
      </c>
      <c r="B161" s="11" t="s">
        <v>83</v>
      </c>
      <c r="C161" s="11" t="s">
        <v>109</v>
      </c>
      <c r="D161" s="11" t="s">
        <v>80</v>
      </c>
      <c r="E161" s="11" t="s">
        <v>72</v>
      </c>
      <c r="F161" s="11" t="s">
        <v>39</v>
      </c>
      <c r="G161" s="11" t="n">
        <v>2</v>
      </c>
      <c r="H161" s="11" t="n">
        <v>45</v>
      </c>
      <c r="I161" s="11" t="n">
        <v>8</v>
      </c>
      <c r="J161" s="11" t="s">
        <v>40</v>
      </c>
      <c r="K161" s="11" t="n">
        <f aca="false">IF($J161="Y","",IF($F161="BW",$I161,$H161*$I161))</f>
        <v>360</v>
      </c>
      <c r="L161" s="11" t="str">
        <f aca="false">$D161&amp;"|"&amp;$H161</f>
        <v>Tricep Ext Overhead|45</v>
      </c>
      <c r="M161" s="11" t="s">
        <v>99</v>
      </c>
    </row>
    <row r="162" customFormat="false" ht="15" hidden="false" customHeight="false" outlineLevel="0" collapsed="false">
      <c r="A162" s="10" t="n">
        <v>46075</v>
      </c>
      <c r="B162" s="11" t="s">
        <v>83</v>
      </c>
      <c r="C162" s="11" t="s">
        <v>109</v>
      </c>
      <c r="D162" s="11" t="s">
        <v>80</v>
      </c>
      <c r="E162" s="11" t="s">
        <v>72</v>
      </c>
      <c r="F162" s="11" t="s">
        <v>39</v>
      </c>
      <c r="G162" s="11" t="n">
        <v>3</v>
      </c>
      <c r="H162" s="11" t="n">
        <v>45</v>
      </c>
      <c r="I162" s="11" t="n">
        <v>8</v>
      </c>
      <c r="J162" s="11" t="s">
        <v>40</v>
      </c>
      <c r="K162" s="11" t="n">
        <f aca="false">IF($J162="Y","",IF($F162="BW",$I162,$H162*$I162))</f>
        <v>360</v>
      </c>
      <c r="L162" s="11" t="str">
        <f aca="false">$D162&amp;"|"&amp;$H162</f>
        <v>Tricep Ext Overhead|45</v>
      </c>
      <c r="M162" s="11" t="s">
        <v>99</v>
      </c>
    </row>
    <row r="163" customFormat="false" ht="15" hidden="false" customHeight="false" outlineLevel="0" collapsed="false">
      <c r="A163" s="10" t="n">
        <v>46075</v>
      </c>
      <c r="B163" s="11" t="s">
        <v>83</v>
      </c>
      <c r="C163" s="11" t="s">
        <v>109</v>
      </c>
      <c r="D163" s="11" t="s">
        <v>110</v>
      </c>
      <c r="E163" s="11" t="s">
        <v>38</v>
      </c>
      <c r="F163" s="11" t="s">
        <v>39</v>
      </c>
      <c r="G163" s="11" t="n">
        <v>1</v>
      </c>
      <c r="H163" s="11" t="n">
        <v>50</v>
      </c>
      <c r="I163" s="11" t="n">
        <v>8</v>
      </c>
      <c r="J163" s="11" t="s">
        <v>40</v>
      </c>
      <c r="K163" s="11" t="n">
        <f aca="false">IF($J163="Y","",IF($F163="BW",$I163,$H163*$I163))</f>
        <v>400</v>
      </c>
      <c r="L163" s="11" t="str">
        <f aca="false">$D163&amp;"|"&amp;$H163</f>
        <v>Bench Press (Smith)|50</v>
      </c>
      <c r="M163" s="11" t="s">
        <v>99</v>
      </c>
    </row>
    <row r="164" customFormat="false" ht="15" hidden="false" customHeight="false" outlineLevel="0" collapsed="false">
      <c r="A164" s="10" t="n">
        <v>46075</v>
      </c>
      <c r="B164" s="11" t="s">
        <v>83</v>
      </c>
      <c r="C164" s="11" t="s">
        <v>109</v>
      </c>
      <c r="D164" s="11" t="s">
        <v>110</v>
      </c>
      <c r="E164" s="11" t="s">
        <v>38</v>
      </c>
      <c r="F164" s="11" t="s">
        <v>39</v>
      </c>
      <c r="G164" s="11" t="n">
        <v>2</v>
      </c>
      <c r="H164" s="11" t="n">
        <v>55</v>
      </c>
      <c r="I164" s="11" t="n">
        <v>8</v>
      </c>
      <c r="J164" s="11" t="s">
        <v>40</v>
      </c>
      <c r="K164" s="11" t="n">
        <f aca="false">IF($J164="Y","",IF($F164="BW",$I164,$H164*$I164))</f>
        <v>440</v>
      </c>
      <c r="L164" s="11" t="str">
        <f aca="false">$D164&amp;"|"&amp;$H164</f>
        <v>Bench Press (Smith)|55</v>
      </c>
      <c r="M164" s="11" t="s">
        <v>99</v>
      </c>
    </row>
    <row r="165" customFormat="false" ht="15" hidden="false" customHeight="false" outlineLevel="0" collapsed="false">
      <c r="A165" s="10" t="n">
        <v>46075</v>
      </c>
      <c r="B165" s="11" t="s">
        <v>83</v>
      </c>
      <c r="C165" s="11" t="s">
        <v>109</v>
      </c>
      <c r="D165" s="11" t="s">
        <v>110</v>
      </c>
      <c r="E165" s="11" t="s">
        <v>38</v>
      </c>
      <c r="F165" s="11" t="s">
        <v>39</v>
      </c>
      <c r="G165" s="11" t="n">
        <v>3</v>
      </c>
      <c r="H165" s="11" t="n">
        <v>60</v>
      </c>
      <c r="I165" s="11" t="n">
        <v>8</v>
      </c>
      <c r="J165" s="11" t="s">
        <v>40</v>
      </c>
      <c r="K165" s="11" t="n">
        <f aca="false">IF($J165="Y","",IF($F165="BW",$I165,$H165*$I165))</f>
        <v>480</v>
      </c>
      <c r="L165" s="11" t="str">
        <f aca="false">$D165&amp;"|"&amp;$H165</f>
        <v>Bench Press (Smith)|60</v>
      </c>
      <c r="M165" s="11" t="s">
        <v>99</v>
      </c>
    </row>
    <row r="166" customFormat="false" ht="15" hidden="false" customHeight="false" outlineLevel="0" collapsed="false">
      <c r="A166" s="10" t="n">
        <v>46075</v>
      </c>
      <c r="B166" s="11" t="s">
        <v>83</v>
      </c>
      <c r="C166" s="11" t="s">
        <v>109</v>
      </c>
      <c r="D166" s="11" t="s">
        <v>76</v>
      </c>
      <c r="E166" s="11" t="s">
        <v>72</v>
      </c>
      <c r="F166" s="11" t="s">
        <v>39</v>
      </c>
      <c r="G166" s="11" t="n">
        <v>1</v>
      </c>
      <c r="H166" s="11" t="n">
        <v>25</v>
      </c>
      <c r="I166" s="11" t="n">
        <v>8</v>
      </c>
      <c r="J166" s="11" t="s">
        <v>40</v>
      </c>
      <c r="K166" s="11" t="n">
        <f aca="false">IF($J166="Y","",IF($F166="BW",$I166,$H166*$I166))</f>
        <v>200</v>
      </c>
      <c r="L166" s="11" t="str">
        <f aca="false">$D166&amp;"|"&amp;$H166</f>
        <v>Shoulder Press|25</v>
      </c>
      <c r="M166" s="11" t="s">
        <v>99</v>
      </c>
    </row>
    <row r="167" customFormat="false" ht="15" hidden="false" customHeight="false" outlineLevel="0" collapsed="false">
      <c r="A167" s="10" t="n">
        <v>46075</v>
      </c>
      <c r="B167" s="11" t="s">
        <v>83</v>
      </c>
      <c r="C167" s="11" t="s">
        <v>109</v>
      </c>
      <c r="D167" s="11" t="s">
        <v>76</v>
      </c>
      <c r="E167" s="11" t="s">
        <v>72</v>
      </c>
      <c r="F167" s="11" t="s">
        <v>39</v>
      </c>
      <c r="G167" s="11" t="n">
        <v>2</v>
      </c>
      <c r="H167" s="11" t="n">
        <v>30</v>
      </c>
      <c r="I167" s="11" t="n">
        <v>8</v>
      </c>
      <c r="J167" s="11" t="s">
        <v>40</v>
      </c>
      <c r="K167" s="11" t="n">
        <f aca="false">IF($J167="Y","",IF($F167="BW",$I167,$H167*$I167))</f>
        <v>240</v>
      </c>
      <c r="L167" s="11" t="str">
        <f aca="false">$D167&amp;"|"&amp;$H167</f>
        <v>Shoulder Press|30</v>
      </c>
      <c r="M167" s="11" t="s">
        <v>99</v>
      </c>
    </row>
    <row r="168" customFormat="false" ht="15" hidden="false" customHeight="false" outlineLevel="0" collapsed="false">
      <c r="A168" s="10" t="n">
        <v>46075</v>
      </c>
      <c r="B168" s="11" t="s">
        <v>83</v>
      </c>
      <c r="C168" s="11" t="s">
        <v>109</v>
      </c>
      <c r="D168" s="11" t="s">
        <v>76</v>
      </c>
      <c r="E168" s="11" t="s">
        <v>72</v>
      </c>
      <c r="F168" s="11" t="s">
        <v>39</v>
      </c>
      <c r="G168" s="11" t="n">
        <v>3</v>
      </c>
      <c r="H168" s="11" t="n">
        <v>30</v>
      </c>
      <c r="I168" s="11" t="n">
        <v>8</v>
      </c>
      <c r="J168" s="11" t="s">
        <v>40</v>
      </c>
      <c r="K168" s="11" t="n">
        <f aca="false">IF($J168="Y","",IF($F168="BW",$I168,$H168*$I168))</f>
        <v>240</v>
      </c>
      <c r="L168" s="11" t="str">
        <f aca="false">$D168&amp;"|"&amp;$H168</f>
        <v>Shoulder Press|30</v>
      </c>
      <c r="M168" s="11" t="s">
        <v>99</v>
      </c>
    </row>
    <row r="169" customFormat="false" ht="15" hidden="false" customHeight="false" outlineLevel="0" collapsed="false">
      <c r="A169" s="10" t="n">
        <v>46075</v>
      </c>
      <c r="B169" s="11" t="s">
        <v>83</v>
      </c>
      <c r="C169" s="11" t="s">
        <v>109</v>
      </c>
      <c r="D169" s="11" t="s">
        <v>85</v>
      </c>
      <c r="E169" s="11" t="s">
        <v>72</v>
      </c>
      <c r="F169" s="11" t="s">
        <v>39</v>
      </c>
      <c r="G169" s="11" t="n">
        <v>1</v>
      </c>
      <c r="H169" s="11" t="n">
        <v>15</v>
      </c>
      <c r="I169" s="11" t="n">
        <v>10</v>
      </c>
      <c r="J169" s="11" t="s">
        <v>40</v>
      </c>
      <c r="K169" s="11" t="n">
        <f aca="false">IF($J169="Y","",IF($F169="BW",$I169,$H169*$I169))</f>
        <v>150</v>
      </c>
      <c r="L169" s="11" t="str">
        <f aca="false">$D169&amp;"|"&amp;$H169</f>
        <v>Incline Flyes|15</v>
      </c>
      <c r="M169" s="11" t="s">
        <v>99</v>
      </c>
    </row>
    <row r="170" customFormat="false" ht="15" hidden="false" customHeight="false" outlineLevel="0" collapsed="false">
      <c r="A170" s="10" t="n">
        <v>46075</v>
      </c>
      <c r="B170" s="11" t="s">
        <v>83</v>
      </c>
      <c r="C170" s="11" t="s">
        <v>109</v>
      </c>
      <c r="D170" s="11" t="s">
        <v>85</v>
      </c>
      <c r="E170" s="11" t="s">
        <v>72</v>
      </c>
      <c r="F170" s="11" t="s">
        <v>39</v>
      </c>
      <c r="G170" s="11" t="n">
        <v>2</v>
      </c>
      <c r="H170" s="11" t="n">
        <v>15</v>
      </c>
      <c r="I170" s="11" t="n">
        <v>10</v>
      </c>
      <c r="J170" s="11" t="s">
        <v>40</v>
      </c>
      <c r="K170" s="11" t="n">
        <f aca="false">IF($J170="Y","",IF($F170="BW",$I170,$H170*$I170))</f>
        <v>150</v>
      </c>
      <c r="L170" s="11" t="str">
        <f aca="false">$D170&amp;"|"&amp;$H170</f>
        <v>Incline Flyes|15</v>
      </c>
      <c r="M170" s="11" t="s">
        <v>99</v>
      </c>
    </row>
    <row r="171" customFormat="false" ht="15" hidden="false" customHeight="false" outlineLevel="0" collapsed="false">
      <c r="A171" s="10" t="n">
        <v>46075</v>
      </c>
      <c r="B171" s="11" t="s">
        <v>83</v>
      </c>
      <c r="C171" s="11" t="s">
        <v>109</v>
      </c>
      <c r="D171" s="11" t="s">
        <v>85</v>
      </c>
      <c r="E171" s="11" t="s">
        <v>72</v>
      </c>
      <c r="F171" s="11" t="s">
        <v>39</v>
      </c>
      <c r="G171" s="11" t="n">
        <v>3</v>
      </c>
      <c r="H171" s="11" t="n">
        <v>15</v>
      </c>
      <c r="I171" s="11" t="n">
        <v>10</v>
      </c>
      <c r="J171" s="11" t="s">
        <v>40</v>
      </c>
      <c r="K171" s="11" t="n">
        <f aca="false">IF($J171="Y","",IF($F171="BW",$I171,$H171*$I171))</f>
        <v>150</v>
      </c>
      <c r="L171" s="11" t="str">
        <f aca="false">$D171&amp;"|"&amp;$H171</f>
        <v>Incline Flyes|15</v>
      </c>
      <c r="M171" s="11" t="s">
        <v>99</v>
      </c>
    </row>
    <row r="172" customFormat="false" ht="15" hidden="false" customHeight="false" outlineLevel="0" collapsed="false">
      <c r="A172" s="10" t="n">
        <v>46080</v>
      </c>
      <c r="B172" s="11" t="s">
        <v>82</v>
      </c>
      <c r="C172" s="11" t="s">
        <v>111</v>
      </c>
      <c r="D172" s="11" t="s">
        <v>73</v>
      </c>
      <c r="E172" s="11" t="s">
        <v>74</v>
      </c>
      <c r="F172" s="11" t="s">
        <v>75</v>
      </c>
      <c r="G172" s="11" t="n">
        <v>1</v>
      </c>
      <c r="H172" s="11" t="n">
        <v>17.5</v>
      </c>
      <c r="I172" s="11" t="n">
        <v>8</v>
      </c>
      <c r="J172" s="11" t="s">
        <v>40</v>
      </c>
      <c r="K172" s="11" t="n">
        <f aca="false">IF($J172="Y","",IF($F172="BW",$I172,$H172*$I172))</f>
        <v>140</v>
      </c>
      <c r="L172" s="11" t="str">
        <f aca="false">$D172&amp;"|"&amp;$H172</f>
        <v>Single Arm Lat Pulldown|17.5</v>
      </c>
      <c r="M172" s="11" t="s">
        <v>99</v>
      </c>
    </row>
    <row r="173" customFormat="false" ht="15" hidden="false" customHeight="false" outlineLevel="0" collapsed="false">
      <c r="A173" s="10" t="n">
        <v>46080</v>
      </c>
      <c r="B173" s="11" t="s">
        <v>82</v>
      </c>
      <c r="C173" s="11" t="s">
        <v>111</v>
      </c>
      <c r="D173" s="11" t="s">
        <v>73</v>
      </c>
      <c r="E173" s="11" t="s">
        <v>74</v>
      </c>
      <c r="F173" s="11" t="s">
        <v>75</v>
      </c>
      <c r="G173" s="11" t="n">
        <v>2</v>
      </c>
      <c r="H173" s="11" t="n">
        <v>22.5</v>
      </c>
      <c r="I173" s="11" t="n">
        <v>8</v>
      </c>
      <c r="J173" s="11" t="s">
        <v>40</v>
      </c>
      <c r="K173" s="11" t="n">
        <f aca="false">IF($J173="Y","",IF($F173="BW",$I173,$H173*$I173))</f>
        <v>180</v>
      </c>
      <c r="L173" s="11" t="str">
        <f aca="false">$D173&amp;"|"&amp;$H173</f>
        <v>Single Arm Lat Pulldown|22.5</v>
      </c>
      <c r="M173" s="11" t="s">
        <v>99</v>
      </c>
    </row>
    <row r="174" customFormat="false" ht="15" hidden="false" customHeight="false" outlineLevel="0" collapsed="false">
      <c r="A174" s="10" t="n">
        <v>46080</v>
      </c>
      <c r="B174" s="11" t="s">
        <v>82</v>
      </c>
      <c r="C174" s="11" t="s">
        <v>111</v>
      </c>
      <c r="D174" s="11" t="s">
        <v>73</v>
      </c>
      <c r="E174" s="11" t="s">
        <v>74</v>
      </c>
      <c r="F174" s="11" t="s">
        <v>75</v>
      </c>
      <c r="G174" s="11" t="n">
        <v>3</v>
      </c>
      <c r="H174" s="11" t="n">
        <v>22.5</v>
      </c>
      <c r="I174" s="11" t="n">
        <v>8</v>
      </c>
      <c r="J174" s="11" t="s">
        <v>40</v>
      </c>
      <c r="K174" s="11" t="n">
        <f aca="false">IF($J174="Y","",IF($F174="BW",$I174,$H174*$I174))</f>
        <v>180</v>
      </c>
      <c r="L174" s="11" t="str">
        <f aca="false">$D174&amp;"|"&amp;$H174</f>
        <v>Single Arm Lat Pulldown|22.5</v>
      </c>
      <c r="M174" s="11" t="s">
        <v>99</v>
      </c>
    </row>
    <row r="175" customFormat="false" ht="15" hidden="false" customHeight="false" outlineLevel="0" collapsed="false">
      <c r="A175" s="10" t="n">
        <v>46080</v>
      </c>
      <c r="B175" s="11" t="s">
        <v>82</v>
      </c>
      <c r="C175" s="11" t="s">
        <v>111</v>
      </c>
      <c r="D175" s="11" t="s">
        <v>79</v>
      </c>
      <c r="E175" s="11" t="s">
        <v>72</v>
      </c>
      <c r="F175" s="11" t="s">
        <v>39</v>
      </c>
      <c r="G175" s="11" t="n">
        <v>1</v>
      </c>
      <c r="H175" s="11" t="n">
        <v>25</v>
      </c>
      <c r="I175" s="11" t="n">
        <v>8</v>
      </c>
      <c r="J175" s="11" t="s">
        <v>40</v>
      </c>
      <c r="K175" s="11" t="n">
        <f aca="false">IF($J175="Y","",IF($F175="BW",$I175,$H175*$I175))</f>
        <v>200</v>
      </c>
      <c r="L175" s="11" t="str">
        <f aca="false">$D175&amp;"|"&amp;$H175</f>
        <v>DB Rows|25</v>
      </c>
      <c r="M175" s="11" t="s">
        <v>99</v>
      </c>
    </row>
    <row r="176" customFormat="false" ht="15" hidden="false" customHeight="false" outlineLevel="0" collapsed="false">
      <c r="A176" s="10" t="n">
        <v>46080</v>
      </c>
      <c r="B176" s="11" t="s">
        <v>82</v>
      </c>
      <c r="C176" s="11" t="s">
        <v>111</v>
      </c>
      <c r="D176" s="11" t="s">
        <v>79</v>
      </c>
      <c r="E176" s="11" t="s">
        <v>72</v>
      </c>
      <c r="F176" s="11" t="s">
        <v>39</v>
      </c>
      <c r="G176" s="11" t="n">
        <v>2</v>
      </c>
      <c r="H176" s="11" t="n">
        <v>30</v>
      </c>
      <c r="I176" s="11" t="n">
        <v>8</v>
      </c>
      <c r="J176" s="11" t="s">
        <v>40</v>
      </c>
      <c r="K176" s="11" t="n">
        <f aca="false">IF($J176="Y","",IF($F176="BW",$I176,$H176*$I176))</f>
        <v>240</v>
      </c>
      <c r="L176" s="11" t="str">
        <f aca="false">$D176&amp;"|"&amp;$H176</f>
        <v>DB Rows|30</v>
      </c>
      <c r="M176" s="11" t="s">
        <v>99</v>
      </c>
    </row>
    <row r="177" customFormat="false" ht="15" hidden="false" customHeight="false" outlineLevel="0" collapsed="false">
      <c r="A177" s="10" t="n">
        <v>46080</v>
      </c>
      <c r="B177" s="11" t="s">
        <v>82</v>
      </c>
      <c r="C177" s="11" t="s">
        <v>111</v>
      </c>
      <c r="D177" s="11" t="s">
        <v>79</v>
      </c>
      <c r="E177" s="11" t="s">
        <v>72</v>
      </c>
      <c r="F177" s="11" t="s">
        <v>39</v>
      </c>
      <c r="G177" s="11" t="n">
        <v>3</v>
      </c>
      <c r="H177" s="11" t="n">
        <v>30</v>
      </c>
      <c r="I177" s="11" t="n">
        <v>8</v>
      </c>
      <c r="J177" s="11" t="s">
        <v>40</v>
      </c>
      <c r="K177" s="11" t="n">
        <f aca="false">IF($J177="Y","",IF($F177="BW",$I177,$H177*$I177))</f>
        <v>240</v>
      </c>
      <c r="L177" s="11" t="str">
        <f aca="false">$D177&amp;"|"&amp;$H177</f>
        <v>DB Rows|30</v>
      </c>
      <c r="M177" s="11" t="s">
        <v>99</v>
      </c>
    </row>
    <row r="178" customFormat="false" ht="15" hidden="false" customHeight="false" outlineLevel="0" collapsed="false">
      <c r="A178" s="10" t="n">
        <v>46080</v>
      </c>
      <c r="B178" s="11" t="s">
        <v>82</v>
      </c>
      <c r="C178" s="11" t="s">
        <v>111</v>
      </c>
      <c r="D178" s="11" t="s">
        <v>91</v>
      </c>
      <c r="E178" s="11" t="s">
        <v>72</v>
      </c>
      <c r="F178" s="11" t="s">
        <v>39</v>
      </c>
      <c r="G178" s="11" t="n">
        <v>1</v>
      </c>
      <c r="H178" s="11" t="n">
        <v>35</v>
      </c>
      <c r="I178" s="11" t="n">
        <v>8</v>
      </c>
      <c r="J178" s="11" t="s">
        <v>40</v>
      </c>
      <c r="K178" s="11" t="n">
        <f aca="false">IF($J178="Y","",IF($F178="BW",$I178,$H178*$I178))</f>
        <v>280</v>
      </c>
      <c r="L178" s="11" t="str">
        <f aca="false">$D178&amp;"|"&amp;$H178</f>
        <v>Shrugs|35</v>
      </c>
      <c r="M178" s="11" t="s">
        <v>99</v>
      </c>
    </row>
    <row r="179" customFormat="false" ht="15" hidden="false" customHeight="false" outlineLevel="0" collapsed="false">
      <c r="A179" s="10" t="n">
        <v>46080</v>
      </c>
      <c r="B179" s="11" t="s">
        <v>82</v>
      </c>
      <c r="C179" s="11" t="s">
        <v>111</v>
      </c>
      <c r="D179" s="11" t="s">
        <v>91</v>
      </c>
      <c r="E179" s="11" t="s">
        <v>72</v>
      </c>
      <c r="F179" s="11" t="s">
        <v>39</v>
      </c>
      <c r="G179" s="11" t="n">
        <v>2</v>
      </c>
      <c r="H179" s="11" t="n">
        <v>35</v>
      </c>
      <c r="I179" s="11" t="n">
        <v>8</v>
      </c>
      <c r="J179" s="11" t="s">
        <v>40</v>
      </c>
      <c r="K179" s="11" t="n">
        <f aca="false">IF($J179="Y","",IF($F179="BW",$I179,$H179*$I179))</f>
        <v>280</v>
      </c>
      <c r="L179" s="11" t="str">
        <f aca="false">$D179&amp;"|"&amp;$H179</f>
        <v>Shrugs|35</v>
      </c>
      <c r="M179" s="11" t="s">
        <v>99</v>
      </c>
    </row>
    <row r="180" customFormat="false" ht="15" hidden="false" customHeight="false" outlineLevel="0" collapsed="false">
      <c r="A180" s="10" t="n">
        <v>46080</v>
      </c>
      <c r="B180" s="11" t="s">
        <v>82</v>
      </c>
      <c r="C180" s="11" t="s">
        <v>111</v>
      </c>
      <c r="D180" s="11" t="s">
        <v>91</v>
      </c>
      <c r="E180" s="11" t="s">
        <v>72</v>
      </c>
      <c r="F180" s="11" t="s">
        <v>39</v>
      </c>
      <c r="G180" s="11" t="n">
        <v>3</v>
      </c>
      <c r="H180" s="11" t="n">
        <v>35</v>
      </c>
      <c r="I180" s="11" t="n">
        <v>8</v>
      </c>
      <c r="J180" s="11" t="s">
        <v>40</v>
      </c>
      <c r="K180" s="11" t="n">
        <f aca="false">IF($J180="Y","",IF($F180="BW",$I180,$H180*$I180))</f>
        <v>280</v>
      </c>
      <c r="L180" s="11" t="str">
        <f aca="false">$D180&amp;"|"&amp;$H180</f>
        <v>Shrugs|35</v>
      </c>
      <c r="M180" s="11" t="s">
        <v>99</v>
      </c>
    </row>
    <row r="181" customFormat="false" ht="15" hidden="false" customHeight="false" outlineLevel="0" collapsed="false">
      <c r="A181" s="12" t="n">
        <v>46080</v>
      </c>
      <c r="B181" s="13" t="s">
        <v>82</v>
      </c>
      <c r="C181" s="13" t="s">
        <v>111</v>
      </c>
      <c r="D181" s="13" t="s">
        <v>71</v>
      </c>
      <c r="E181" s="13" t="s">
        <v>72</v>
      </c>
      <c r="F181" s="13" t="s">
        <v>39</v>
      </c>
      <c r="G181" s="13" t="n">
        <v>1</v>
      </c>
      <c r="H181" s="13" t="n">
        <v>30</v>
      </c>
      <c r="I181" s="13" t="n">
        <v>8</v>
      </c>
      <c r="J181" s="13" t="s">
        <v>84</v>
      </c>
      <c r="K181" s="13" t="str">
        <f aca="false">IF($J181="Y","",IF($F181="BW",$I181,$H181*$I181))</f>
        <v/>
      </c>
      <c r="L181" s="13" t="str">
        <f aca="false">$D181&amp;"|"&amp;$H181</f>
        <v>Bench Press (DB)|30</v>
      </c>
      <c r="M181" s="13" t="s">
        <v>99</v>
      </c>
    </row>
    <row r="182" customFormat="false" ht="15" hidden="false" customHeight="false" outlineLevel="0" collapsed="false">
      <c r="A182" s="10" t="n">
        <v>46080</v>
      </c>
      <c r="B182" s="11" t="s">
        <v>82</v>
      </c>
      <c r="C182" s="11" t="s">
        <v>111</v>
      </c>
      <c r="D182" s="11" t="s">
        <v>71</v>
      </c>
      <c r="E182" s="11" t="s">
        <v>72</v>
      </c>
      <c r="F182" s="11" t="s">
        <v>39</v>
      </c>
      <c r="G182" s="11" t="n">
        <v>2</v>
      </c>
      <c r="H182" s="11" t="n">
        <v>35</v>
      </c>
      <c r="I182" s="11" t="n">
        <v>8</v>
      </c>
      <c r="J182" s="11" t="s">
        <v>40</v>
      </c>
      <c r="K182" s="11" t="n">
        <f aca="false">IF($J182="Y","",IF($F182="BW",$I182,$H182*$I182))</f>
        <v>280</v>
      </c>
      <c r="L182" s="11" t="str">
        <f aca="false">$D182&amp;"|"&amp;$H182</f>
        <v>Bench Press (DB)|35</v>
      </c>
      <c r="M182" s="11" t="s">
        <v>99</v>
      </c>
    </row>
    <row r="183" customFormat="false" ht="15" hidden="false" customHeight="false" outlineLevel="0" collapsed="false">
      <c r="A183" s="10" t="n">
        <v>46080</v>
      </c>
      <c r="B183" s="11" t="s">
        <v>82</v>
      </c>
      <c r="C183" s="11" t="s">
        <v>111</v>
      </c>
      <c r="D183" s="11" t="s">
        <v>71</v>
      </c>
      <c r="E183" s="11" t="s">
        <v>72</v>
      </c>
      <c r="F183" s="11" t="s">
        <v>39</v>
      </c>
      <c r="G183" s="11" t="n">
        <v>3</v>
      </c>
      <c r="H183" s="11" t="n">
        <v>40</v>
      </c>
      <c r="I183" s="11" t="n">
        <v>8</v>
      </c>
      <c r="J183" s="11" t="s">
        <v>40</v>
      </c>
      <c r="K183" s="11" t="n">
        <f aca="false">IF($J183="Y","",IF($F183="BW",$I183,$H183*$I183))</f>
        <v>320</v>
      </c>
      <c r="L183" s="11" t="str">
        <f aca="false">$D183&amp;"|"&amp;$H183</f>
        <v>Bench Press (DB)|40</v>
      </c>
      <c r="M183" s="11" t="s">
        <v>99</v>
      </c>
    </row>
    <row r="184" customFormat="false" ht="15" hidden="false" customHeight="false" outlineLevel="0" collapsed="false">
      <c r="A184" s="10" t="n">
        <v>46080</v>
      </c>
      <c r="B184" s="11" t="s">
        <v>82</v>
      </c>
      <c r="C184" s="11" t="s">
        <v>111</v>
      </c>
      <c r="D184" s="11" t="s">
        <v>71</v>
      </c>
      <c r="E184" s="11" t="s">
        <v>72</v>
      </c>
      <c r="F184" s="11" t="s">
        <v>39</v>
      </c>
      <c r="G184" s="11" t="n">
        <v>4</v>
      </c>
      <c r="H184" s="11" t="n">
        <v>45</v>
      </c>
      <c r="I184" s="11" t="n">
        <v>8</v>
      </c>
      <c r="J184" s="11" t="s">
        <v>40</v>
      </c>
      <c r="K184" s="11" t="n">
        <f aca="false">IF($J184="Y","",IF($F184="BW",$I184,$H184*$I184))</f>
        <v>360</v>
      </c>
      <c r="L184" s="11" t="str">
        <f aca="false">$D184&amp;"|"&amp;$H184</f>
        <v>Bench Press (DB)|45</v>
      </c>
      <c r="M184" s="11" t="s">
        <v>99</v>
      </c>
    </row>
    <row r="185" customFormat="false" ht="15" hidden="false" customHeight="false" outlineLevel="0" collapsed="false">
      <c r="A185" s="10" t="n">
        <v>46080</v>
      </c>
      <c r="B185" s="11" t="s">
        <v>82</v>
      </c>
      <c r="C185" s="11" t="s">
        <v>111</v>
      </c>
      <c r="D185" s="11" t="s">
        <v>85</v>
      </c>
      <c r="E185" s="11" t="s">
        <v>72</v>
      </c>
      <c r="F185" s="11" t="s">
        <v>39</v>
      </c>
      <c r="G185" s="11" t="n">
        <v>1</v>
      </c>
      <c r="H185" s="11" t="n">
        <v>15</v>
      </c>
      <c r="I185" s="11" t="n">
        <v>10</v>
      </c>
      <c r="J185" s="11" t="s">
        <v>40</v>
      </c>
      <c r="K185" s="11" t="n">
        <f aca="false">IF($J185="Y","",IF($F185="BW",$I185,$H185*$I185))</f>
        <v>150</v>
      </c>
      <c r="L185" s="11" t="str">
        <f aca="false">$D185&amp;"|"&amp;$H185</f>
        <v>Incline Flyes|15</v>
      </c>
      <c r="M185" s="11" t="s">
        <v>99</v>
      </c>
    </row>
    <row r="186" customFormat="false" ht="15" hidden="false" customHeight="false" outlineLevel="0" collapsed="false">
      <c r="A186" s="10" t="n">
        <v>46080</v>
      </c>
      <c r="B186" s="11" t="s">
        <v>82</v>
      </c>
      <c r="C186" s="11" t="s">
        <v>111</v>
      </c>
      <c r="D186" s="11" t="s">
        <v>85</v>
      </c>
      <c r="E186" s="11" t="s">
        <v>72</v>
      </c>
      <c r="F186" s="11" t="s">
        <v>39</v>
      </c>
      <c r="G186" s="11" t="n">
        <v>2</v>
      </c>
      <c r="H186" s="11" t="n">
        <v>20</v>
      </c>
      <c r="I186" s="11" t="n">
        <v>10</v>
      </c>
      <c r="J186" s="11" t="s">
        <v>40</v>
      </c>
      <c r="K186" s="11" t="n">
        <f aca="false">IF($J186="Y","",IF($F186="BW",$I186,$H186*$I186))</f>
        <v>200</v>
      </c>
      <c r="L186" s="11" t="str">
        <f aca="false">$D186&amp;"|"&amp;$H186</f>
        <v>Incline Flyes|20</v>
      </c>
      <c r="M186" s="11" t="s">
        <v>99</v>
      </c>
    </row>
    <row r="187" customFormat="false" ht="15" hidden="false" customHeight="false" outlineLevel="0" collapsed="false">
      <c r="A187" s="10" t="n">
        <v>46080</v>
      </c>
      <c r="B187" s="11" t="s">
        <v>82</v>
      </c>
      <c r="C187" s="11" t="s">
        <v>111</v>
      </c>
      <c r="D187" s="11" t="s">
        <v>85</v>
      </c>
      <c r="E187" s="11" t="s">
        <v>72</v>
      </c>
      <c r="F187" s="11" t="s">
        <v>39</v>
      </c>
      <c r="G187" s="11" t="n">
        <v>3</v>
      </c>
      <c r="H187" s="11" t="n">
        <v>20</v>
      </c>
      <c r="I187" s="11" t="n">
        <v>10</v>
      </c>
      <c r="J187" s="11" t="s">
        <v>40</v>
      </c>
      <c r="K187" s="11" t="n">
        <f aca="false">IF($J187="Y","",IF($F187="BW",$I187,$H187*$I187))</f>
        <v>200</v>
      </c>
      <c r="L187" s="11" t="str">
        <f aca="false">$D187&amp;"|"&amp;$H187</f>
        <v>Incline Flyes|20</v>
      </c>
      <c r="M187" s="11" t="s">
        <v>99</v>
      </c>
    </row>
    <row r="188" customFormat="false" ht="15" hidden="false" customHeight="false" outlineLevel="0" collapsed="false">
      <c r="A188" s="10" t="n">
        <v>46080</v>
      </c>
      <c r="B188" s="11" t="s">
        <v>82</v>
      </c>
      <c r="C188" s="11" t="s">
        <v>111</v>
      </c>
      <c r="D188" s="11" t="s">
        <v>76</v>
      </c>
      <c r="E188" s="11" t="s">
        <v>72</v>
      </c>
      <c r="F188" s="11" t="s">
        <v>39</v>
      </c>
      <c r="G188" s="11" t="n">
        <v>1</v>
      </c>
      <c r="H188" s="11" t="n">
        <v>25</v>
      </c>
      <c r="I188" s="11" t="n">
        <v>8</v>
      </c>
      <c r="J188" s="11" t="s">
        <v>40</v>
      </c>
      <c r="K188" s="11" t="n">
        <f aca="false">IF($J188="Y","",IF($F188="BW",$I188,$H188*$I188))</f>
        <v>200</v>
      </c>
      <c r="L188" s="11" t="str">
        <f aca="false">$D188&amp;"|"&amp;$H188</f>
        <v>Shoulder Press|25</v>
      </c>
      <c r="M188" s="11" t="s">
        <v>99</v>
      </c>
    </row>
    <row r="189" customFormat="false" ht="15" hidden="false" customHeight="false" outlineLevel="0" collapsed="false">
      <c r="A189" s="10" t="n">
        <v>46080</v>
      </c>
      <c r="B189" s="11" t="s">
        <v>82</v>
      </c>
      <c r="C189" s="11" t="s">
        <v>111</v>
      </c>
      <c r="D189" s="11" t="s">
        <v>76</v>
      </c>
      <c r="E189" s="11" t="s">
        <v>72</v>
      </c>
      <c r="F189" s="11" t="s">
        <v>39</v>
      </c>
      <c r="G189" s="11" t="n">
        <v>2</v>
      </c>
      <c r="H189" s="11" t="n">
        <v>30</v>
      </c>
      <c r="I189" s="11" t="n">
        <v>8</v>
      </c>
      <c r="J189" s="11" t="s">
        <v>40</v>
      </c>
      <c r="K189" s="11" t="n">
        <f aca="false">IF($J189="Y","",IF($F189="BW",$I189,$H189*$I189))</f>
        <v>240</v>
      </c>
      <c r="L189" s="11" t="str">
        <f aca="false">$D189&amp;"|"&amp;$H189</f>
        <v>Shoulder Press|30</v>
      </c>
      <c r="M189" s="11" t="s">
        <v>99</v>
      </c>
    </row>
    <row r="190" customFormat="false" ht="15" hidden="false" customHeight="false" outlineLevel="0" collapsed="false">
      <c r="A190" s="10" t="n">
        <v>46080</v>
      </c>
      <c r="B190" s="11" t="s">
        <v>82</v>
      </c>
      <c r="C190" s="11" t="s">
        <v>111</v>
      </c>
      <c r="D190" s="11" t="s">
        <v>76</v>
      </c>
      <c r="E190" s="11" t="s">
        <v>72</v>
      </c>
      <c r="F190" s="11" t="s">
        <v>39</v>
      </c>
      <c r="G190" s="11" t="n">
        <v>3</v>
      </c>
      <c r="H190" s="11" t="n">
        <v>35</v>
      </c>
      <c r="I190" s="11" t="n">
        <v>8</v>
      </c>
      <c r="J190" s="11" t="s">
        <v>40</v>
      </c>
      <c r="K190" s="11" t="n">
        <f aca="false">IF($J190="Y","",IF($F190="BW",$I190,$H190*$I190))</f>
        <v>280</v>
      </c>
      <c r="L190" s="11" t="str">
        <f aca="false">$D190&amp;"|"&amp;$H190</f>
        <v>Shoulder Press|35</v>
      </c>
      <c r="M190" s="11" t="s">
        <v>99</v>
      </c>
    </row>
    <row r="191" customFormat="false" ht="15" hidden="false" customHeight="false" outlineLevel="0" collapsed="false">
      <c r="A191" s="10" t="n">
        <v>46080</v>
      </c>
      <c r="B191" s="11" t="s">
        <v>82</v>
      </c>
      <c r="C191" s="11" t="s">
        <v>111</v>
      </c>
      <c r="D191" s="11" t="s">
        <v>90</v>
      </c>
      <c r="E191" s="11" t="s">
        <v>72</v>
      </c>
      <c r="F191" s="11" t="s">
        <v>39</v>
      </c>
      <c r="G191" s="11" t="n">
        <v>1</v>
      </c>
      <c r="H191" s="11" t="n">
        <v>10</v>
      </c>
      <c r="I191" s="11" t="n">
        <v>12</v>
      </c>
      <c r="J191" s="11" t="s">
        <v>40</v>
      </c>
      <c r="K191" s="11" t="n">
        <f aca="false">IF($J191="Y","",IF($F191="BW",$I191,$H191*$I191))</f>
        <v>120</v>
      </c>
      <c r="L191" s="11" t="str">
        <f aca="false">$D191&amp;"|"&amp;$H191</f>
        <v>Lateral Raises|10</v>
      </c>
      <c r="M191" s="11" t="s">
        <v>99</v>
      </c>
    </row>
    <row r="192" customFormat="false" ht="15" hidden="false" customHeight="false" outlineLevel="0" collapsed="false">
      <c r="A192" s="10" t="n">
        <v>46080</v>
      </c>
      <c r="B192" s="11" t="s">
        <v>82</v>
      </c>
      <c r="C192" s="11" t="s">
        <v>111</v>
      </c>
      <c r="D192" s="11" t="s">
        <v>90</v>
      </c>
      <c r="E192" s="11" t="s">
        <v>72</v>
      </c>
      <c r="F192" s="11" t="s">
        <v>39</v>
      </c>
      <c r="G192" s="11" t="n">
        <v>2</v>
      </c>
      <c r="H192" s="11" t="n">
        <v>10</v>
      </c>
      <c r="I192" s="11" t="n">
        <v>12</v>
      </c>
      <c r="J192" s="11" t="s">
        <v>40</v>
      </c>
      <c r="K192" s="11" t="n">
        <f aca="false">IF($J192="Y","",IF($F192="BW",$I192,$H192*$I192))</f>
        <v>120</v>
      </c>
      <c r="L192" s="11" t="str">
        <f aca="false">$D192&amp;"|"&amp;$H192</f>
        <v>Lateral Raises|10</v>
      </c>
      <c r="M192" s="11" t="s">
        <v>99</v>
      </c>
    </row>
    <row r="193" customFormat="false" ht="15" hidden="false" customHeight="false" outlineLevel="0" collapsed="false">
      <c r="A193" s="10" t="n">
        <v>46080</v>
      </c>
      <c r="B193" s="11" t="s">
        <v>82</v>
      </c>
      <c r="C193" s="11" t="s">
        <v>111</v>
      </c>
      <c r="D193" s="11" t="s">
        <v>90</v>
      </c>
      <c r="E193" s="11" t="s">
        <v>72</v>
      </c>
      <c r="F193" s="11" t="s">
        <v>39</v>
      </c>
      <c r="G193" s="11" t="n">
        <v>3</v>
      </c>
      <c r="H193" s="11" t="n">
        <v>10</v>
      </c>
      <c r="I193" s="11" t="n">
        <v>12</v>
      </c>
      <c r="J193" s="11" t="s">
        <v>40</v>
      </c>
      <c r="K193" s="11" t="n">
        <f aca="false">IF($J193="Y","",IF($F193="BW",$I193,$H193*$I193))</f>
        <v>120</v>
      </c>
      <c r="L193" s="11" t="str">
        <f aca="false">$D193&amp;"|"&amp;$H193</f>
        <v>Lateral Raises|10</v>
      </c>
      <c r="M193" s="11" t="s">
        <v>99</v>
      </c>
    </row>
    <row r="194" customFormat="false" ht="15" hidden="false" customHeight="false" outlineLevel="0" collapsed="false">
      <c r="A194" s="10" t="n">
        <v>46080</v>
      </c>
      <c r="B194" s="11" t="s">
        <v>82</v>
      </c>
      <c r="C194" s="11" t="s">
        <v>111</v>
      </c>
      <c r="D194" s="11" t="s">
        <v>77</v>
      </c>
      <c r="E194" s="11" t="s">
        <v>72</v>
      </c>
      <c r="F194" s="11" t="s">
        <v>39</v>
      </c>
      <c r="G194" s="11" t="n">
        <v>1</v>
      </c>
      <c r="H194" s="11" t="n">
        <v>25</v>
      </c>
      <c r="I194" s="11" t="n">
        <v>8</v>
      </c>
      <c r="J194" s="11" t="s">
        <v>40</v>
      </c>
      <c r="K194" s="11" t="n">
        <f aca="false">IF($J194="Y","",IF($F194="BW",$I194,$H194*$I194))</f>
        <v>200</v>
      </c>
      <c r="L194" s="11" t="str">
        <f aca="false">$D194&amp;"|"&amp;$H194</f>
        <v>Bicep Curls (DB)|25</v>
      </c>
      <c r="M194" s="11" t="s">
        <v>99</v>
      </c>
    </row>
    <row r="195" customFormat="false" ht="15" hidden="false" customHeight="false" outlineLevel="0" collapsed="false">
      <c r="A195" s="10" t="n">
        <v>46080</v>
      </c>
      <c r="B195" s="11" t="s">
        <v>82</v>
      </c>
      <c r="C195" s="11" t="s">
        <v>111</v>
      </c>
      <c r="D195" s="11" t="s">
        <v>77</v>
      </c>
      <c r="E195" s="11" t="s">
        <v>72</v>
      </c>
      <c r="F195" s="11" t="s">
        <v>39</v>
      </c>
      <c r="G195" s="11" t="n">
        <v>2</v>
      </c>
      <c r="H195" s="11" t="n">
        <v>25</v>
      </c>
      <c r="I195" s="11" t="n">
        <v>8</v>
      </c>
      <c r="J195" s="11" t="s">
        <v>40</v>
      </c>
      <c r="K195" s="11" t="n">
        <f aca="false">IF($J195="Y","",IF($F195="BW",$I195,$H195*$I195))</f>
        <v>200</v>
      </c>
      <c r="L195" s="11" t="str">
        <f aca="false">$D195&amp;"|"&amp;$H195</f>
        <v>Bicep Curls (DB)|25</v>
      </c>
      <c r="M195" s="11" t="s">
        <v>99</v>
      </c>
    </row>
    <row r="196" customFormat="false" ht="15" hidden="false" customHeight="false" outlineLevel="0" collapsed="false">
      <c r="A196" s="10" t="n">
        <v>46080</v>
      </c>
      <c r="B196" s="11" t="s">
        <v>82</v>
      </c>
      <c r="C196" s="11" t="s">
        <v>111</v>
      </c>
      <c r="D196" s="11" t="s">
        <v>77</v>
      </c>
      <c r="E196" s="11" t="s">
        <v>72</v>
      </c>
      <c r="F196" s="11" t="s">
        <v>39</v>
      </c>
      <c r="G196" s="11" t="n">
        <v>3</v>
      </c>
      <c r="H196" s="11" t="n">
        <v>30</v>
      </c>
      <c r="I196" s="11" t="n">
        <v>6</v>
      </c>
      <c r="J196" s="11" t="s">
        <v>40</v>
      </c>
      <c r="K196" s="11" t="n">
        <f aca="false">IF($J196="Y","",IF($F196="BW",$I196,$H196*$I196))</f>
        <v>180</v>
      </c>
      <c r="L196" s="11" t="str">
        <f aca="false">$D196&amp;"|"&amp;$H196</f>
        <v>Bicep Curls (DB)|30</v>
      </c>
      <c r="M196" s="11" t="s">
        <v>99</v>
      </c>
    </row>
    <row r="197" customFormat="false" ht="15" hidden="false" customHeight="false" outlineLevel="0" collapsed="false">
      <c r="A197" s="10" t="n">
        <v>46117</v>
      </c>
      <c r="B197" s="11" t="s">
        <v>83</v>
      </c>
      <c r="C197" s="11" t="s">
        <v>36</v>
      </c>
      <c r="D197" s="11" t="s">
        <v>110</v>
      </c>
      <c r="E197" s="11" t="s">
        <v>38</v>
      </c>
      <c r="F197" s="11" t="s">
        <v>39</v>
      </c>
      <c r="G197" s="11" t="n">
        <v>1</v>
      </c>
      <c r="H197" s="11" t="n">
        <v>50</v>
      </c>
      <c r="I197" s="11" t="n">
        <v>8</v>
      </c>
      <c r="J197" s="11" t="s">
        <v>40</v>
      </c>
      <c r="K197" s="11" t="n">
        <f aca="false">IF($J197="Y","",IF($F197="BW",$I197,$H197*$I197))</f>
        <v>400</v>
      </c>
      <c r="L197" s="11" t="str">
        <f aca="false">$D197&amp;"|"&amp;$H197</f>
        <v>Bench Press (Smith)|50</v>
      </c>
      <c r="M197" s="11" t="s">
        <v>112</v>
      </c>
    </row>
    <row r="198" customFormat="false" ht="15" hidden="false" customHeight="false" outlineLevel="0" collapsed="false">
      <c r="A198" s="10" t="n">
        <v>46117</v>
      </c>
      <c r="B198" s="11" t="s">
        <v>83</v>
      </c>
      <c r="C198" s="11" t="s">
        <v>36</v>
      </c>
      <c r="D198" s="11" t="s">
        <v>110</v>
      </c>
      <c r="E198" s="11" t="s">
        <v>38</v>
      </c>
      <c r="F198" s="11" t="s">
        <v>39</v>
      </c>
      <c r="G198" s="11" t="n">
        <v>2</v>
      </c>
      <c r="H198" s="11" t="n">
        <v>60</v>
      </c>
      <c r="I198" s="11" t="n">
        <v>8</v>
      </c>
      <c r="J198" s="11" t="s">
        <v>40</v>
      </c>
      <c r="K198" s="11" t="n">
        <f aca="false">IF($J198="Y","",IF($F198="BW",$I198,$H198*$I198))</f>
        <v>480</v>
      </c>
      <c r="L198" s="11" t="str">
        <f aca="false">$D198&amp;"|"&amp;$H198</f>
        <v>Bench Press (Smith)|60</v>
      </c>
      <c r="M198" s="11" t="s">
        <v>112</v>
      </c>
    </row>
    <row r="199" customFormat="false" ht="15" hidden="false" customHeight="false" outlineLevel="0" collapsed="false">
      <c r="A199" s="10" t="n">
        <v>46117</v>
      </c>
      <c r="B199" s="11" t="s">
        <v>83</v>
      </c>
      <c r="C199" s="11" t="s">
        <v>36</v>
      </c>
      <c r="D199" s="11" t="s">
        <v>110</v>
      </c>
      <c r="E199" s="11" t="s">
        <v>38</v>
      </c>
      <c r="F199" s="11" t="s">
        <v>39</v>
      </c>
      <c r="G199" s="11" t="n">
        <v>3</v>
      </c>
      <c r="H199" s="11" t="n">
        <v>70</v>
      </c>
      <c r="I199" s="11" t="n">
        <v>8</v>
      </c>
      <c r="J199" s="11" t="s">
        <v>40</v>
      </c>
      <c r="K199" s="11" t="n">
        <f aca="false">IF($J199="Y","",IF($F199="BW",$I199,$H199*$I199))</f>
        <v>560</v>
      </c>
      <c r="L199" s="11" t="str">
        <f aca="false">$D199&amp;"|"&amp;$H199</f>
        <v>Bench Press (Smith)|70</v>
      </c>
      <c r="M199" s="11" t="s">
        <v>112</v>
      </c>
    </row>
    <row r="200" customFormat="false" ht="15" hidden="false" customHeight="false" outlineLevel="0" collapsed="false">
      <c r="A200" s="10" t="n">
        <v>46117</v>
      </c>
      <c r="B200" s="11" t="s">
        <v>83</v>
      </c>
      <c r="C200" s="11" t="s">
        <v>36</v>
      </c>
      <c r="D200" s="11" t="s">
        <v>110</v>
      </c>
      <c r="E200" s="11" t="s">
        <v>38</v>
      </c>
      <c r="F200" s="11" t="s">
        <v>39</v>
      </c>
      <c r="G200" s="11" t="n">
        <v>4</v>
      </c>
      <c r="H200" s="11" t="n">
        <v>70</v>
      </c>
      <c r="I200" s="11" t="n">
        <v>8</v>
      </c>
      <c r="J200" s="11" t="s">
        <v>40</v>
      </c>
      <c r="K200" s="11" t="n">
        <f aca="false">IF($J200="Y","",IF($F200="BW",$I200,$H200*$I200))</f>
        <v>560</v>
      </c>
      <c r="L200" s="11" t="str">
        <f aca="false">$D200&amp;"|"&amp;$H200</f>
        <v>Bench Press (Smith)|70</v>
      </c>
      <c r="M200" s="11" t="s">
        <v>112</v>
      </c>
    </row>
    <row r="201" customFormat="false" ht="15" hidden="false" customHeight="false" outlineLevel="0" collapsed="false">
      <c r="A201" s="10" t="n">
        <v>46117</v>
      </c>
      <c r="B201" s="11" t="s">
        <v>83</v>
      </c>
      <c r="C201" s="11" t="s">
        <v>36</v>
      </c>
      <c r="D201" s="11" t="s">
        <v>80</v>
      </c>
      <c r="E201" s="11" t="s">
        <v>72</v>
      </c>
      <c r="F201" s="11" t="s">
        <v>39</v>
      </c>
      <c r="G201" s="11" t="n">
        <v>1</v>
      </c>
      <c r="H201" s="11" t="n">
        <v>40</v>
      </c>
      <c r="I201" s="11" t="n">
        <v>8</v>
      </c>
      <c r="J201" s="11" t="s">
        <v>40</v>
      </c>
      <c r="K201" s="11" t="n">
        <f aca="false">IF($J201="Y","",IF($F201="BW",$I201,$H201*$I201))</f>
        <v>320</v>
      </c>
      <c r="L201" s="11" t="str">
        <f aca="false">$D201&amp;"|"&amp;$H201</f>
        <v>Tricep Ext Overhead|40</v>
      </c>
      <c r="M201" s="11" t="s">
        <v>99</v>
      </c>
    </row>
    <row r="202" customFormat="false" ht="15" hidden="false" customHeight="false" outlineLevel="0" collapsed="false">
      <c r="A202" s="10" t="n">
        <v>46117</v>
      </c>
      <c r="B202" s="11" t="s">
        <v>83</v>
      </c>
      <c r="C202" s="11" t="s">
        <v>36</v>
      </c>
      <c r="D202" s="11" t="s">
        <v>80</v>
      </c>
      <c r="E202" s="11" t="s">
        <v>72</v>
      </c>
      <c r="F202" s="11" t="s">
        <v>39</v>
      </c>
      <c r="G202" s="11" t="n">
        <v>2</v>
      </c>
      <c r="H202" s="11" t="n">
        <v>45</v>
      </c>
      <c r="I202" s="11" t="n">
        <v>8</v>
      </c>
      <c r="J202" s="11" t="s">
        <v>40</v>
      </c>
      <c r="K202" s="11" t="n">
        <f aca="false">IF($J202="Y","",IF($F202="BW",$I202,$H202*$I202))</f>
        <v>360</v>
      </c>
      <c r="L202" s="11" t="str">
        <f aca="false">$D202&amp;"|"&amp;$H202</f>
        <v>Tricep Ext Overhead|45</v>
      </c>
      <c r="M202" s="11" t="s">
        <v>99</v>
      </c>
    </row>
    <row r="203" customFormat="false" ht="15" hidden="false" customHeight="false" outlineLevel="0" collapsed="false">
      <c r="A203" s="10" t="n">
        <v>46117</v>
      </c>
      <c r="B203" s="11" t="s">
        <v>83</v>
      </c>
      <c r="C203" s="11" t="s">
        <v>36</v>
      </c>
      <c r="D203" s="11" t="s">
        <v>80</v>
      </c>
      <c r="E203" s="11" t="s">
        <v>72</v>
      </c>
      <c r="F203" s="11" t="s">
        <v>39</v>
      </c>
      <c r="G203" s="11" t="n">
        <v>3</v>
      </c>
      <c r="H203" s="11" t="n">
        <v>50</v>
      </c>
      <c r="I203" s="11" t="n">
        <v>8</v>
      </c>
      <c r="J203" s="11" t="s">
        <v>40</v>
      </c>
      <c r="K203" s="11" t="n">
        <f aca="false">IF($J203="Y","",IF($F203="BW",$I203,$H203*$I203))</f>
        <v>400</v>
      </c>
      <c r="L203" s="11" t="str">
        <f aca="false">$D203&amp;"|"&amp;$H203</f>
        <v>Tricep Ext Overhead|50</v>
      </c>
      <c r="M203" s="11" t="s">
        <v>99</v>
      </c>
    </row>
    <row r="204" customFormat="false" ht="15" hidden="false" customHeight="false" outlineLevel="0" collapsed="false">
      <c r="A204" s="10" t="n">
        <v>46117</v>
      </c>
      <c r="B204" s="11" t="s">
        <v>83</v>
      </c>
      <c r="C204" s="11" t="s">
        <v>36</v>
      </c>
      <c r="D204" s="11" t="s">
        <v>76</v>
      </c>
      <c r="E204" s="11" t="s">
        <v>72</v>
      </c>
      <c r="F204" s="11" t="s">
        <v>39</v>
      </c>
      <c r="G204" s="11" t="n">
        <v>1</v>
      </c>
      <c r="H204" s="11" t="n">
        <v>25</v>
      </c>
      <c r="I204" s="11" t="n">
        <v>8</v>
      </c>
      <c r="J204" s="11" t="s">
        <v>40</v>
      </c>
      <c r="K204" s="11" t="n">
        <f aca="false">IF($J204="Y","",IF($F204="BW",$I204,$H204*$I204))</f>
        <v>200</v>
      </c>
      <c r="L204" s="11" t="str">
        <f aca="false">$D204&amp;"|"&amp;$H204</f>
        <v>Shoulder Press|25</v>
      </c>
      <c r="M204" s="11" t="s">
        <v>99</v>
      </c>
    </row>
    <row r="205" customFormat="false" ht="15" hidden="false" customHeight="false" outlineLevel="0" collapsed="false">
      <c r="A205" s="10" t="n">
        <v>46117</v>
      </c>
      <c r="B205" s="11" t="s">
        <v>83</v>
      </c>
      <c r="C205" s="11" t="s">
        <v>36</v>
      </c>
      <c r="D205" s="11" t="s">
        <v>76</v>
      </c>
      <c r="E205" s="11" t="s">
        <v>72</v>
      </c>
      <c r="F205" s="11" t="s">
        <v>39</v>
      </c>
      <c r="G205" s="11" t="n">
        <v>2</v>
      </c>
      <c r="H205" s="11" t="n">
        <v>30</v>
      </c>
      <c r="I205" s="11" t="n">
        <v>8</v>
      </c>
      <c r="J205" s="11" t="s">
        <v>40</v>
      </c>
      <c r="K205" s="11" t="n">
        <f aca="false">IF($J205="Y","",IF($F205="BW",$I205,$H205*$I205))</f>
        <v>240</v>
      </c>
      <c r="L205" s="11" t="str">
        <f aca="false">$D205&amp;"|"&amp;$H205</f>
        <v>Shoulder Press|30</v>
      </c>
      <c r="M205" s="11" t="s">
        <v>99</v>
      </c>
    </row>
    <row r="206" customFormat="false" ht="15" hidden="false" customHeight="false" outlineLevel="0" collapsed="false">
      <c r="A206" s="10" t="n">
        <v>46117</v>
      </c>
      <c r="B206" s="11" t="s">
        <v>83</v>
      </c>
      <c r="C206" s="11" t="s">
        <v>36</v>
      </c>
      <c r="D206" s="11" t="s">
        <v>76</v>
      </c>
      <c r="E206" s="11" t="s">
        <v>72</v>
      </c>
      <c r="F206" s="11" t="s">
        <v>39</v>
      </c>
      <c r="G206" s="11" t="n">
        <v>3</v>
      </c>
      <c r="H206" s="11" t="n">
        <v>30</v>
      </c>
      <c r="I206" s="11" t="n">
        <v>8</v>
      </c>
      <c r="J206" s="11" t="s">
        <v>40</v>
      </c>
      <c r="K206" s="11" t="n">
        <f aca="false">IF($J206="Y","",IF($F206="BW",$I206,$H206*$I206))</f>
        <v>240</v>
      </c>
      <c r="L206" s="11" t="str">
        <f aca="false">$D206&amp;"|"&amp;$H206</f>
        <v>Shoulder Press|30</v>
      </c>
      <c r="M206" s="11" t="s">
        <v>99</v>
      </c>
    </row>
    <row r="207" customFormat="false" ht="15" hidden="false" customHeight="false" outlineLevel="0" collapsed="false">
      <c r="A207" s="10" t="n">
        <v>46117</v>
      </c>
      <c r="B207" s="11" t="s">
        <v>83</v>
      </c>
      <c r="C207" s="11" t="s">
        <v>36</v>
      </c>
      <c r="D207" s="11" t="s">
        <v>113</v>
      </c>
      <c r="E207" s="11" t="s">
        <v>72</v>
      </c>
      <c r="F207" s="11" t="s">
        <v>39</v>
      </c>
      <c r="G207" s="11" t="n">
        <v>1</v>
      </c>
      <c r="H207" s="11" t="n">
        <v>25</v>
      </c>
      <c r="I207" s="11" t="n">
        <v>8</v>
      </c>
      <c r="J207" s="11" t="s">
        <v>40</v>
      </c>
      <c r="K207" s="11" t="n">
        <f aca="false">IF($J207="Y","",IF($F207="BW",$I207,$H207*$I207))</f>
        <v>200</v>
      </c>
      <c r="L207" s="11" t="str">
        <f aca="false">$D207&amp;"|"&amp;$H207</f>
        <v>Incline Bench (DB)|25</v>
      </c>
      <c r="M207" s="11" t="s">
        <v>99</v>
      </c>
    </row>
    <row r="208" customFormat="false" ht="15" hidden="false" customHeight="false" outlineLevel="0" collapsed="false">
      <c r="A208" s="10" t="n">
        <v>46117</v>
      </c>
      <c r="B208" s="11" t="s">
        <v>83</v>
      </c>
      <c r="C208" s="11" t="s">
        <v>36</v>
      </c>
      <c r="D208" s="11" t="s">
        <v>113</v>
      </c>
      <c r="E208" s="11" t="s">
        <v>72</v>
      </c>
      <c r="F208" s="11" t="s">
        <v>39</v>
      </c>
      <c r="G208" s="11" t="n">
        <v>2</v>
      </c>
      <c r="H208" s="11" t="n">
        <v>30</v>
      </c>
      <c r="I208" s="11" t="n">
        <v>8</v>
      </c>
      <c r="J208" s="11" t="s">
        <v>40</v>
      </c>
      <c r="K208" s="11" t="n">
        <f aca="false">IF($J208="Y","",IF($F208="BW",$I208,$H208*$I208))</f>
        <v>240</v>
      </c>
      <c r="L208" s="11" t="str">
        <f aca="false">$D208&amp;"|"&amp;$H208</f>
        <v>Incline Bench (DB)|30</v>
      </c>
      <c r="M208" s="11" t="s">
        <v>99</v>
      </c>
    </row>
    <row r="209" customFormat="false" ht="15" hidden="false" customHeight="false" outlineLevel="0" collapsed="false">
      <c r="A209" s="10" t="n">
        <v>46117</v>
      </c>
      <c r="B209" s="11" t="s">
        <v>83</v>
      </c>
      <c r="C209" s="11" t="s">
        <v>36</v>
      </c>
      <c r="D209" s="11" t="s">
        <v>113</v>
      </c>
      <c r="E209" s="11" t="s">
        <v>72</v>
      </c>
      <c r="F209" s="11" t="s">
        <v>39</v>
      </c>
      <c r="G209" s="11" t="n">
        <v>3</v>
      </c>
      <c r="H209" s="11" t="n">
        <v>30</v>
      </c>
      <c r="I209" s="11" t="n">
        <v>8</v>
      </c>
      <c r="J209" s="11" t="s">
        <v>40</v>
      </c>
      <c r="K209" s="11" t="n">
        <f aca="false">IF($J209="Y","",IF($F209="BW",$I209,$H209*$I209))</f>
        <v>240</v>
      </c>
      <c r="L209" s="11" t="str">
        <f aca="false">$D209&amp;"|"&amp;$H209</f>
        <v>Incline Bench (DB)|30</v>
      </c>
      <c r="M209" s="11" t="s">
        <v>99</v>
      </c>
    </row>
    <row r="210" customFormat="false" ht="15" hidden="false" customHeight="false" outlineLevel="0" collapsed="false">
      <c r="A210" s="10" t="n">
        <v>46117</v>
      </c>
      <c r="B210" s="11" t="s">
        <v>83</v>
      </c>
      <c r="C210" s="11" t="s">
        <v>36</v>
      </c>
      <c r="D210" s="11" t="s">
        <v>113</v>
      </c>
      <c r="E210" s="11" t="s">
        <v>72</v>
      </c>
      <c r="F210" s="11" t="s">
        <v>39</v>
      </c>
      <c r="G210" s="11" t="n">
        <v>4</v>
      </c>
      <c r="H210" s="11" t="n">
        <v>30</v>
      </c>
      <c r="I210" s="11" t="n">
        <v>8</v>
      </c>
      <c r="J210" s="11" t="s">
        <v>40</v>
      </c>
      <c r="K210" s="11" t="n">
        <f aca="false">IF($J210="Y","",IF($F210="BW",$I210,$H210*$I210))</f>
        <v>240</v>
      </c>
      <c r="L210" s="11" t="str">
        <f aca="false">$D210&amp;"|"&amp;$H210</f>
        <v>Incline Bench (DB)|30</v>
      </c>
      <c r="M210" s="11" t="s">
        <v>99</v>
      </c>
    </row>
    <row r="211" customFormat="false" ht="15" hidden="false" customHeight="false" outlineLevel="0" collapsed="false">
      <c r="A211" s="10" t="n">
        <v>46125</v>
      </c>
      <c r="B211" s="11" t="s">
        <v>94</v>
      </c>
      <c r="C211" s="11" t="s">
        <v>78</v>
      </c>
      <c r="D211" s="11" t="s">
        <v>73</v>
      </c>
      <c r="E211" s="11" t="s">
        <v>74</v>
      </c>
      <c r="F211" s="11" t="s">
        <v>75</v>
      </c>
      <c r="G211" s="11" t="n">
        <v>1</v>
      </c>
      <c r="H211" s="11" t="n">
        <v>15</v>
      </c>
      <c r="I211" s="11" t="n">
        <v>8</v>
      </c>
      <c r="J211" s="11" t="s">
        <v>40</v>
      </c>
      <c r="K211" s="11" t="n">
        <f aca="false">IF($J211="Y","",IF($F211="BW",$I211,$H211*$I211))</f>
        <v>120</v>
      </c>
      <c r="L211" s="11" t="str">
        <f aca="false">$D211&amp;"|"&amp;$H211</f>
        <v>Single Arm Lat Pulldown|15</v>
      </c>
      <c r="M211" s="11"/>
    </row>
    <row r="212" customFormat="false" ht="15" hidden="false" customHeight="false" outlineLevel="0" collapsed="false">
      <c r="A212" s="10" t="n">
        <v>46125</v>
      </c>
      <c r="B212" s="11" t="s">
        <v>94</v>
      </c>
      <c r="C212" s="11" t="s">
        <v>78</v>
      </c>
      <c r="D212" s="11" t="s">
        <v>73</v>
      </c>
      <c r="E212" s="11" t="s">
        <v>74</v>
      </c>
      <c r="F212" s="11" t="s">
        <v>75</v>
      </c>
      <c r="G212" s="11" t="n">
        <v>2</v>
      </c>
      <c r="H212" s="11" t="n">
        <v>20</v>
      </c>
      <c r="I212" s="11" t="n">
        <v>8</v>
      </c>
      <c r="J212" s="11" t="s">
        <v>40</v>
      </c>
      <c r="K212" s="11" t="n">
        <f aca="false">IF($J212="Y","",IF($F212="BW",$I212,$H212*$I212))</f>
        <v>160</v>
      </c>
      <c r="L212" s="11" t="str">
        <f aca="false">$D212&amp;"|"&amp;$H212</f>
        <v>Single Arm Lat Pulldown|20</v>
      </c>
      <c r="M212" s="11"/>
    </row>
    <row r="213" customFormat="false" ht="15" hidden="false" customHeight="false" outlineLevel="0" collapsed="false">
      <c r="A213" s="10" t="n">
        <v>46125</v>
      </c>
      <c r="B213" s="11" t="s">
        <v>94</v>
      </c>
      <c r="C213" s="11" t="s">
        <v>78</v>
      </c>
      <c r="D213" s="11" t="s">
        <v>73</v>
      </c>
      <c r="E213" s="11" t="s">
        <v>74</v>
      </c>
      <c r="F213" s="11" t="s">
        <v>75</v>
      </c>
      <c r="G213" s="11" t="n">
        <v>3</v>
      </c>
      <c r="H213" s="11" t="n">
        <v>22.5</v>
      </c>
      <c r="I213" s="11" t="n">
        <v>8</v>
      </c>
      <c r="J213" s="11" t="s">
        <v>40</v>
      </c>
      <c r="K213" s="11" t="n">
        <f aca="false">IF($J213="Y","",IF($F213="BW",$I213,$H213*$I213))</f>
        <v>180</v>
      </c>
      <c r="L213" s="11" t="str">
        <f aca="false">$D213&amp;"|"&amp;$H213</f>
        <v>Single Arm Lat Pulldown|22.5</v>
      </c>
      <c r="M213" s="11"/>
    </row>
    <row r="214" customFormat="false" ht="15" hidden="false" customHeight="false" outlineLevel="0" collapsed="false">
      <c r="A214" s="10" t="n">
        <v>46125</v>
      </c>
      <c r="B214" s="11" t="s">
        <v>94</v>
      </c>
      <c r="C214" s="11" t="s">
        <v>78</v>
      </c>
      <c r="D214" s="11" t="s">
        <v>88</v>
      </c>
      <c r="E214" s="11" t="s">
        <v>38</v>
      </c>
      <c r="F214" s="11" t="s">
        <v>39</v>
      </c>
      <c r="G214" s="11" t="n">
        <v>1</v>
      </c>
      <c r="H214" s="11" t="n">
        <v>35</v>
      </c>
      <c r="I214" s="11" t="n">
        <v>8</v>
      </c>
      <c r="J214" s="11" t="s">
        <v>40</v>
      </c>
      <c r="K214" s="11" t="n">
        <f aca="false">IF($J214="Y","",IF($F214="BW",$I214,$H214*$I214))</f>
        <v>280</v>
      </c>
      <c r="L214" s="11" t="str">
        <f aca="false">$D214&amp;"|"&amp;$H214</f>
        <v>Smith Rows|35</v>
      </c>
      <c r="M214" s="11"/>
    </row>
    <row r="215" customFormat="false" ht="15" hidden="false" customHeight="false" outlineLevel="0" collapsed="false">
      <c r="A215" s="10" t="n">
        <v>46125</v>
      </c>
      <c r="B215" s="11" t="s">
        <v>94</v>
      </c>
      <c r="C215" s="11" t="s">
        <v>78</v>
      </c>
      <c r="D215" s="11" t="s">
        <v>88</v>
      </c>
      <c r="E215" s="11" t="s">
        <v>38</v>
      </c>
      <c r="F215" s="11" t="s">
        <v>39</v>
      </c>
      <c r="G215" s="11" t="n">
        <v>2</v>
      </c>
      <c r="H215" s="11" t="n">
        <v>50</v>
      </c>
      <c r="I215" s="11" t="n">
        <v>8</v>
      </c>
      <c r="J215" s="11" t="s">
        <v>40</v>
      </c>
      <c r="K215" s="11" t="n">
        <f aca="false">IF($J215="Y","",IF($F215="BW",$I215,$H215*$I215))</f>
        <v>400</v>
      </c>
      <c r="L215" s="11" t="str">
        <f aca="false">$D215&amp;"|"&amp;$H215</f>
        <v>Smith Rows|50</v>
      </c>
      <c r="M215" s="11"/>
    </row>
    <row r="216" customFormat="false" ht="15" hidden="false" customHeight="false" outlineLevel="0" collapsed="false">
      <c r="A216" s="10" t="n">
        <v>46125</v>
      </c>
      <c r="B216" s="11" t="s">
        <v>94</v>
      </c>
      <c r="C216" s="11" t="s">
        <v>78</v>
      </c>
      <c r="D216" s="11" t="s">
        <v>88</v>
      </c>
      <c r="E216" s="11" t="s">
        <v>38</v>
      </c>
      <c r="F216" s="11" t="s">
        <v>39</v>
      </c>
      <c r="G216" s="11" t="n">
        <v>3</v>
      </c>
      <c r="H216" s="11" t="n">
        <v>50</v>
      </c>
      <c r="I216" s="11" t="n">
        <v>8</v>
      </c>
      <c r="J216" s="11" t="s">
        <v>40</v>
      </c>
      <c r="K216" s="11" t="n">
        <f aca="false">IF($J216="Y","",IF($F216="BW",$I216,$H216*$I216))</f>
        <v>400</v>
      </c>
      <c r="L216" s="11" t="str">
        <f aca="false">$D216&amp;"|"&amp;$H216</f>
        <v>Smith Rows|50</v>
      </c>
      <c r="M216" s="11"/>
    </row>
    <row r="217" customFormat="false" ht="15" hidden="false" customHeight="false" outlineLevel="0" collapsed="false">
      <c r="A217" s="10" t="n">
        <v>46125</v>
      </c>
      <c r="B217" s="11" t="s">
        <v>94</v>
      </c>
      <c r="C217" s="11" t="s">
        <v>78</v>
      </c>
      <c r="D217" s="11" t="s">
        <v>91</v>
      </c>
      <c r="E217" s="11" t="s">
        <v>72</v>
      </c>
      <c r="F217" s="11" t="s">
        <v>39</v>
      </c>
      <c r="G217" s="11" t="n">
        <v>1</v>
      </c>
      <c r="H217" s="11" t="n">
        <v>35</v>
      </c>
      <c r="I217" s="11" t="n">
        <v>8</v>
      </c>
      <c r="J217" s="11" t="s">
        <v>40</v>
      </c>
      <c r="K217" s="11" t="n">
        <f aca="false">IF($J217="Y","",IF($F217="BW",$I217,$H217*$I217))</f>
        <v>280</v>
      </c>
      <c r="L217" s="11" t="str">
        <f aca="false">$D217&amp;"|"&amp;$H217</f>
        <v>Shrugs|35</v>
      </c>
      <c r="M217" s="11"/>
    </row>
    <row r="218" customFormat="false" ht="15" hidden="false" customHeight="false" outlineLevel="0" collapsed="false">
      <c r="A218" s="10" t="n">
        <v>46125</v>
      </c>
      <c r="B218" s="11" t="s">
        <v>94</v>
      </c>
      <c r="C218" s="11" t="s">
        <v>78</v>
      </c>
      <c r="D218" s="11" t="s">
        <v>91</v>
      </c>
      <c r="E218" s="11" t="s">
        <v>72</v>
      </c>
      <c r="F218" s="11" t="s">
        <v>39</v>
      </c>
      <c r="G218" s="11" t="n">
        <v>2</v>
      </c>
      <c r="H218" s="11" t="n">
        <v>40</v>
      </c>
      <c r="I218" s="11" t="n">
        <v>8</v>
      </c>
      <c r="J218" s="11" t="s">
        <v>40</v>
      </c>
      <c r="K218" s="11" t="n">
        <f aca="false">IF($J218="Y","",IF($F218="BW",$I218,$H218*$I218))</f>
        <v>320</v>
      </c>
      <c r="L218" s="11" t="str">
        <f aca="false">$D218&amp;"|"&amp;$H218</f>
        <v>Shrugs|40</v>
      </c>
      <c r="M218" s="11"/>
    </row>
    <row r="219" customFormat="false" ht="15" hidden="false" customHeight="false" outlineLevel="0" collapsed="false">
      <c r="A219" s="10" t="n">
        <v>46125</v>
      </c>
      <c r="B219" s="11" t="s">
        <v>94</v>
      </c>
      <c r="C219" s="11" t="s">
        <v>78</v>
      </c>
      <c r="D219" s="11" t="s">
        <v>114</v>
      </c>
      <c r="E219" s="11" t="s">
        <v>74</v>
      </c>
      <c r="F219" s="11" t="s">
        <v>75</v>
      </c>
      <c r="G219" s="11" t="n">
        <v>1</v>
      </c>
      <c r="H219" s="11" t="n">
        <v>7.5</v>
      </c>
      <c r="I219" s="11" t="n">
        <v>8</v>
      </c>
      <c r="J219" s="11" t="s">
        <v>40</v>
      </c>
      <c r="K219" s="11" t="n">
        <f aca="false">IF($J219="Y","",IF($F219="BW",$I219,$H219*$I219))</f>
        <v>60</v>
      </c>
      <c r="L219" s="11" t="str">
        <f aca="false">$D219&amp;"|"&amp;$H219</f>
        <v>Bicep Curls (Cable)|7.5</v>
      </c>
      <c r="M219" s="11"/>
    </row>
    <row r="220" customFormat="false" ht="15" hidden="false" customHeight="false" outlineLevel="0" collapsed="false">
      <c r="A220" s="10" t="n">
        <v>46125</v>
      </c>
      <c r="B220" s="11" t="s">
        <v>94</v>
      </c>
      <c r="C220" s="11" t="s">
        <v>78</v>
      </c>
      <c r="D220" s="11" t="s">
        <v>114</v>
      </c>
      <c r="E220" s="11" t="s">
        <v>74</v>
      </c>
      <c r="F220" s="11" t="s">
        <v>75</v>
      </c>
      <c r="G220" s="11" t="n">
        <v>2</v>
      </c>
      <c r="H220" s="11" t="n">
        <v>7.5</v>
      </c>
      <c r="I220" s="11" t="n">
        <v>8</v>
      </c>
      <c r="J220" s="11" t="s">
        <v>40</v>
      </c>
      <c r="K220" s="11" t="n">
        <f aca="false">IF($J220="Y","",IF($F220="BW",$I220,$H220*$I220))</f>
        <v>60</v>
      </c>
      <c r="L220" s="11" t="str">
        <f aca="false">$D220&amp;"|"&amp;$H220</f>
        <v>Bicep Curls (Cable)|7.5</v>
      </c>
      <c r="M220" s="11"/>
    </row>
    <row r="221" customFormat="false" ht="15" hidden="false" customHeight="false" outlineLevel="0" collapsed="false">
      <c r="A221" s="10" t="n">
        <v>46125</v>
      </c>
      <c r="B221" s="11" t="s">
        <v>94</v>
      </c>
      <c r="C221" s="11" t="s">
        <v>78</v>
      </c>
      <c r="D221" s="11" t="s">
        <v>114</v>
      </c>
      <c r="E221" s="11" t="s">
        <v>74</v>
      </c>
      <c r="F221" s="11" t="s">
        <v>75</v>
      </c>
      <c r="G221" s="11" t="n">
        <v>3</v>
      </c>
      <c r="H221" s="11" t="n">
        <v>7.5</v>
      </c>
      <c r="I221" s="11" t="n">
        <v>8</v>
      </c>
      <c r="J221" s="11" t="s">
        <v>40</v>
      </c>
      <c r="K221" s="11" t="n">
        <f aca="false">IF($J221="Y","",IF($F221="BW",$I221,$H221*$I221))</f>
        <v>60</v>
      </c>
      <c r="L221" s="11" t="str">
        <f aca="false">$D221&amp;"|"&amp;$H221</f>
        <v>Bicep Curls (Cable)|7.5</v>
      </c>
      <c r="M221" s="11"/>
    </row>
    <row r="222" customFormat="false" ht="15" hidden="false" customHeight="false" outlineLevel="0" collapsed="false">
      <c r="A222" s="10" t="n">
        <v>46127</v>
      </c>
      <c r="B222" s="11" t="s">
        <v>115</v>
      </c>
      <c r="C222" s="11" t="s">
        <v>36</v>
      </c>
      <c r="D222" s="11" t="s">
        <v>110</v>
      </c>
      <c r="E222" s="11" t="s">
        <v>38</v>
      </c>
      <c r="F222" s="11" t="s">
        <v>39</v>
      </c>
      <c r="G222" s="11" t="n">
        <v>1</v>
      </c>
      <c r="H222" s="11" t="n">
        <v>50</v>
      </c>
      <c r="I222" s="11" t="n">
        <v>8</v>
      </c>
      <c r="J222" s="11" t="s">
        <v>40</v>
      </c>
      <c r="K222" s="11" t="n">
        <f aca="false">IF($J222="Y","",IF($F222="BW",$I222,$H222*$I222))</f>
        <v>400</v>
      </c>
      <c r="L222" s="11" t="str">
        <f aca="false">$D222&amp;"|"&amp;$H222</f>
        <v>Bench Press (Smith)|50</v>
      </c>
      <c r="M222" s="11" t="s">
        <v>116</v>
      </c>
    </row>
    <row r="223" customFormat="false" ht="15" hidden="false" customHeight="false" outlineLevel="0" collapsed="false">
      <c r="A223" s="10" t="n">
        <v>46127</v>
      </c>
      <c r="B223" s="11" t="s">
        <v>115</v>
      </c>
      <c r="C223" s="11" t="s">
        <v>36</v>
      </c>
      <c r="D223" s="11" t="s">
        <v>110</v>
      </c>
      <c r="E223" s="11" t="s">
        <v>38</v>
      </c>
      <c r="F223" s="11" t="s">
        <v>39</v>
      </c>
      <c r="G223" s="11" t="n">
        <v>2</v>
      </c>
      <c r="H223" s="11" t="n">
        <v>60</v>
      </c>
      <c r="I223" s="11" t="n">
        <v>8</v>
      </c>
      <c r="J223" s="11" t="s">
        <v>40</v>
      </c>
      <c r="K223" s="11" t="n">
        <f aca="false">IF($J223="Y","",IF($F223="BW",$I223,$H223*$I223))</f>
        <v>480</v>
      </c>
      <c r="L223" s="11" t="str">
        <f aca="false">$D223&amp;"|"&amp;$H223</f>
        <v>Bench Press (Smith)|60</v>
      </c>
      <c r="M223" s="11" t="s">
        <v>116</v>
      </c>
    </row>
    <row r="224" customFormat="false" ht="15" hidden="false" customHeight="false" outlineLevel="0" collapsed="false">
      <c r="A224" s="10" t="n">
        <v>46127</v>
      </c>
      <c r="B224" s="11" t="s">
        <v>115</v>
      </c>
      <c r="C224" s="11" t="s">
        <v>36</v>
      </c>
      <c r="D224" s="11" t="s">
        <v>110</v>
      </c>
      <c r="E224" s="11" t="s">
        <v>38</v>
      </c>
      <c r="F224" s="11" t="s">
        <v>39</v>
      </c>
      <c r="G224" s="11" t="n">
        <v>3</v>
      </c>
      <c r="H224" s="11" t="n">
        <v>75</v>
      </c>
      <c r="I224" s="11" t="n">
        <v>8</v>
      </c>
      <c r="J224" s="11" t="s">
        <v>40</v>
      </c>
      <c r="K224" s="11" t="n">
        <f aca="false">IF($J224="Y","",IF($F224="BW",$I224,$H224*$I224))</f>
        <v>600</v>
      </c>
      <c r="L224" s="11" t="str">
        <f aca="false">$D224&amp;"|"&amp;$H224</f>
        <v>Bench Press (Smith)|75</v>
      </c>
      <c r="M224" s="11" t="s">
        <v>116</v>
      </c>
    </row>
    <row r="225" customFormat="false" ht="15" hidden="false" customHeight="false" outlineLevel="0" collapsed="false">
      <c r="A225" s="10" t="n">
        <v>46127</v>
      </c>
      <c r="B225" s="11" t="s">
        <v>115</v>
      </c>
      <c r="C225" s="11" t="s">
        <v>36</v>
      </c>
      <c r="D225" s="11" t="s">
        <v>110</v>
      </c>
      <c r="E225" s="11" t="s">
        <v>38</v>
      </c>
      <c r="F225" s="11" t="s">
        <v>39</v>
      </c>
      <c r="G225" s="11" t="n">
        <v>4</v>
      </c>
      <c r="H225" s="11" t="n">
        <v>75</v>
      </c>
      <c r="I225" s="11" t="n">
        <v>8</v>
      </c>
      <c r="J225" s="11" t="s">
        <v>40</v>
      </c>
      <c r="K225" s="11" t="n">
        <f aca="false">IF($J225="Y","",IF($F225="BW",$I225,$H225*$I225))</f>
        <v>600</v>
      </c>
      <c r="L225" s="11" t="str">
        <f aca="false">$D225&amp;"|"&amp;$H225</f>
        <v>Bench Press (Smith)|75</v>
      </c>
      <c r="M225" s="11" t="s">
        <v>116</v>
      </c>
    </row>
    <row r="226" customFormat="false" ht="15" hidden="false" customHeight="false" outlineLevel="0" collapsed="false">
      <c r="A226" s="10" t="n">
        <v>46127</v>
      </c>
      <c r="B226" s="11" t="s">
        <v>115</v>
      </c>
      <c r="C226" s="11" t="s">
        <v>36</v>
      </c>
      <c r="D226" s="11" t="s">
        <v>76</v>
      </c>
      <c r="E226" s="11" t="s">
        <v>72</v>
      </c>
      <c r="F226" s="11" t="s">
        <v>39</v>
      </c>
      <c r="G226" s="11" t="n">
        <v>1</v>
      </c>
      <c r="H226" s="11" t="n">
        <v>25</v>
      </c>
      <c r="I226" s="11" t="n">
        <v>8</v>
      </c>
      <c r="J226" s="11" t="s">
        <v>40</v>
      </c>
      <c r="K226" s="11" t="n">
        <f aca="false">IF($J226="Y","",IF($F226="BW",$I226,$H226*$I226))</f>
        <v>200</v>
      </c>
      <c r="L226" s="11" t="str">
        <f aca="false">$D226&amp;"|"&amp;$H226</f>
        <v>Shoulder Press|25</v>
      </c>
      <c r="M226" s="11"/>
    </row>
    <row r="227" customFormat="false" ht="15" hidden="false" customHeight="false" outlineLevel="0" collapsed="false">
      <c r="A227" s="10" t="n">
        <v>46127</v>
      </c>
      <c r="B227" s="11" t="s">
        <v>115</v>
      </c>
      <c r="C227" s="11" t="s">
        <v>36</v>
      </c>
      <c r="D227" s="11" t="s">
        <v>76</v>
      </c>
      <c r="E227" s="11" t="s">
        <v>72</v>
      </c>
      <c r="F227" s="11" t="s">
        <v>39</v>
      </c>
      <c r="G227" s="11" t="n">
        <v>2</v>
      </c>
      <c r="H227" s="11" t="n">
        <v>30</v>
      </c>
      <c r="I227" s="11" t="n">
        <v>8</v>
      </c>
      <c r="J227" s="11" t="s">
        <v>40</v>
      </c>
      <c r="K227" s="11" t="n">
        <f aca="false">IF($J227="Y","",IF($F227="BW",$I227,$H227*$I227))</f>
        <v>240</v>
      </c>
      <c r="L227" s="11" t="str">
        <f aca="false">$D227&amp;"|"&amp;$H227</f>
        <v>Shoulder Press|30</v>
      </c>
      <c r="M227" s="11"/>
    </row>
    <row r="228" customFormat="false" ht="15" hidden="false" customHeight="false" outlineLevel="0" collapsed="false">
      <c r="A228" s="10" t="n">
        <v>46127</v>
      </c>
      <c r="B228" s="11" t="s">
        <v>115</v>
      </c>
      <c r="C228" s="11" t="s">
        <v>36</v>
      </c>
      <c r="D228" s="11" t="s">
        <v>76</v>
      </c>
      <c r="E228" s="11" t="s">
        <v>72</v>
      </c>
      <c r="F228" s="11" t="s">
        <v>39</v>
      </c>
      <c r="G228" s="11" t="n">
        <v>3</v>
      </c>
      <c r="H228" s="11" t="n">
        <v>35</v>
      </c>
      <c r="I228" s="11" t="n">
        <v>6</v>
      </c>
      <c r="J228" s="11" t="s">
        <v>40</v>
      </c>
      <c r="K228" s="11" t="n">
        <f aca="false">IF($J228="Y","",IF($F228="BW",$I228,$H228*$I228))</f>
        <v>210</v>
      </c>
      <c r="L228" s="11" t="str">
        <f aca="false">$D228&amp;"|"&amp;$H228</f>
        <v>Shoulder Press|35</v>
      </c>
      <c r="M228" s="11"/>
    </row>
    <row r="229" customFormat="false" ht="15" hidden="false" customHeight="false" outlineLevel="0" collapsed="false">
      <c r="A229" s="12" t="n">
        <v>46127</v>
      </c>
      <c r="B229" s="13" t="s">
        <v>115</v>
      </c>
      <c r="C229" s="13" t="s">
        <v>36</v>
      </c>
      <c r="D229" s="13" t="s">
        <v>80</v>
      </c>
      <c r="E229" s="13" t="s">
        <v>72</v>
      </c>
      <c r="F229" s="13" t="s">
        <v>39</v>
      </c>
      <c r="G229" s="13" t="n">
        <v>1</v>
      </c>
      <c r="H229" s="13" t="n">
        <v>25</v>
      </c>
      <c r="I229" s="13" t="n">
        <v>8</v>
      </c>
      <c r="J229" s="13" t="s">
        <v>84</v>
      </c>
      <c r="K229" s="13" t="str">
        <f aca="false">IF($J229="Y","",IF($F229="BW",$I229,$H229*$I229))</f>
        <v/>
      </c>
      <c r="L229" s="13" t="str">
        <f aca="false">$D229&amp;"|"&amp;$H229</f>
        <v>Tricep Ext Overhead|25</v>
      </c>
      <c r="M229" s="13"/>
    </row>
    <row r="230" customFormat="false" ht="15" hidden="false" customHeight="false" outlineLevel="0" collapsed="false">
      <c r="A230" s="10" t="n">
        <v>46127</v>
      </c>
      <c r="B230" s="11" t="s">
        <v>115</v>
      </c>
      <c r="C230" s="11" t="s">
        <v>36</v>
      </c>
      <c r="D230" s="11" t="s">
        <v>80</v>
      </c>
      <c r="E230" s="11" t="s">
        <v>72</v>
      </c>
      <c r="F230" s="11" t="s">
        <v>39</v>
      </c>
      <c r="G230" s="11" t="n">
        <v>2</v>
      </c>
      <c r="H230" s="11" t="n">
        <v>40</v>
      </c>
      <c r="I230" s="11" t="n">
        <v>8</v>
      </c>
      <c r="J230" s="11" t="s">
        <v>40</v>
      </c>
      <c r="K230" s="11" t="n">
        <f aca="false">IF($J230="Y","",IF($F230="BW",$I230,$H230*$I230))</f>
        <v>320</v>
      </c>
      <c r="L230" s="11" t="str">
        <f aca="false">$D230&amp;"|"&amp;$H230</f>
        <v>Tricep Ext Overhead|40</v>
      </c>
      <c r="M230" s="11"/>
    </row>
    <row r="231" customFormat="false" ht="15" hidden="false" customHeight="false" outlineLevel="0" collapsed="false">
      <c r="A231" s="10" t="n">
        <v>46127</v>
      </c>
      <c r="B231" s="11" t="s">
        <v>115</v>
      </c>
      <c r="C231" s="11" t="s">
        <v>36</v>
      </c>
      <c r="D231" s="11" t="s">
        <v>80</v>
      </c>
      <c r="E231" s="11" t="s">
        <v>72</v>
      </c>
      <c r="F231" s="11" t="s">
        <v>39</v>
      </c>
      <c r="G231" s="11" t="n">
        <v>3</v>
      </c>
      <c r="H231" s="11" t="n">
        <v>45</v>
      </c>
      <c r="I231" s="11" t="n">
        <v>8</v>
      </c>
      <c r="J231" s="11" t="s">
        <v>40</v>
      </c>
      <c r="K231" s="11" t="n">
        <f aca="false">IF($J231="Y","",IF($F231="BW",$I231,$H231*$I231))</f>
        <v>360</v>
      </c>
      <c r="L231" s="11" t="str">
        <f aca="false">$D231&amp;"|"&amp;$H231</f>
        <v>Tricep Ext Overhead|45</v>
      </c>
      <c r="M231" s="11"/>
    </row>
    <row r="232" customFormat="false" ht="15" hidden="false" customHeight="false" outlineLevel="0" collapsed="false">
      <c r="A232" s="10" t="n">
        <v>46128</v>
      </c>
      <c r="B232" s="11" t="s">
        <v>35</v>
      </c>
      <c r="C232" s="11" t="s">
        <v>117</v>
      </c>
      <c r="D232" s="11" t="s">
        <v>77</v>
      </c>
      <c r="E232" s="11" t="s">
        <v>72</v>
      </c>
      <c r="F232" s="11" t="s">
        <v>39</v>
      </c>
      <c r="G232" s="11" t="n">
        <v>1</v>
      </c>
      <c r="H232" s="11" t="n">
        <v>25</v>
      </c>
      <c r="I232" s="11" t="n">
        <v>8</v>
      </c>
      <c r="J232" s="11" t="s">
        <v>40</v>
      </c>
      <c r="K232" s="11" t="n">
        <f aca="false">IF($J232="Y","",IF($F232="BW",$I232,$H232*$I232))</f>
        <v>200</v>
      </c>
      <c r="L232" s="11" t="str">
        <f aca="false">$D232&amp;"|"&amp;$H232</f>
        <v>Bicep Curls (DB)|25</v>
      </c>
      <c r="M232" s="11"/>
    </row>
    <row r="233" customFormat="false" ht="15" hidden="false" customHeight="false" outlineLevel="0" collapsed="false">
      <c r="A233" s="10" t="n">
        <v>46128</v>
      </c>
      <c r="B233" s="11" t="s">
        <v>35</v>
      </c>
      <c r="C233" s="11" t="s">
        <v>117</v>
      </c>
      <c r="D233" s="11" t="s">
        <v>77</v>
      </c>
      <c r="E233" s="11" t="s">
        <v>72</v>
      </c>
      <c r="F233" s="11" t="s">
        <v>39</v>
      </c>
      <c r="G233" s="11" t="n">
        <v>2</v>
      </c>
      <c r="H233" s="11" t="n">
        <v>25</v>
      </c>
      <c r="I233" s="11" t="n">
        <v>8</v>
      </c>
      <c r="J233" s="11" t="s">
        <v>40</v>
      </c>
      <c r="K233" s="11" t="n">
        <f aca="false">IF($J233="Y","",IF($F233="BW",$I233,$H233*$I233))</f>
        <v>200</v>
      </c>
      <c r="L233" s="11" t="str">
        <f aca="false">$D233&amp;"|"&amp;$H233</f>
        <v>Bicep Curls (DB)|25</v>
      </c>
      <c r="M233" s="11"/>
    </row>
    <row r="234" customFormat="false" ht="15" hidden="false" customHeight="false" outlineLevel="0" collapsed="false">
      <c r="A234" s="10" t="n">
        <v>46128</v>
      </c>
      <c r="B234" s="11" t="s">
        <v>35</v>
      </c>
      <c r="C234" s="11" t="s">
        <v>117</v>
      </c>
      <c r="D234" s="11" t="s">
        <v>77</v>
      </c>
      <c r="E234" s="11" t="s">
        <v>72</v>
      </c>
      <c r="F234" s="11" t="s">
        <v>39</v>
      </c>
      <c r="G234" s="11" t="n">
        <v>3</v>
      </c>
      <c r="H234" s="11" t="n">
        <v>25</v>
      </c>
      <c r="I234" s="11" t="n">
        <v>8</v>
      </c>
      <c r="J234" s="11" t="s">
        <v>40</v>
      </c>
      <c r="K234" s="11" t="n">
        <f aca="false">IF($J234="Y","",IF($F234="BW",$I234,$H234*$I234))</f>
        <v>200</v>
      </c>
      <c r="L234" s="11" t="str">
        <f aca="false">$D234&amp;"|"&amp;$H234</f>
        <v>Bicep Curls (DB)|25</v>
      </c>
      <c r="M234" s="11"/>
    </row>
    <row r="235" customFormat="false" ht="15" hidden="false" customHeight="false" outlineLevel="0" collapsed="false">
      <c r="A235" s="10" t="n">
        <v>46128</v>
      </c>
      <c r="B235" s="11" t="s">
        <v>35</v>
      </c>
      <c r="C235" s="11" t="s">
        <v>117</v>
      </c>
      <c r="D235" s="11" t="s">
        <v>80</v>
      </c>
      <c r="E235" s="11" t="s">
        <v>72</v>
      </c>
      <c r="F235" s="11" t="s">
        <v>39</v>
      </c>
      <c r="G235" s="11" t="n">
        <v>1</v>
      </c>
      <c r="H235" s="11" t="n">
        <v>40</v>
      </c>
      <c r="I235" s="11" t="n">
        <v>8</v>
      </c>
      <c r="J235" s="11" t="s">
        <v>40</v>
      </c>
      <c r="K235" s="11" t="n">
        <f aca="false">IF($J235="Y","",IF($F235="BW",$I235,$H235*$I235))</f>
        <v>320</v>
      </c>
      <c r="L235" s="11" t="str">
        <f aca="false">$D235&amp;"|"&amp;$H235</f>
        <v>Tricep Ext Overhead|40</v>
      </c>
      <c r="M235" s="11"/>
    </row>
    <row r="236" customFormat="false" ht="15" hidden="false" customHeight="false" outlineLevel="0" collapsed="false">
      <c r="A236" s="10" t="n">
        <v>46128</v>
      </c>
      <c r="B236" s="11" t="s">
        <v>35</v>
      </c>
      <c r="C236" s="11" t="s">
        <v>117</v>
      </c>
      <c r="D236" s="11" t="s">
        <v>80</v>
      </c>
      <c r="E236" s="11" t="s">
        <v>72</v>
      </c>
      <c r="F236" s="11" t="s">
        <v>39</v>
      </c>
      <c r="G236" s="11" t="n">
        <v>2</v>
      </c>
      <c r="H236" s="11" t="n">
        <v>45</v>
      </c>
      <c r="I236" s="11" t="n">
        <v>8</v>
      </c>
      <c r="J236" s="11" t="s">
        <v>40</v>
      </c>
      <c r="K236" s="11" t="n">
        <f aca="false">IF($J236="Y","",IF($F236="BW",$I236,$H236*$I236))</f>
        <v>360</v>
      </c>
      <c r="L236" s="11" t="str">
        <f aca="false">$D236&amp;"|"&amp;$H236</f>
        <v>Tricep Ext Overhead|45</v>
      </c>
      <c r="M236" s="11"/>
    </row>
    <row r="237" customFormat="false" ht="15" hidden="false" customHeight="false" outlineLevel="0" collapsed="false">
      <c r="A237" s="10" t="n">
        <v>46128</v>
      </c>
      <c r="B237" s="11" t="s">
        <v>35</v>
      </c>
      <c r="C237" s="11" t="s">
        <v>117</v>
      </c>
      <c r="D237" s="11" t="s">
        <v>80</v>
      </c>
      <c r="E237" s="11" t="s">
        <v>72</v>
      </c>
      <c r="F237" s="11" t="s">
        <v>39</v>
      </c>
      <c r="G237" s="11" t="n">
        <v>3</v>
      </c>
      <c r="H237" s="11" t="n">
        <v>45</v>
      </c>
      <c r="I237" s="11" t="n">
        <v>8</v>
      </c>
      <c r="J237" s="11" t="s">
        <v>40</v>
      </c>
      <c r="K237" s="11" t="n">
        <f aca="false">IF($J237="Y","",IF($F237="BW",$I237,$H237*$I237))</f>
        <v>360</v>
      </c>
      <c r="L237" s="11" t="str">
        <f aca="false">$D237&amp;"|"&amp;$H237</f>
        <v>Tricep Ext Overhead|45</v>
      </c>
      <c r="M237" s="11"/>
    </row>
    <row r="238" customFormat="false" ht="15" hidden="false" customHeight="false" outlineLevel="0" collapsed="false">
      <c r="A238" s="10" t="n">
        <v>46128</v>
      </c>
      <c r="B238" s="11" t="s">
        <v>35</v>
      </c>
      <c r="C238" s="11" t="s">
        <v>117</v>
      </c>
      <c r="D238" s="11" t="s">
        <v>90</v>
      </c>
      <c r="E238" s="11" t="s">
        <v>72</v>
      </c>
      <c r="F238" s="11" t="s">
        <v>39</v>
      </c>
      <c r="G238" s="11" t="n">
        <v>1</v>
      </c>
      <c r="H238" s="11" t="n">
        <v>10</v>
      </c>
      <c r="I238" s="11" t="n">
        <v>10</v>
      </c>
      <c r="J238" s="11" t="s">
        <v>40</v>
      </c>
      <c r="K238" s="11" t="n">
        <f aca="false">IF($J238="Y","",IF($F238="BW",$I238,$H238*$I238))</f>
        <v>100</v>
      </c>
      <c r="L238" s="11" t="str">
        <f aca="false">$D238&amp;"|"&amp;$H238</f>
        <v>Lateral Raises|10</v>
      </c>
      <c r="M238" s="11" t="s">
        <v>118</v>
      </c>
    </row>
    <row r="239" customFormat="false" ht="15" hidden="false" customHeight="false" outlineLevel="0" collapsed="false">
      <c r="A239" s="10" t="n">
        <v>46129</v>
      </c>
      <c r="B239" s="11" t="s">
        <v>82</v>
      </c>
      <c r="C239" s="11" t="s">
        <v>108</v>
      </c>
      <c r="D239" s="11" t="s">
        <v>73</v>
      </c>
      <c r="E239" s="11" t="s">
        <v>74</v>
      </c>
      <c r="F239" s="11" t="s">
        <v>75</v>
      </c>
      <c r="G239" s="11" t="n">
        <v>1</v>
      </c>
      <c r="H239" s="11" t="n">
        <v>15</v>
      </c>
      <c r="I239" s="11" t="n">
        <v>8</v>
      </c>
      <c r="J239" s="11" t="s">
        <v>40</v>
      </c>
      <c r="K239" s="11" t="n">
        <f aca="false">IF($J239="Y","",IF($F239="BW",$I239,$H239*$I239))</f>
        <v>120</v>
      </c>
      <c r="L239" s="11" t="str">
        <f aca="false">$D239&amp;"|"&amp;$H239</f>
        <v>Single Arm Lat Pulldown|15</v>
      </c>
      <c r="M239" s="11"/>
    </row>
    <row r="240" customFormat="false" ht="15" hidden="false" customHeight="false" outlineLevel="0" collapsed="false">
      <c r="A240" s="10" t="n">
        <v>46129</v>
      </c>
      <c r="B240" s="11" t="s">
        <v>82</v>
      </c>
      <c r="C240" s="11" t="s">
        <v>108</v>
      </c>
      <c r="D240" s="11" t="s">
        <v>73</v>
      </c>
      <c r="E240" s="11" t="s">
        <v>74</v>
      </c>
      <c r="F240" s="11" t="s">
        <v>75</v>
      </c>
      <c r="G240" s="11" t="n">
        <v>2</v>
      </c>
      <c r="H240" s="11" t="n">
        <v>20</v>
      </c>
      <c r="I240" s="11" t="n">
        <v>8</v>
      </c>
      <c r="J240" s="11" t="s">
        <v>40</v>
      </c>
      <c r="K240" s="11" t="n">
        <f aca="false">IF($J240="Y","",IF($F240="BW",$I240,$H240*$I240))</f>
        <v>160</v>
      </c>
      <c r="L240" s="11" t="str">
        <f aca="false">$D240&amp;"|"&amp;$H240</f>
        <v>Single Arm Lat Pulldown|20</v>
      </c>
      <c r="M240" s="11"/>
    </row>
    <row r="241" customFormat="false" ht="15" hidden="false" customHeight="false" outlineLevel="0" collapsed="false">
      <c r="A241" s="10" t="n">
        <v>46129</v>
      </c>
      <c r="B241" s="11" t="s">
        <v>82</v>
      </c>
      <c r="C241" s="11" t="s">
        <v>108</v>
      </c>
      <c r="D241" s="11" t="s">
        <v>73</v>
      </c>
      <c r="E241" s="11" t="s">
        <v>74</v>
      </c>
      <c r="F241" s="11" t="s">
        <v>75</v>
      </c>
      <c r="G241" s="11" t="n">
        <v>3</v>
      </c>
      <c r="H241" s="11" t="n">
        <v>22.5</v>
      </c>
      <c r="I241" s="11" t="n">
        <v>8</v>
      </c>
      <c r="J241" s="11" t="s">
        <v>40</v>
      </c>
      <c r="K241" s="11" t="n">
        <f aca="false">IF($J241="Y","",IF($F241="BW",$I241,$H241*$I241))</f>
        <v>180</v>
      </c>
      <c r="L241" s="11" t="str">
        <f aca="false">$D241&amp;"|"&amp;$H241</f>
        <v>Single Arm Lat Pulldown|22.5</v>
      </c>
      <c r="M241" s="11"/>
    </row>
    <row r="242" customFormat="false" ht="15" hidden="false" customHeight="false" outlineLevel="0" collapsed="false">
      <c r="A242" s="10" t="n">
        <v>46129</v>
      </c>
      <c r="B242" s="11" t="s">
        <v>82</v>
      </c>
      <c r="C242" s="11" t="s">
        <v>108</v>
      </c>
      <c r="D242" s="11" t="s">
        <v>88</v>
      </c>
      <c r="E242" s="11" t="s">
        <v>38</v>
      </c>
      <c r="F242" s="11" t="s">
        <v>39</v>
      </c>
      <c r="G242" s="11" t="n">
        <v>1</v>
      </c>
      <c r="H242" s="11" t="n">
        <v>40</v>
      </c>
      <c r="I242" s="11" t="n">
        <v>8</v>
      </c>
      <c r="J242" s="11" t="s">
        <v>40</v>
      </c>
      <c r="K242" s="11" t="n">
        <f aca="false">IF($J242="Y","",IF($F242="BW",$I242,$H242*$I242))</f>
        <v>320</v>
      </c>
      <c r="L242" s="11" t="str">
        <f aca="false">$D242&amp;"|"&amp;$H242</f>
        <v>Smith Rows|40</v>
      </c>
      <c r="M242" s="11" t="s">
        <v>119</v>
      </c>
    </row>
    <row r="243" customFormat="false" ht="15" hidden="false" customHeight="false" outlineLevel="0" collapsed="false">
      <c r="A243" s="10" t="n">
        <v>46129</v>
      </c>
      <c r="B243" s="11" t="s">
        <v>82</v>
      </c>
      <c r="C243" s="11" t="s">
        <v>108</v>
      </c>
      <c r="D243" s="11" t="s">
        <v>88</v>
      </c>
      <c r="E243" s="11" t="s">
        <v>38</v>
      </c>
      <c r="F243" s="11" t="s">
        <v>39</v>
      </c>
      <c r="G243" s="11" t="n">
        <v>2</v>
      </c>
      <c r="H243" s="11" t="n">
        <v>50</v>
      </c>
      <c r="I243" s="11" t="n">
        <v>8</v>
      </c>
      <c r="J243" s="11" t="s">
        <v>40</v>
      </c>
      <c r="K243" s="11" t="n">
        <f aca="false">IF($J243="Y","",IF($F243="BW",$I243,$H243*$I243))</f>
        <v>400</v>
      </c>
      <c r="L243" s="11" t="str">
        <f aca="false">$D243&amp;"|"&amp;$H243</f>
        <v>Smith Rows|50</v>
      </c>
      <c r="M243" s="11" t="s">
        <v>119</v>
      </c>
    </row>
    <row r="244" customFormat="false" ht="15" hidden="false" customHeight="false" outlineLevel="0" collapsed="false">
      <c r="A244" s="10" t="n">
        <v>46129</v>
      </c>
      <c r="B244" s="11" t="s">
        <v>82</v>
      </c>
      <c r="C244" s="11" t="s">
        <v>108</v>
      </c>
      <c r="D244" s="11" t="s">
        <v>88</v>
      </c>
      <c r="E244" s="11" t="s">
        <v>38</v>
      </c>
      <c r="F244" s="11" t="s">
        <v>39</v>
      </c>
      <c r="G244" s="11" t="n">
        <v>3</v>
      </c>
      <c r="H244" s="11" t="n">
        <v>60</v>
      </c>
      <c r="I244" s="11" t="n">
        <v>8</v>
      </c>
      <c r="J244" s="11" t="s">
        <v>40</v>
      </c>
      <c r="K244" s="11" t="n">
        <f aca="false">IF($J244="Y","",IF($F244="BW",$I244,$H244*$I244))</f>
        <v>480</v>
      </c>
      <c r="L244" s="11" t="str">
        <f aca="false">$D244&amp;"|"&amp;$H244</f>
        <v>Smith Rows|60</v>
      </c>
      <c r="M244" s="11" t="s">
        <v>119</v>
      </c>
    </row>
    <row r="245" customFormat="false" ht="15" hidden="false" customHeight="false" outlineLevel="0" collapsed="false">
      <c r="A245" s="10" t="n">
        <v>46129</v>
      </c>
      <c r="B245" s="11" t="s">
        <v>82</v>
      </c>
      <c r="C245" s="11" t="s">
        <v>108</v>
      </c>
      <c r="D245" s="11" t="s">
        <v>91</v>
      </c>
      <c r="E245" s="11" t="s">
        <v>72</v>
      </c>
      <c r="F245" s="11" t="s">
        <v>39</v>
      </c>
      <c r="G245" s="11" t="n">
        <v>1</v>
      </c>
      <c r="H245" s="11" t="n">
        <v>35</v>
      </c>
      <c r="I245" s="11" t="n">
        <v>8</v>
      </c>
      <c r="J245" s="11" t="s">
        <v>40</v>
      </c>
      <c r="K245" s="11" t="n">
        <f aca="false">IF($J245="Y","",IF($F245="BW",$I245,$H245*$I245))</f>
        <v>280</v>
      </c>
      <c r="L245" s="11" t="str">
        <f aca="false">$D245&amp;"|"&amp;$H245</f>
        <v>Shrugs|35</v>
      </c>
      <c r="M245" s="11" t="s">
        <v>92</v>
      </c>
    </row>
    <row r="246" customFormat="false" ht="15" hidden="false" customHeight="false" outlineLevel="0" collapsed="false">
      <c r="A246" s="10" t="n">
        <v>46129</v>
      </c>
      <c r="B246" s="11" t="s">
        <v>82</v>
      </c>
      <c r="C246" s="11" t="s">
        <v>108</v>
      </c>
      <c r="D246" s="11" t="s">
        <v>91</v>
      </c>
      <c r="E246" s="11" t="s">
        <v>72</v>
      </c>
      <c r="F246" s="11" t="s">
        <v>39</v>
      </c>
      <c r="G246" s="11" t="n">
        <v>2</v>
      </c>
      <c r="H246" s="11" t="n">
        <v>40</v>
      </c>
      <c r="I246" s="11" t="n">
        <v>8</v>
      </c>
      <c r="J246" s="11" t="s">
        <v>40</v>
      </c>
      <c r="K246" s="11" t="n">
        <f aca="false">IF($J246="Y","",IF($F246="BW",$I246,$H246*$I246))</f>
        <v>320</v>
      </c>
      <c r="L246" s="11" t="str">
        <f aca="false">$D246&amp;"|"&amp;$H246</f>
        <v>Shrugs|40</v>
      </c>
      <c r="M246" s="11" t="s">
        <v>92</v>
      </c>
    </row>
    <row r="247" customFormat="false" ht="15" hidden="false" customHeight="false" outlineLevel="0" collapsed="false">
      <c r="A247" s="10" t="n">
        <v>46129</v>
      </c>
      <c r="B247" s="11" t="s">
        <v>82</v>
      </c>
      <c r="C247" s="11" t="s">
        <v>108</v>
      </c>
      <c r="D247" s="11" t="s">
        <v>91</v>
      </c>
      <c r="E247" s="11" t="s">
        <v>72</v>
      </c>
      <c r="F247" s="11" t="s">
        <v>39</v>
      </c>
      <c r="G247" s="11" t="n">
        <v>3</v>
      </c>
      <c r="H247" s="11" t="n">
        <v>45</v>
      </c>
      <c r="I247" s="11" t="n">
        <v>8</v>
      </c>
      <c r="J247" s="11" t="s">
        <v>40</v>
      </c>
      <c r="K247" s="11" t="n">
        <f aca="false">IF($J247="Y","",IF($F247="BW",$I247,$H247*$I247))</f>
        <v>360</v>
      </c>
      <c r="L247" s="11" t="str">
        <f aca="false">$D247&amp;"|"&amp;$H247</f>
        <v>Shrugs|45</v>
      </c>
      <c r="M247" s="11" t="s">
        <v>92</v>
      </c>
    </row>
    <row r="248" customFormat="false" ht="15" hidden="false" customHeight="false" outlineLevel="0" collapsed="false">
      <c r="A248" s="12" t="n">
        <v>46131</v>
      </c>
      <c r="B248" s="13" t="s">
        <v>83</v>
      </c>
      <c r="C248" s="13" t="s">
        <v>36</v>
      </c>
      <c r="D248" s="13" t="s">
        <v>110</v>
      </c>
      <c r="E248" s="13" t="s">
        <v>38</v>
      </c>
      <c r="F248" s="13" t="s">
        <v>39</v>
      </c>
      <c r="G248" s="13" t="n">
        <v>1</v>
      </c>
      <c r="H248" s="13" t="n">
        <v>20</v>
      </c>
      <c r="I248" s="13" t="n">
        <v>8</v>
      </c>
      <c r="J248" s="13" t="s">
        <v>84</v>
      </c>
      <c r="K248" s="13" t="str">
        <f aca="false">IF($J248="Y","",IF($F248="BW",$I248,$H248*$I248))</f>
        <v/>
      </c>
      <c r="L248" s="13" t="str">
        <f aca="false">$D248&amp;"|"&amp;$H248</f>
        <v>Bench Press (Smith)|20</v>
      </c>
      <c r="M248" s="13" t="s">
        <v>120</v>
      </c>
    </row>
    <row r="249" customFormat="false" ht="15" hidden="false" customHeight="false" outlineLevel="0" collapsed="false">
      <c r="A249" s="10" t="n">
        <v>46131</v>
      </c>
      <c r="B249" s="11" t="s">
        <v>83</v>
      </c>
      <c r="C249" s="11" t="s">
        <v>36</v>
      </c>
      <c r="D249" s="11" t="s">
        <v>110</v>
      </c>
      <c r="E249" s="11" t="s">
        <v>38</v>
      </c>
      <c r="F249" s="11" t="s">
        <v>39</v>
      </c>
      <c r="G249" s="11" t="n">
        <v>2</v>
      </c>
      <c r="H249" s="11" t="n">
        <v>50</v>
      </c>
      <c r="I249" s="11" t="n">
        <v>8</v>
      </c>
      <c r="J249" s="11" t="s">
        <v>40</v>
      </c>
      <c r="K249" s="11" t="n">
        <f aca="false">IF($J249="Y","",IF($F249="BW",$I249,$H249*$I249))</f>
        <v>400</v>
      </c>
      <c r="L249" s="11" t="str">
        <f aca="false">$D249&amp;"|"&amp;$H249</f>
        <v>Bench Press (Smith)|50</v>
      </c>
      <c r="M249" s="11" t="s">
        <v>120</v>
      </c>
    </row>
    <row r="250" customFormat="false" ht="15" hidden="false" customHeight="false" outlineLevel="0" collapsed="false">
      <c r="A250" s="10" t="n">
        <v>46131</v>
      </c>
      <c r="B250" s="11" t="s">
        <v>83</v>
      </c>
      <c r="C250" s="11" t="s">
        <v>36</v>
      </c>
      <c r="D250" s="11" t="s">
        <v>110</v>
      </c>
      <c r="E250" s="11" t="s">
        <v>38</v>
      </c>
      <c r="F250" s="11" t="s">
        <v>39</v>
      </c>
      <c r="G250" s="11" t="n">
        <v>3</v>
      </c>
      <c r="H250" s="11" t="n">
        <v>70</v>
      </c>
      <c r="I250" s="11" t="n">
        <v>8</v>
      </c>
      <c r="J250" s="11" t="s">
        <v>40</v>
      </c>
      <c r="K250" s="11" t="n">
        <f aca="false">IF($J250="Y","",IF($F250="BW",$I250,$H250*$I250))</f>
        <v>560</v>
      </c>
      <c r="L250" s="11" t="str">
        <f aca="false">$D250&amp;"|"&amp;$H250</f>
        <v>Bench Press (Smith)|70</v>
      </c>
      <c r="M250" s="11" t="s">
        <v>120</v>
      </c>
    </row>
    <row r="251" customFormat="false" ht="15" hidden="false" customHeight="false" outlineLevel="0" collapsed="false">
      <c r="A251" s="10" t="n">
        <v>46131</v>
      </c>
      <c r="B251" s="11" t="s">
        <v>83</v>
      </c>
      <c r="C251" s="11" t="s">
        <v>36</v>
      </c>
      <c r="D251" s="11" t="s">
        <v>110</v>
      </c>
      <c r="E251" s="11" t="s">
        <v>38</v>
      </c>
      <c r="F251" s="11" t="s">
        <v>39</v>
      </c>
      <c r="G251" s="11" t="n">
        <v>4</v>
      </c>
      <c r="H251" s="11" t="n">
        <v>80</v>
      </c>
      <c r="I251" s="11" t="n">
        <v>8</v>
      </c>
      <c r="J251" s="11" t="s">
        <v>40</v>
      </c>
      <c r="K251" s="11" t="n">
        <f aca="false">IF($J251="Y","",IF($F251="BW",$I251,$H251*$I251))</f>
        <v>640</v>
      </c>
      <c r="L251" s="11" t="str">
        <f aca="false">$D251&amp;"|"&amp;$H251</f>
        <v>Bench Press (Smith)|80</v>
      </c>
      <c r="M251" s="11" t="s">
        <v>120</v>
      </c>
    </row>
    <row r="252" customFormat="false" ht="15" hidden="false" customHeight="false" outlineLevel="0" collapsed="false">
      <c r="A252" s="12" t="n">
        <v>46131</v>
      </c>
      <c r="B252" s="13" t="s">
        <v>83</v>
      </c>
      <c r="C252" s="13" t="s">
        <v>36</v>
      </c>
      <c r="D252" s="13" t="s">
        <v>76</v>
      </c>
      <c r="E252" s="13" t="s">
        <v>72</v>
      </c>
      <c r="F252" s="13" t="s">
        <v>39</v>
      </c>
      <c r="G252" s="13" t="n">
        <v>1</v>
      </c>
      <c r="H252" s="13" t="n">
        <v>15</v>
      </c>
      <c r="I252" s="13" t="n">
        <v>8</v>
      </c>
      <c r="J252" s="13" t="s">
        <v>84</v>
      </c>
      <c r="K252" s="13" t="str">
        <f aca="false">IF($J252="Y","",IF($F252="BW",$I252,$H252*$I252))</f>
        <v/>
      </c>
      <c r="L252" s="13" t="str">
        <f aca="false">$D252&amp;"|"&amp;$H252</f>
        <v>Shoulder Press|15</v>
      </c>
      <c r="M252" s="13"/>
    </row>
    <row r="253" customFormat="false" ht="15" hidden="false" customHeight="false" outlineLevel="0" collapsed="false">
      <c r="A253" s="10" t="n">
        <v>46131</v>
      </c>
      <c r="B253" s="11" t="s">
        <v>83</v>
      </c>
      <c r="C253" s="11" t="s">
        <v>36</v>
      </c>
      <c r="D253" s="11" t="s">
        <v>76</v>
      </c>
      <c r="E253" s="11" t="s">
        <v>72</v>
      </c>
      <c r="F253" s="11" t="s">
        <v>39</v>
      </c>
      <c r="G253" s="11" t="n">
        <v>2</v>
      </c>
      <c r="H253" s="11" t="n">
        <v>25</v>
      </c>
      <c r="I253" s="11" t="n">
        <v>8</v>
      </c>
      <c r="J253" s="11" t="s">
        <v>40</v>
      </c>
      <c r="K253" s="11" t="n">
        <f aca="false">IF($J253="Y","",IF($F253="BW",$I253,$H253*$I253))</f>
        <v>200</v>
      </c>
      <c r="L253" s="11" t="str">
        <f aca="false">$D253&amp;"|"&amp;$H253</f>
        <v>Shoulder Press|25</v>
      </c>
      <c r="M253" s="11"/>
    </row>
    <row r="254" customFormat="false" ht="15" hidden="false" customHeight="false" outlineLevel="0" collapsed="false">
      <c r="A254" s="10" t="n">
        <v>46131</v>
      </c>
      <c r="B254" s="11" t="s">
        <v>83</v>
      </c>
      <c r="C254" s="11" t="s">
        <v>36</v>
      </c>
      <c r="D254" s="11" t="s">
        <v>76</v>
      </c>
      <c r="E254" s="11" t="s">
        <v>72</v>
      </c>
      <c r="F254" s="11" t="s">
        <v>39</v>
      </c>
      <c r="G254" s="11" t="n">
        <v>3</v>
      </c>
      <c r="H254" s="11" t="n">
        <v>30</v>
      </c>
      <c r="I254" s="11" t="n">
        <v>8</v>
      </c>
      <c r="J254" s="11" t="s">
        <v>40</v>
      </c>
      <c r="K254" s="11" t="n">
        <f aca="false">IF($J254="Y","",IF($F254="BW",$I254,$H254*$I254))</f>
        <v>240</v>
      </c>
      <c r="L254" s="11" t="str">
        <f aca="false">$D254&amp;"|"&amp;$H254</f>
        <v>Shoulder Press|30</v>
      </c>
      <c r="M254" s="11"/>
    </row>
    <row r="255" customFormat="false" ht="15" hidden="false" customHeight="false" outlineLevel="0" collapsed="false">
      <c r="A255" s="10" t="n">
        <v>46131</v>
      </c>
      <c r="B255" s="11" t="s">
        <v>83</v>
      </c>
      <c r="C255" s="11" t="s">
        <v>36</v>
      </c>
      <c r="D255" s="11" t="s">
        <v>76</v>
      </c>
      <c r="E255" s="11" t="s">
        <v>72</v>
      </c>
      <c r="F255" s="11" t="s">
        <v>39</v>
      </c>
      <c r="G255" s="11" t="n">
        <v>4</v>
      </c>
      <c r="H255" s="11" t="n">
        <v>35</v>
      </c>
      <c r="I255" s="11" t="n">
        <v>8</v>
      </c>
      <c r="J255" s="11" t="s">
        <v>40</v>
      </c>
      <c r="K255" s="11" t="n">
        <f aca="false">IF($J255="Y","",IF($F255="BW",$I255,$H255*$I255))</f>
        <v>280</v>
      </c>
      <c r="L255" s="11" t="str">
        <f aca="false">$D255&amp;"|"&amp;$H255</f>
        <v>Shoulder Press|35</v>
      </c>
      <c r="M255" s="11"/>
    </row>
    <row r="256" customFormat="false" ht="15" hidden="false" customHeight="false" outlineLevel="0" collapsed="false">
      <c r="A256" s="12" t="n">
        <v>46131</v>
      </c>
      <c r="B256" s="13" t="s">
        <v>83</v>
      </c>
      <c r="C256" s="13" t="s">
        <v>36</v>
      </c>
      <c r="D256" s="13" t="s">
        <v>80</v>
      </c>
      <c r="E256" s="13" t="s">
        <v>72</v>
      </c>
      <c r="F256" s="13" t="s">
        <v>39</v>
      </c>
      <c r="G256" s="13" t="n">
        <v>1</v>
      </c>
      <c r="H256" s="13" t="n">
        <v>20</v>
      </c>
      <c r="I256" s="13" t="n">
        <v>8</v>
      </c>
      <c r="J256" s="13" t="s">
        <v>84</v>
      </c>
      <c r="K256" s="13" t="str">
        <f aca="false">IF($J256="Y","",IF($F256="BW",$I256,$H256*$I256))</f>
        <v/>
      </c>
      <c r="L256" s="13" t="str">
        <f aca="false">$D256&amp;"|"&amp;$H256</f>
        <v>Tricep Ext Overhead|20</v>
      </c>
      <c r="M256" s="13"/>
    </row>
    <row r="257" customFormat="false" ht="15" hidden="false" customHeight="false" outlineLevel="0" collapsed="false">
      <c r="A257" s="10" t="n">
        <v>46131</v>
      </c>
      <c r="B257" s="11" t="s">
        <v>83</v>
      </c>
      <c r="C257" s="11" t="s">
        <v>36</v>
      </c>
      <c r="D257" s="11" t="s">
        <v>80</v>
      </c>
      <c r="E257" s="11" t="s">
        <v>72</v>
      </c>
      <c r="F257" s="11" t="s">
        <v>39</v>
      </c>
      <c r="G257" s="11" t="n">
        <v>2</v>
      </c>
      <c r="H257" s="11" t="n">
        <v>40</v>
      </c>
      <c r="I257" s="11" t="n">
        <v>8</v>
      </c>
      <c r="J257" s="11" t="s">
        <v>40</v>
      </c>
      <c r="K257" s="11" t="n">
        <f aca="false">IF($J257="Y","",IF($F257="BW",$I257,$H257*$I257))</f>
        <v>320</v>
      </c>
      <c r="L257" s="11" t="str">
        <f aca="false">$D257&amp;"|"&amp;$H257</f>
        <v>Tricep Ext Overhead|40</v>
      </c>
      <c r="M257" s="11"/>
    </row>
    <row r="258" customFormat="false" ht="15" hidden="false" customHeight="false" outlineLevel="0" collapsed="false">
      <c r="A258" s="10" t="n">
        <v>46131</v>
      </c>
      <c r="B258" s="11" t="s">
        <v>83</v>
      </c>
      <c r="C258" s="11" t="s">
        <v>36</v>
      </c>
      <c r="D258" s="11" t="s">
        <v>80</v>
      </c>
      <c r="E258" s="11" t="s">
        <v>72</v>
      </c>
      <c r="F258" s="11" t="s">
        <v>39</v>
      </c>
      <c r="G258" s="11" t="n">
        <v>3</v>
      </c>
      <c r="H258" s="11" t="n">
        <v>45</v>
      </c>
      <c r="I258" s="11" t="n">
        <v>8</v>
      </c>
      <c r="J258" s="11" t="s">
        <v>40</v>
      </c>
      <c r="K258" s="11" t="n">
        <f aca="false">IF($J258="Y","",IF($F258="BW",$I258,$H258*$I258))</f>
        <v>360</v>
      </c>
      <c r="L258" s="11" t="str">
        <f aca="false">$D258&amp;"|"&amp;$H258</f>
        <v>Tricep Ext Overhead|45</v>
      </c>
      <c r="M258" s="11"/>
    </row>
    <row r="259" customFormat="false" ht="15" hidden="false" customHeight="false" outlineLevel="0" collapsed="false">
      <c r="A259" s="10" t="n">
        <v>46131</v>
      </c>
      <c r="B259" s="11" t="s">
        <v>83</v>
      </c>
      <c r="C259" s="11" t="s">
        <v>36</v>
      </c>
      <c r="D259" s="11" t="s">
        <v>80</v>
      </c>
      <c r="E259" s="11" t="s">
        <v>72</v>
      </c>
      <c r="F259" s="11" t="s">
        <v>39</v>
      </c>
      <c r="G259" s="11" t="n">
        <v>4</v>
      </c>
      <c r="H259" s="11" t="n">
        <v>50</v>
      </c>
      <c r="I259" s="11" t="n">
        <v>8</v>
      </c>
      <c r="J259" s="11" t="s">
        <v>40</v>
      </c>
      <c r="K259" s="11" t="n">
        <f aca="false">IF($J259="Y","",IF($F259="BW",$I259,$H259*$I259))</f>
        <v>400</v>
      </c>
      <c r="L259" s="11" t="str">
        <f aca="false">$D259&amp;"|"&amp;$H259</f>
        <v>Tricep Ext Overhead|50</v>
      </c>
      <c r="M259" s="11"/>
    </row>
    <row r="260" customFormat="false" ht="15" hidden="false" customHeight="false" outlineLevel="0" collapsed="false">
      <c r="A260" s="10" t="n">
        <v>46131</v>
      </c>
      <c r="B260" s="11" t="s">
        <v>83</v>
      </c>
      <c r="C260" s="11" t="s">
        <v>36</v>
      </c>
      <c r="D260" s="11" t="s">
        <v>113</v>
      </c>
      <c r="E260" s="11" t="s">
        <v>72</v>
      </c>
      <c r="F260" s="11" t="s">
        <v>39</v>
      </c>
      <c r="G260" s="11" t="n">
        <v>1</v>
      </c>
      <c r="H260" s="11" t="n">
        <v>25</v>
      </c>
      <c r="I260" s="11" t="n">
        <v>8</v>
      </c>
      <c r="J260" s="11" t="s">
        <v>40</v>
      </c>
      <c r="K260" s="11" t="n">
        <f aca="false">IF($J260="Y","",IF($F260="BW",$I260,$H260*$I260))</f>
        <v>200</v>
      </c>
      <c r="L260" s="11" t="str">
        <f aca="false">$D260&amp;"|"&amp;$H260</f>
        <v>Incline Bench (DB)|25</v>
      </c>
      <c r="M260" s="11" t="s">
        <v>89</v>
      </c>
    </row>
    <row r="261" customFormat="false" ht="15" hidden="false" customHeight="false" outlineLevel="0" collapsed="false">
      <c r="A261" s="10" t="n">
        <v>46131</v>
      </c>
      <c r="B261" s="11" t="s">
        <v>83</v>
      </c>
      <c r="C261" s="11" t="s">
        <v>36</v>
      </c>
      <c r="D261" s="11" t="s">
        <v>113</v>
      </c>
      <c r="E261" s="11" t="s">
        <v>72</v>
      </c>
      <c r="F261" s="11" t="s">
        <v>39</v>
      </c>
      <c r="G261" s="11" t="n">
        <v>2</v>
      </c>
      <c r="H261" s="11" t="n">
        <v>35</v>
      </c>
      <c r="I261" s="11" t="n">
        <v>8</v>
      </c>
      <c r="J261" s="11" t="s">
        <v>40</v>
      </c>
      <c r="K261" s="11" t="n">
        <f aca="false">IF($J261="Y","",IF($F261="BW",$I261,$H261*$I261))</f>
        <v>280</v>
      </c>
      <c r="L261" s="11" t="str">
        <f aca="false">$D261&amp;"|"&amp;$H261</f>
        <v>Incline Bench (DB)|35</v>
      </c>
      <c r="M261" s="11" t="s">
        <v>89</v>
      </c>
    </row>
    <row r="262" customFormat="false" ht="15" hidden="false" customHeight="false" outlineLevel="0" collapsed="false">
      <c r="A262" s="10" t="n">
        <v>46131</v>
      </c>
      <c r="B262" s="11" t="s">
        <v>83</v>
      </c>
      <c r="C262" s="11" t="s">
        <v>36</v>
      </c>
      <c r="D262" s="11" t="s">
        <v>113</v>
      </c>
      <c r="E262" s="11" t="s">
        <v>72</v>
      </c>
      <c r="F262" s="11" t="s">
        <v>39</v>
      </c>
      <c r="G262" s="11" t="n">
        <v>3</v>
      </c>
      <c r="H262" s="11" t="n">
        <v>35</v>
      </c>
      <c r="I262" s="11" t="n">
        <v>8</v>
      </c>
      <c r="J262" s="11" t="s">
        <v>40</v>
      </c>
      <c r="K262" s="11" t="n">
        <f aca="false">IF($J262="Y","",IF($F262="BW",$I262,$H262*$I262))</f>
        <v>280</v>
      </c>
      <c r="L262" s="11" t="str">
        <f aca="false">$D262&amp;"|"&amp;$H262</f>
        <v>Incline Bench (DB)|35</v>
      </c>
      <c r="M262" s="11" t="s">
        <v>89</v>
      </c>
    </row>
    <row r="263" customFormat="false" ht="15" hidden="false" customHeight="false" outlineLevel="0" collapsed="false">
      <c r="A263" s="10" t="n">
        <v>46131</v>
      </c>
      <c r="B263" s="11" t="s">
        <v>83</v>
      </c>
      <c r="C263" s="11" t="s">
        <v>36</v>
      </c>
      <c r="D263" s="11" t="s">
        <v>113</v>
      </c>
      <c r="E263" s="11" t="s">
        <v>72</v>
      </c>
      <c r="F263" s="11" t="s">
        <v>39</v>
      </c>
      <c r="G263" s="11" t="n">
        <v>4</v>
      </c>
      <c r="H263" s="11" t="n">
        <v>35</v>
      </c>
      <c r="I263" s="11" t="n">
        <v>8</v>
      </c>
      <c r="J263" s="11" t="s">
        <v>40</v>
      </c>
      <c r="K263" s="11" t="n">
        <f aca="false">IF($J263="Y","",IF($F263="BW",$I263,$H263*$I263))</f>
        <v>280</v>
      </c>
      <c r="L263" s="11" t="str">
        <f aca="false">$D263&amp;"|"&amp;$H263</f>
        <v>Incline Bench (DB)|35</v>
      </c>
      <c r="M263" s="11" t="s">
        <v>89</v>
      </c>
    </row>
    <row r="264" customFormat="false" ht="15" hidden="false" customHeight="false" outlineLevel="0" collapsed="false">
      <c r="A264" s="10" t="n">
        <v>46131</v>
      </c>
      <c r="B264" s="11" t="s">
        <v>83</v>
      </c>
      <c r="C264" s="11" t="s">
        <v>36</v>
      </c>
      <c r="D264" s="11" t="s">
        <v>90</v>
      </c>
      <c r="E264" s="11" t="s">
        <v>72</v>
      </c>
      <c r="F264" s="11" t="s">
        <v>39</v>
      </c>
      <c r="G264" s="11" t="n">
        <v>1</v>
      </c>
      <c r="H264" s="11" t="n">
        <v>10</v>
      </c>
      <c r="I264" s="11" t="n">
        <v>12</v>
      </c>
      <c r="J264" s="11" t="s">
        <v>40</v>
      </c>
      <c r="K264" s="11" t="n">
        <f aca="false">IF($J264="Y","",IF($F264="BW",$I264,$H264*$I264))</f>
        <v>120</v>
      </c>
      <c r="L264" s="11" t="str">
        <f aca="false">$D264&amp;"|"&amp;$H264</f>
        <v>Lateral Raises|10</v>
      </c>
      <c r="M264" s="11"/>
    </row>
    <row r="265" customFormat="false" ht="15" hidden="false" customHeight="false" outlineLevel="0" collapsed="false">
      <c r="A265" s="10" t="n">
        <v>46131</v>
      </c>
      <c r="B265" s="11" t="s">
        <v>83</v>
      </c>
      <c r="C265" s="11" t="s">
        <v>36</v>
      </c>
      <c r="D265" s="11" t="s">
        <v>90</v>
      </c>
      <c r="E265" s="11" t="s">
        <v>72</v>
      </c>
      <c r="F265" s="11" t="s">
        <v>39</v>
      </c>
      <c r="G265" s="11" t="n">
        <v>2</v>
      </c>
      <c r="H265" s="11" t="n">
        <v>10</v>
      </c>
      <c r="I265" s="11" t="n">
        <v>12</v>
      </c>
      <c r="J265" s="11" t="s">
        <v>40</v>
      </c>
      <c r="K265" s="11" t="n">
        <f aca="false">IF($J265="Y","",IF($F265="BW",$I265,$H265*$I265))</f>
        <v>120</v>
      </c>
      <c r="L265" s="11" t="str">
        <f aca="false">$D265&amp;"|"&amp;$H265</f>
        <v>Lateral Raises|10</v>
      </c>
      <c r="M265" s="11"/>
    </row>
    <row r="266" customFormat="false" ht="15" hidden="false" customHeight="false" outlineLevel="0" collapsed="false">
      <c r="A266" s="10" t="n">
        <v>46134</v>
      </c>
      <c r="B266" s="11" t="s">
        <v>115</v>
      </c>
      <c r="C266" s="11" t="s">
        <v>78</v>
      </c>
      <c r="D266" s="11" t="s">
        <v>121</v>
      </c>
      <c r="E266" s="11" t="s">
        <v>74</v>
      </c>
      <c r="F266" s="11" t="s">
        <v>75</v>
      </c>
      <c r="G266" s="11" t="n">
        <v>1</v>
      </c>
      <c r="H266" s="11" t="n">
        <v>5</v>
      </c>
      <c r="I266" s="11" t="n">
        <v>8</v>
      </c>
      <c r="J266" s="11" t="s">
        <v>40</v>
      </c>
      <c r="K266" s="11" t="n">
        <f aca="false">IF($J266="Y","",IF($F266="BW",$I266,$H266*$I266))</f>
        <v>40</v>
      </c>
      <c r="L266" s="11" t="str">
        <f aca="false">$D266&amp;"|"&amp;$H266</f>
        <v>Face Pulls|5</v>
      </c>
      <c r="M266" s="11" t="s">
        <v>122</v>
      </c>
    </row>
    <row r="267" customFormat="false" ht="15" hidden="false" customHeight="false" outlineLevel="0" collapsed="false">
      <c r="A267" s="10" t="n">
        <v>46134</v>
      </c>
      <c r="B267" s="11" t="s">
        <v>115</v>
      </c>
      <c r="C267" s="11" t="s">
        <v>78</v>
      </c>
      <c r="D267" s="11" t="s">
        <v>121</v>
      </c>
      <c r="E267" s="11" t="s">
        <v>74</v>
      </c>
      <c r="F267" s="11" t="s">
        <v>75</v>
      </c>
      <c r="G267" s="11" t="n">
        <v>2</v>
      </c>
      <c r="H267" s="11" t="n">
        <v>7.5</v>
      </c>
      <c r="I267" s="11" t="n">
        <v>8</v>
      </c>
      <c r="J267" s="11" t="s">
        <v>40</v>
      </c>
      <c r="K267" s="11" t="n">
        <f aca="false">IF($J267="Y","",IF($F267="BW",$I267,$H267*$I267))</f>
        <v>60</v>
      </c>
      <c r="L267" s="11" t="str">
        <f aca="false">$D267&amp;"|"&amp;$H267</f>
        <v>Face Pulls|7.5</v>
      </c>
      <c r="M267" s="11" t="s">
        <v>122</v>
      </c>
    </row>
    <row r="268" customFormat="false" ht="15" hidden="false" customHeight="false" outlineLevel="0" collapsed="false">
      <c r="A268" s="10" t="n">
        <v>46134</v>
      </c>
      <c r="B268" s="11" t="s">
        <v>115</v>
      </c>
      <c r="C268" s="11" t="s">
        <v>78</v>
      </c>
      <c r="D268" s="11" t="s">
        <v>121</v>
      </c>
      <c r="E268" s="11" t="s">
        <v>74</v>
      </c>
      <c r="F268" s="11" t="s">
        <v>75</v>
      </c>
      <c r="G268" s="11" t="n">
        <v>3</v>
      </c>
      <c r="H268" s="11" t="n">
        <v>7.5</v>
      </c>
      <c r="I268" s="11" t="n">
        <v>8</v>
      </c>
      <c r="J268" s="11" t="s">
        <v>40</v>
      </c>
      <c r="K268" s="11" t="n">
        <f aca="false">IF($J268="Y","",IF($F268="BW",$I268,$H268*$I268))</f>
        <v>60</v>
      </c>
      <c r="L268" s="11" t="str">
        <f aca="false">$D268&amp;"|"&amp;$H268</f>
        <v>Face Pulls|7.5</v>
      </c>
      <c r="M268" s="11" t="s">
        <v>122</v>
      </c>
    </row>
    <row r="269" customFormat="false" ht="15" hidden="false" customHeight="false" outlineLevel="0" collapsed="false">
      <c r="A269" s="10" t="n">
        <v>46134</v>
      </c>
      <c r="B269" s="11" t="s">
        <v>115</v>
      </c>
      <c r="C269" s="11" t="s">
        <v>78</v>
      </c>
      <c r="D269" s="11" t="s">
        <v>73</v>
      </c>
      <c r="E269" s="11" t="s">
        <v>74</v>
      </c>
      <c r="F269" s="11" t="s">
        <v>75</v>
      </c>
      <c r="G269" s="11" t="n">
        <v>1</v>
      </c>
      <c r="H269" s="11" t="n">
        <v>17.5</v>
      </c>
      <c r="I269" s="11" t="n">
        <v>8</v>
      </c>
      <c r="J269" s="11" t="s">
        <v>40</v>
      </c>
      <c r="K269" s="11" t="n">
        <f aca="false">IF($J269="Y","",IF($F269="BW",$I269,$H269*$I269))</f>
        <v>140</v>
      </c>
      <c r="L269" s="11" t="str">
        <f aca="false">$D269&amp;"|"&amp;$H269</f>
        <v>Single Arm Lat Pulldown|17.5</v>
      </c>
      <c r="M269" s="11"/>
    </row>
    <row r="270" customFormat="false" ht="15" hidden="false" customHeight="false" outlineLevel="0" collapsed="false">
      <c r="A270" s="10" t="n">
        <v>46134</v>
      </c>
      <c r="B270" s="11" t="s">
        <v>115</v>
      </c>
      <c r="C270" s="11" t="s">
        <v>78</v>
      </c>
      <c r="D270" s="11" t="s">
        <v>73</v>
      </c>
      <c r="E270" s="11" t="s">
        <v>74</v>
      </c>
      <c r="F270" s="11" t="s">
        <v>75</v>
      </c>
      <c r="G270" s="11" t="n">
        <v>2</v>
      </c>
      <c r="H270" s="11" t="n">
        <v>20</v>
      </c>
      <c r="I270" s="11" t="n">
        <v>8</v>
      </c>
      <c r="J270" s="11" t="s">
        <v>40</v>
      </c>
      <c r="K270" s="11" t="n">
        <f aca="false">IF($J270="Y","",IF($F270="BW",$I270,$H270*$I270))</f>
        <v>160</v>
      </c>
      <c r="L270" s="11" t="str">
        <f aca="false">$D270&amp;"|"&amp;$H270</f>
        <v>Single Arm Lat Pulldown|20</v>
      </c>
      <c r="M270" s="11"/>
    </row>
    <row r="271" customFormat="false" ht="15" hidden="false" customHeight="false" outlineLevel="0" collapsed="false">
      <c r="A271" s="10" t="n">
        <v>46134</v>
      </c>
      <c r="B271" s="11" t="s">
        <v>115</v>
      </c>
      <c r="C271" s="11" t="s">
        <v>78</v>
      </c>
      <c r="D271" s="11" t="s">
        <v>73</v>
      </c>
      <c r="E271" s="11" t="s">
        <v>74</v>
      </c>
      <c r="F271" s="11" t="s">
        <v>75</v>
      </c>
      <c r="G271" s="11" t="n">
        <v>3</v>
      </c>
      <c r="H271" s="11" t="n">
        <v>22.5</v>
      </c>
      <c r="I271" s="11" t="n">
        <v>8</v>
      </c>
      <c r="J271" s="11" t="s">
        <v>40</v>
      </c>
      <c r="K271" s="11" t="n">
        <f aca="false">IF($J271="Y","",IF($F271="BW",$I271,$H271*$I271))</f>
        <v>180</v>
      </c>
      <c r="L271" s="11" t="str">
        <f aca="false">$D271&amp;"|"&amp;$H271</f>
        <v>Single Arm Lat Pulldown|22.5</v>
      </c>
      <c r="M271" s="11"/>
    </row>
    <row r="272" customFormat="false" ht="15" hidden="false" customHeight="false" outlineLevel="0" collapsed="false">
      <c r="A272" s="10" t="n">
        <v>46134</v>
      </c>
      <c r="B272" s="11" t="s">
        <v>115</v>
      </c>
      <c r="C272" s="11" t="s">
        <v>78</v>
      </c>
      <c r="D272" s="11" t="s">
        <v>123</v>
      </c>
      <c r="E272" s="11" t="s">
        <v>72</v>
      </c>
      <c r="F272" s="11" t="s">
        <v>39</v>
      </c>
      <c r="G272" s="11" t="n">
        <v>1</v>
      </c>
      <c r="H272" s="11" t="n">
        <v>20</v>
      </c>
      <c r="I272" s="11" t="n">
        <v>8</v>
      </c>
      <c r="J272" s="11" t="s">
        <v>40</v>
      </c>
      <c r="K272" s="11" t="n">
        <f aca="false">IF($J272="Y","",IF($F272="BW",$I272,$H272*$I272))</f>
        <v>160</v>
      </c>
      <c r="L272" s="11" t="str">
        <f aca="false">$D272&amp;"|"&amp;$H272</f>
        <v>Hammer Curls|20</v>
      </c>
      <c r="M272" s="11" t="s">
        <v>122</v>
      </c>
    </row>
    <row r="273" customFormat="false" ht="15" hidden="false" customHeight="false" outlineLevel="0" collapsed="false">
      <c r="A273" s="10" t="n">
        <v>46134</v>
      </c>
      <c r="B273" s="11" t="s">
        <v>115</v>
      </c>
      <c r="C273" s="11" t="s">
        <v>78</v>
      </c>
      <c r="D273" s="11" t="s">
        <v>123</v>
      </c>
      <c r="E273" s="11" t="s">
        <v>72</v>
      </c>
      <c r="F273" s="11" t="s">
        <v>39</v>
      </c>
      <c r="G273" s="11" t="n">
        <v>2</v>
      </c>
      <c r="H273" s="11" t="n">
        <v>25</v>
      </c>
      <c r="I273" s="11" t="n">
        <v>8</v>
      </c>
      <c r="J273" s="11" t="s">
        <v>40</v>
      </c>
      <c r="K273" s="11" t="n">
        <f aca="false">IF($J273="Y","",IF($F273="BW",$I273,$H273*$I273))</f>
        <v>200</v>
      </c>
      <c r="L273" s="11" t="str">
        <f aca="false">$D273&amp;"|"&amp;$H273</f>
        <v>Hammer Curls|25</v>
      </c>
      <c r="M273" s="11" t="s">
        <v>122</v>
      </c>
    </row>
    <row r="274" customFormat="false" ht="15" hidden="false" customHeight="false" outlineLevel="0" collapsed="false">
      <c r="A274" s="10" t="n">
        <v>46134</v>
      </c>
      <c r="B274" s="11" t="s">
        <v>115</v>
      </c>
      <c r="C274" s="11" t="s">
        <v>78</v>
      </c>
      <c r="D274" s="11" t="s">
        <v>123</v>
      </c>
      <c r="E274" s="11" t="s">
        <v>72</v>
      </c>
      <c r="F274" s="11" t="s">
        <v>39</v>
      </c>
      <c r="G274" s="11" t="n">
        <v>3</v>
      </c>
      <c r="H274" s="11" t="n">
        <v>25</v>
      </c>
      <c r="I274" s="11" t="n">
        <v>8</v>
      </c>
      <c r="J274" s="11" t="s">
        <v>40</v>
      </c>
      <c r="K274" s="11" t="n">
        <f aca="false">IF($J274="Y","",IF($F274="BW",$I274,$H274*$I274))</f>
        <v>200</v>
      </c>
      <c r="L274" s="11" t="str">
        <f aca="false">$D274&amp;"|"&amp;$H274</f>
        <v>Hammer Curls|25</v>
      </c>
      <c r="M274" s="11" t="s">
        <v>122</v>
      </c>
    </row>
    <row r="275" customFormat="false" ht="15" hidden="false" customHeight="false" outlineLevel="0" collapsed="false">
      <c r="A275" s="12" t="n">
        <v>46134</v>
      </c>
      <c r="B275" s="13" t="s">
        <v>115</v>
      </c>
      <c r="C275" s="13" t="s">
        <v>78</v>
      </c>
      <c r="D275" s="13" t="s">
        <v>88</v>
      </c>
      <c r="E275" s="13" t="s">
        <v>38</v>
      </c>
      <c r="F275" s="13" t="s">
        <v>39</v>
      </c>
      <c r="G275" s="13" t="n">
        <v>1</v>
      </c>
      <c r="H275" s="13" t="n">
        <v>20</v>
      </c>
      <c r="I275" s="13" t="n">
        <v>8</v>
      </c>
      <c r="J275" s="13" t="s">
        <v>84</v>
      </c>
      <c r="K275" s="13" t="str">
        <f aca="false">IF($J275="Y","",IF($F275="BW",$I275,$H275*$I275))</f>
        <v/>
      </c>
      <c r="L275" s="13" t="str">
        <f aca="false">$D275&amp;"|"&amp;$H275</f>
        <v>Smith Rows|20</v>
      </c>
      <c r="M275" s="13" t="s">
        <v>124</v>
      </c>
    </row>
    <row r="276" customFormat="false" ht="15" hidden="false" customHeight="false" outlineLevel="0" collapsed="false">
      <c r="A276" s="10" t="n">
        <v>46134</v>
      </c>
      <c r="B276" s="11" t="s">
        <v>115</v>
      </c>
      <c r="C276" s="11" t="s">
        <v>78</v>
      </c>
      <c r="D276" s="11" t="s">
        <v>88</v>
      </c>
      <c r="E276" s="11" t="s">
        <v>38</v>
      </c>
      <c r="F276" s="11" t="s">
        <v>39</v>
      </c>
      <c r="G276" s="11" t="n">
        <v>2</v>
      </c>
      <c r="H276" s="11" t="n">
        <v>40</v>
      </c>
      <c r="I276" s="11" t="n">
        <v>8</v>
      </c>
      <c r="J276" s="11" t="s">
        <v>40</v>
      </c>
      <c r="K276" s="11" t="n">
        <f aca="false">IF($J276="Y","",IF($F276="BW",$I276,$H276*$I276))</f>
        <v>320</v>
      </c>
      <c r="L276" s="11" t="str">
        <f aca="false">$D276&amp;"|"&amp;$H276</f>
        <v>Smith Rows|40</v>
      </c>
      <c r="M276" s="11" t="s">
        <v>124</v>
      </c>
    </row>
    <row r="277" customFormat="false" ht="15" hidden="false" customHeight="false" outlineLevel="0" collapsed="false">
      <c r="A277" s="10" t="n">
        <v>46134</v>
      </c>
      <c r="B277" s="11" t="s">
        <v>115</v>
      </c>
      <c r="C277" s="11" t="s">
        <v>78</v>
      </c>
      <c r="D277" s="11" t="s">
        <v>88</v>
      </c>
      <c r="E277" s="11" t="s">
        <v>38</v>
      </c>
      <c r="F277" s="11" t="s">
        <v>39</v>
      </c>
      <c r="G277" s="11" t="n">
        <v>3</v>
      </c>
      <c r="H277" s="11" t="n">
        <v>55</v>
      </c>
      <c r="I277" s="11" t="n">
        <v>8</v>
      </c>
      <c r="J277" s="11" t="s">
        <v>40</v>
      </c>
      <c r="K277" s="11" t="n">
        <f aca="false">IF($J277="Y","",IF($F277="BW",$I277,$H277*$I277))</f>
        <v>440</v>
      </c>
      <c r="L277" s="11" t="str">
        <f aca="false">$D277&amp;"|"&amp;$H277</f>
        <v>Smith Rows|55</v>
      </c>
      <c r="M277" s="11" t="s">
        <v>124</v>
      </c>
    </row>
    <row r="278" customFormat="false" ht="15" hidden="false" customHeight="false" outlineLevel="0" collapsed="false">
      <c r="A278" s="10" t="n">
        <v>46134</v>
      </c>
      <c r="B278" s="11" t="s">
        <v>115</v>
      </c>
      <c r="C278" s="11" t="s">
        <v>78</v>
      </c>
      <c r="D278" s="11" t="s">
        <v>88</v>
      </c>
      <c r="E278" s="11" t="s">
        <v>38</v>
      </c>
      <c r="F278" s="11" t="s">
        <v>39</v>
      </c>
      <c r="G278" s="11" t="n">
        <v>4</v>
      </c>
      <c r="H278" s="11" t="n">
        <v>65</v>
      </c>
      <c r="I278" s="11" t="n">
        <v>8</v>
      </c>
      <c r="J278" s="11" t="s">
        <v>40</v>
      </c>
      <c r="K278" s="11" t="n">
        <f aca="false">IF($J278="Y","",IF($F278="BW",$I278,$H278*$I278))</f>
        <v>520</v>
      </c>
      <c r="L278" s="11" t="str">
        <f aca="false">$D278&amp;"|"&amp;$H278</f>
        <v>Smith Rows|65</v>
      </c>
      <c r="M278" s="11" t="s">
        <v>124</v>
      </c>
    </row>
    <row r="279" customFormat="false" ht="15" hidden="false" customHeight="false" outlineLevel="0" collapsed="false">
      <c r="A279" s="10" t="n">
        <v>46134</v>
      </c>
      <c r="B279" s="11" t="s">
        <v>115</v>
      </c>
      <c r="C279" s="11" t="s">
        <v>78</v>
      </c>
      <c r="D279" s="11" t="s">
        <v>91</v>
      </c>
      <c r="E279" s="11" t="s">
        <v>72</v>
      </c>
      <c r="F279" s="11" t="s">
        <v>39</v>
      </c>
      <c r="G279" s="11" t="n">
        <v>1</v>
      </c>
      <c r="H279" s="11" t="n">
        <v>35</v>
      </c>
      <c r="I279" s="11" t="n">
        <v>8</v>
      </c>
      <c r="J279" s="11" t="s">
        <v>40</v>
      </c>
      <c r="K279" s="11" t="n">
        <f aca="false">IF($J279="Y","",IF($F279="BW",$I279,$H279*$I279))</f>
        <v>280</v>
      </c>
      <c r="L279" s="11" t="str">
        <f aca="false">$D279&amp;"|"&amp;$H279</f>
        <v>Shrugs|35</v>
      </c>
      <c r="M279" s="11" t="s">
        <v>81</v>
      </c>
    </row>
    <row r="280" customFormat="false" ht="15" hidden="false" customHeight="false" outlineLevel="0" collapsed="false">
      <c r="A280" s="10" t="n">
        <v>46134</v>
      </c>
      <c r="B280" s="11" t="s">
        <v>115</v>
      </c>
      <c r="C280" s="11" t="s">
        <v>78</v>
      </c>
      <c r="D280" s="11" t="s">
        <v>91</v>
      </c>
      <c r="E280" s="11" t="s">
        <v>72</v>
      </c>
      <c r="F280" s="11" t="s">
        <v>39</v>
      </c>
      <c r="G280" s="11" t="n">
        <v>2</v>
      </c>
      <c r="H280" s="11" t="n">
        <v>45</v>
      </c>
      <c r="I280" s="11" t="n">
        <v>8</v>
      </c>
      <c r="J280" s="11" t="s">
        <v>40</v>
      </c>
      <c r="K280" s="11" t="n">
        <f aca="false">IF($J280="Y","",IF($F280="BW",$I280,$H280*$I280))</f>
        <v>360</v>
      </c>
      <c r="L280" s="11" t="str">
        <f aca="false">$D280&amp;"|"&amp;$H280</f>
        <v>Shrugs|45</v>
      </c>
      <c r="M280" s="11" t="s">
        <v>81</v>
      </c>
    </row>
    <row r="281" customFormat="false" ht="15" hidden="false" customHeight="false" outlineLevel="0" collapsed="false">
      <c r="A281" s="10" t="n">
        <v>46134</v>
      </c>
      <c r="B281" s="11" t="s">
        <v>115</v>
      </c>
      <c r="C281" s="11" t="s">
        <v>78</v>
      </c>
      <c r="D281" s="11" t="s">
        <v>91</v>
      </c>
      <c r="E281" s="11" t="s">
        <v>72</v>
      </c>
      <c r="F281" s="11" t="s">
        <v>39</v>
      </c>
      <c r="G281" s="11" t="n">
        <v>3</v>
      </c>
      <c r="H281" s="11" t="n">
        <v>50</v>
      </c>
      <c r="I281" s="11" t="n">
        <v>8</v>
      </c>
      <c r="J281" s="11" t="s">
        <v>40</v>
      </c>
      <c r="K281" s="11" t="n">
        <f aca="false">IF($J281="Y","",IF($F281="BW",$I281,$H281*$I281))</f>
        <v>400</v>
      </c>
      <c r="L281" s="11" t="str">
        <f aca="false">$D281&amp;"|"&amp;$H281</f>
        <v>Shrugs|50</v>
      </c>
      <c r="M281" s="11" t="s">
        <v>81</v>
      </c>
    </row>
    <row r="282" customFormat="false" ht="15" hidden="false" customHeight="false" outlineLevel="0" collapsed="false">
      <c r="A282" s="12" t="n">
        <v>46140</v>
      </c>
      <c r="B282" s="13" t="s">
        <v>69</v>
      </c>
      <c r="C282" s="13" t="s">
        <v>36</v>
      </c>
      <c r="D282" s="13" t="s">
        <v>110</v>
      </c>
      <c r="E282" s="13" t="s">
        <v>38</v>
      </c>
      <c r="F282" s="13" t="s">
        <v>39</v>
      </c>
      <c r="G282" s="13" t="n">
        <v>1</v>
      </c>
      <c r="H282" s="13" t="n">
        <v>40</v>
      </c>
      <c r="I282" s="13" t="n">
        <v>8</v>
      </c>
      <c r="J282" s="13" t="s">
        <v>84</v>
      </c>
      <c r="K282" s="13" t="str">
        <f aca="false">IF($J282="Y","",IF($F282="BW",$I282,$H282*$I282))</f>
        <v/>
      </c>
      <c r="L282" s="13" t="str">
        <f aca="false">$D282&amp;"|"&amp;$H282</f>
        <v>Bench Press (Smith)|40</v>
      </c>
      <c r="M282" s="13"/>
    </row>
    <row r="283" customFormat="false" ht="15" hidden="false" customHeight="false" outlineLevel="0" collapsed="false">
      <c r="A283" s="10" t="n">
        <v>46140</v>
      </c>
      <c r="B283" s="11" t="s">
        <v>69</v>
      </c>
      <c r="C283" s="11" t="s">
        <v>36</v>
      </c>
      <c r="D283" s="11" t="s">
        <v>110</v>
      </c>
      <c r="E283" s="11" t="s">
        <v>38</v>
      </c>
      <c r="F283" s="11" t="s">
        <v>39</v>
      </c>
      <c r="G283" s="11" t="n">
        <v>2</v>
      </c>
      <c r="H283" s="11" t="n">
        <v>60</v>
      </c>
      <c r="I283" s="11" t="n">
        <v>8</v>
      </c>
      <c r="J283" s="11" t="s">
        <v>40</v>
      </c>
      <c r="K283" s="11" t="n">
        <f aca="false">IF($J283="Y","",IF($F283="BW",$I283,$H283*$I283))</f>
        <v>480</v>
      </c>
      <c r="L283" s="11" t="str">
        <f aca="false">$D283&amp;"|"&amp;$H283</f>
        <v>Bench Press (Smith)|60</v>
      </c>
      <c r="M283" s="11"/>
    </row>
    <row r="284" customFormat="false" ht="15" hidden="false" customHeight="false" outlineLevel="0" collapsed="false">
      <c r="A284" s="10" t="n">
        <v>46140</v>
      </c>
      <c r="B284" s="11" t="s">
        <v>69</v>
      </c>
      <c r="C284" s="11" t="s">
        <v>36</v>
      </c>
      <c r="D284" s="11" t="s">
        <v>110</v>
      </c>
      <c r="E284" s="11" t="s">
        <v>38</v>
      </c>
      <c r="F284" s="11" t="s">
        <v>39</v>
      </c>
      <c r="G284" s="11" t="n">
        <v>3</v>
      </c>
      <c r="H284" s="11" t="n">
        <v>70</v>
      </c>
      <c r="I284" s="11" t="n">
        <v>8</v>
      </c>
      <c r="J284" s="11" t="s">
        <v>40</v>
      </c>
      <c r="K284" s="11" t="n">
        <f aca="false">IF($J284="Y","",IF($F284="BW",$I284,$H284*$I284))</f>
        <v>560</v>
      </c>
      <c r="L284" s="11" t="str">
        <f aca="false">$D284&amp;"|"&amp;$H284</f>
        <v>Bench Press (Smith)|70</v>
      </c>
      <c r="M284" s="11"/>
    </row>
    <row r="285" customFormat="false" ht="15" hidden="false" customHeight="false" outlineLevel="0" collapsed="false">
      <c r="A285" s="10" t="n">
        <v>46140</v>
      </c>
      <c r="B285" s="11" t="s">
        <v>69</v>
      </c>
      <c r="C285" s="11" t="s">
        <v>36</v>
      </c>
      <c r="D285" s="11" t="s">
        <v>110</v>
      </c>
      <c r="E285" s="11" t="s">
        <v>38</v>
      </c>
      <c r="F285" s="11" t="s">
        <v>39</v>
      </c>
      <c r="G285" s="11" t="n">
        <v>4</v>
      </c>
      <c r="H285" s="11" t="n">
        <v>80</v>
      </c>
      <c r="I285" s="11" t="n">
        <v>8</v>
      </c>
      <c r="J285" s="11" t="s">
        <v>40</v>
      </c>
      <c r="K285" s="11" t="n">
        <f aca="false">IF($J285="Y","",IF($F285="BW",$I285,$H285*$I285))</f>
        <v>640</v>
      </c>
      <c r="L285" s="11" t="str">
        <f aca="false">$D285&amp;"|"&amp;$H285</f>
        <v>Bench Press (Smith)|80</v>
      </c>
      <c r="M285" s="11"/>
    </row>
    <row r="286" customFormat="false" ht="15" hidden="false" customHeight="false" outlineLevel="0" collapsed="false">
      <c r="A286" s="12" t="n">
        <v>46140</v>
      </c>
      <c r="B286" s="13" t="s">
        <v>69</v>
      </c>
      <c r="C286" s="13" t="s">
        <v>36</v>
      </c>
      <c r="D286" s="13" t="s">
        <v>113</v>
      </c>
      <c r="E286" s="13" t="s">
        <v>72</v>
      </c>
      <c r="F286" s="13" t="s">
        <v>39</v>
      </c>
      <c r="G286" s="13" t="n">
        <v>1</v>
      </c>
      <c r="H286" s="13" t="n">
        <v>25</v>
      </c>
      <c r="I286" s="13" t="n">
        <v>8</v>
      </c>
      <c r="J286" s="13" t="s">
        <v>84</v>
      </c>
      <c r="K286" s="13" t="str">
        <f aca="false">IF($J286="Y","",IF($F286="BW",$I286,$H286*$I286))</f>
        <v/>
      </c>
      <c r="L286" s="13" t="str">
        <f aca="false">$D286&amp;"|"&amp;$H286</f>
        <v>Incline Bench (DB)|25</v>
      </c>
      <c r="M286" s="13" t="s">
        <v>125</v>
      </c>
    </row>
    <row r="287" customFormat="false" ht="15" hidden="false" customHeight="false" outlineLevel="0" collapsed="false">
      <c r="A287" s="10" t="n">
        <v>46140</v>
      </c>
      <c r="B287" s="11" t="s">
        <v>69</v>
      </c>
      <c r="C287" s="11" t="s">
        <v>36</v>
      </c>
      <c r="D287" s="11" t="s">
        <v>113</v>
      </c>
      <c r="E287" s="11" t="s">
        <v>72</v>
      </c>
      <c r="F287" s="11" t="s">
        <v>39</v>
      </c>
      <c r="G287" s="11" t="n">
        <v>2</v>
      </c>
      <c r="H287" s="11" t="n">
        <v>35</v>
      </c>
      <c r="I287" s="11" t="n">
        <v>8</v>
      </c>
      <c r="J287" s="11" t="s">
        <v>40</v>
      </c>
      <c r="K287" s="11" t="n">
        <f aca="false">IF($J287="Y","",IF($F287="BW",$I287,$H287*$I287))</f>
        <v>280</v>
      </c>
      <c r="L287" s="11" t="str">
        <f aca="false">$D287&amp;"|"&amp;$H287</f>
        <v>Incline Bench (DB)|35</v>
      </c>
      <c r="M287" s="11" t="s">
        <v>125</v>
      </c>
    </row>
    <row r="288" customFormat="false" ht="15" hidden="false" customHeight="false" outlineLevel="0" collapsed="false">
      <c r="A288" s="10" t="n">
        <v>46140</v>
      </c>
      <c r="B288" s="11" t="s">
        <v>69</v>
      </c>
      <c r="C288" s="11" t="s">
        <v>36</v>
      </c>
      <c r="D288" s="11" t="s">
        <v>113</v>
      </c>
      <c r="E288" s="11" t="s">
        <v>72</v>
      </c>
      <c r="F288" s="11" t="s">
        <v>39</v>
      </c>
      <c r="G288" s="11" t="n">
        <v>3</v>
      </c>
      <c r="H288" s="11" t="n">
        <v>40</v>
      </c>
      <c r="I288" s="11" t="n">
        <v>8</v>
      </c>
      <c r="J288" s="11" t="s">
        <v>40</v>
      </c>
      <c r="K288" s="11" t="n">
        <f aca="false">IF($J288="Y","",IF($F288="BW",$I288,$H288*$I288))</f>
        <v>320</v>
      </c>
      <c r="L288" s="11" t="str">
        <f aca="false">$D288&amp;"|"&amp;$H288</f>
        <v>Incline Bench (DB)|40</v>
      </c>
      <c r="M288" s="11" t="s">
        <v>125</v>
      </c>
    </row>
    <row r="289" customFormat="false" ht="15" hidden="false" customHeight="false" outlineLevel="0" collapsed="false">
      <c r="A289" s="10" t="n">
        <v>46140</v>
      </c>
      <c r="B289" s="11" t="s">
        <v>69</v>
      </c>
      <c r="C289" s="11" t="s">
        <v>36</v>
      </c>
      <c r="D289" s="11" t="s">
        <v>113</v>
      </c>
      <c r="E289" s="11" t="s">
        <v>72</v>
      </c>
      <c r="F289" s="11" t="s">
        <v>39</v>
      </c>
      <c r="G289" s="11" t="n">
        <v>4</v>
      </c>
      <c r="H289" s="11" t="n">
        <v>40</v>
      </c>
      <c r="I289" s="11" t="n">
        <v>8</v>
      </c>
      <c r="J289" s="11" t="s">
        <v>40</v>
      </c>
      <c r="K289" s="11" t="n">
        <f aca="false">IF($J289="Y","",IF($F289="BW",$I289,$H289*$I289))</f>
        <v>320</v>
      </c>
      <c r="L289" s="11" t="str">
        <f aca="false">$D289&amp;"|"&amp;$H289</f>
        <v>Incline Bench (DB)|40</v>
      </c>
      <c r="M289" s="11" t="s">
        <v>125</v>
      </c>
    </row>
    <row r="290" customFormat="false" ht="15" hidden="false" customHeight="false" outlineLevel="0" collapsed="false">
      <c r="A290" s="12" t="n">
        <v>46140</v>
      </c>
      <c r="B290" s="13" t="s">
        <v>69</v>
      </c>
      <c r="C290" s="13" t="s">
        <v>36</v>
      </c>
      <c r="D290" s="13" t="s">
        <v>80</v>
      </c>
      <c r="E290" s="13" t="s">
        <v>72</v>
      </c>
      <c r="F290" s="13" t="s">
        <v>39</v>
      </c>
      <c r="G290" s="13" t="n">
        <v>1</v>
      </c>
      <c r="H290" s="13" t="n">
        <v>20</v>
      </c>
      <c r="I290" s="13" t="n">
        <v>8</v>
      </c>
      <c r="J290" s="13" t="s">
        <v>84</v>
      </c>
      <c r="K290" s="13" t="str">
        <f aca="false">IF($J290="Y","",IF($F290="BW",$I290,$H290*$I290))</f>
        <v/>
      </c>
      <c r="L290" s="13" t="str">
        <f aca="false">$D290&amp;"|"&amp;$H290</f>
        <v>Tricep Ext Overhead|20</v>
      </c>
      <c r="M290" s="13"/>
    </row>
    <row r="291" customFormat="false" ht="15" hidden="false" customHeight="false" outlineLevel="0" collapsed="false">
      <c r="A291" s="10" t="n">
        <v>46140</v>
      </c>
      <c r="B291" s="11" t="s">
        <v>69</v>
      </c>
      <c r="C291" s="11" t="s">
        <v>36</v>
      </c>
      <c r="D291" s="11" t="s">
        <v>80</v>
      </c>
      <c r="E291" s="11" t="s">
        <v>72</v>
      </c>
      <c r="F291" s="11" t="s">
        <v>39</v>
      </c>
      <c r="G291" s="11" t="n">
        <v>2</v>
      </c>
      <c r="H291" s="11" t="n">
        <v>40</v>
      </c>
      <c r="I291" s="11" t="n">
        <v>8</v>
      </c>
      <c r="J291" s="11" t="s">
        <v>40</v>
      </c>
      <c r="K291" s="11" t="n">
        <f aca="false">IF($J291="Y","",IF($F291="BW",$I291,$H291*$I291))</f>
        <v>320</v>
      </c>
      <c r="L291" s="11" t="str">
        <f aca="false">$D291&amp;"|"&amp;$H291</f>
        <v>Tricep Ext Overhead|40</v>
      </c>
      <c r="M291" s="11"/>
    </row>
    <row r="292" customFormat="false" ht="15" hidden="false" customHeight="false" outlineLevel="0" collapsed="false">
      <c r="A292" s="10" t="n">
        <v>46140</v>
      </c>
      <c r="B292" s="11" t="s">
        <v>69</v>
      </c>
      <c r="C292" s="11" t="s">
        <v>36</v>
      </c>
      <c r="D292" s="11" t="s">
        <v>80</v>
      </c>
      <c r="E292" s="11" t="s">
        <v>72</v>
      </c>
      <c r="F292" s="11" t="s">
        <v>39</v>
      </c>
      <c r="G292" s="11" t="n">
        <v>3</v>
      </c>
      <c r="H292" s="11" t="n">
        <v>40</v>
      </c>
      <c r="I292" s="11" t="n">
        <v>8</v>
      </c>
      <c r="J292" s="11" t="s">
        <v>40</v>
      </c>
      <c r="K292" s="11" t="n">
        <f aca="false">IF($J292="Y","",IF($F292="BW",$I292,$H292*$I292))</f>
        <v>320</v>
      </c>
      <c r="L292" s="11" t="str">
        <f aca="false">$D292&amp;"|"&amp;$H292</f>
        <v>Tricep Ext Overhead|40</v>
      </c>
      <c r="M292" s="11"/>
    </row>
    <row r="293" customFormat="false" ht="15" hidden="false" customHeight="false" outlineLevel="0" collapsed="false">
      <c r="A293" s="10" t="n">
        <v>46140</v>
      </c>
      <c r="B293" s="11" t="s">
        <v>69</v>
      </c>
      <c r="C293" s="11" t="s">
        <v>36</v>
      </c>
      <c r="D293" s="11" t="s">
        <v>80</v>
      </c>
      <c r="E293" s="11" t="s">
        <v>72</v>
      </c>
      <c r="F293" s="11" t="s">
        <v>39</v>
      </c>
      <c r="G293" s="11" t="n">
        <v>4</v>
      </c>
      <c r="H293" s="11" t="n">
        <v>45</v>
      </c>
      <c r="I293" s="11" t="n">
        <v>8</v>
      </c>
      <c r="J293" s="11" t="s">
        <v>40</v>
      </c>
      <c r="K293" s="11" t="n">
        <f aca="false">IF($J293="Y","",IF($F293="BW",$I293,$H293*$I293))</f>
        <v>360</v>
      </c>
      <c r="L293" s="11" t="str">
        <f aca="false">$D293&amp;"|"&amp;$H293</f>
        <v>Tricep Ext Overhead|45</v>
      </c>
      <c r="M293" s="11"/>
    </row>
    <row r="294" customFormat="false" ht="15" hidden="false" customHeight="false" outlineLevel="0" collapsed="false">
      <c r="A294" s="12" t="n">
        <v>46142</v>
      </c>
      <c r="B294" s="13" t="s">
        <v>35</v>
      </c>
      <c r="C294" s="13" t="s">
        <v>78</v>
      </c>
      <c r="D294" s="13" t="s">
        <v>73</v>
      </c>
      <c r="E294" s="13" t="s">
        <v>74</v>
      </c>
      <c r="F294" s="13" t="s">
        <v>75</v>
      </c>
      <c r="G294" s="13" t="n">
        <v>1</v>
      </c>
      <c r="H294" s="13" t="n">
        <v>12.5</v>
      </c>
      <c r="I294" s="13" t="n">
        <v>8</v>
      </c>
      <c r="J294" s="13" t="s">
        <v>84</v>
      </c>
      <c r="K294" s="13" t="str">
        <f aca="false">IF($J294="Y","",IF($F294="BW",$I294,$H294*$I294))</f>
        <v/>
      </c>
      <c r="L294" s="13" t="str">
        <f aca="false">$D294&amp;"|"&amp;$H294</f>
        <v>Single Arm Lat Pulldown|12.5</v>
      </c>
      <c r="M294" s="13"/>
    </row>
    <row r="295" customFormat="false" ht="15" hidden="false" customHeight="false" outlineLevel="0" collapsed="false">
      <c r="A295" s="10" t="n">
        <v>46142</v>
      </c>
      <c r="B295" s="11" t="s">
        <v>35</v>
      </c>
      <c r="C295" s="11" t="s">
        <v>78</v>
      </c>
      <c r="D295" s="11" t="s">
        <v>73</v>
      </c>
      <c r="E295" s="11" t="s">
        <v>74</v>
      </c>
      <c r="F295" s="11" t="s">
        <v>75</v>
      </c>
      <c r="G295" s="11" t="n">
        <v>2</v>
      </c>
      <c r="H295" s="11" t="n">
        <v>17.5</v>
      </c>
      <c r="I295" s="11" t="n">
        <v>8</v>
      </c>
      <c r="J295" s="11" t="s">
        <v>40</v>
      </c>
      <c r="K295" s="11" t="n">
        <f aca="false">IF($J295="Y","",IF($F295="BW",$I295,$H295*$I295))</f>
        <v>140</v>
      </c>
      <c r="L295" s="11" t="str">
        <f aca="false">$D295&amp;"|"&amp;$H295</f>
        <v>Single Arm Lat Pulldown|17.5</v>
      </c>
      <c r="M295" s="11"/>
    </row>
    <row r="296" customFormat="false" ht="15" hidden="false" customHeight="false" outlineLevel="0" collapsed="false">
      <c r="A296" s="10" t="n">
        <v>46142</v>
      </c>
      <c r="B296" s="11" t="s">
        <v>35</v>
      </c>
      <c r="C296" s="11" t="s">
        <v>78</v>
      </c>
      <c r="D296" s="11" t="s">
        <v>73</v>
      </c>
      <c r="E296" s="11" t="s">
        <v>74</v>
      </c>
      <c r="F296" s="11" t="s">
        <v>75</v>
      </c>
      <c r="G296" s="11" t="n">
        <v>3</v>
      </c>
      <c r="H296" s="11" t="n">
        <v>22.5</v>
      </c>
      <c r="I296" s="11" t="n">
        <v>8</v>
      </c>
      <c r="J296" s="11" t="s">
        <v>40</v>
      </c>
      <c r="K296" s="11" t="n">
        <f aca="false">IF($J296="Y","",IF($F296="BW",$I296,$H296*$I296))</f>
        <v>180</v>
      </c>
      <c r="L296" s="11" t="str">
        <f aca="false">$D296&amp;"|"&amp;$H296</f>
        <v>Single Arm Lat Pulldown|22.5</v>
      </c>
      <c r="M296" s="11"/>
    </row>
    <row r="297" customFormat="false" ht="15" hidden="false" customHeight="false" outlineLevel="0" collapsed="false">
      <c r="A297" s="10" t="n">
        <v>46142</v>
      </c>
      <c r="B297" s="11" t="s">
        <v>35</v>
      </c>
      <c r="C297" s="11" t="s">
        <v>78</v>
      </c>
      <c r="D297" s="11" t="s">
        <v>73</v>
      </c>
      <c r="E297" s="11" t="s">
        <v>74</v>
      </c>
      <c r="F297" s="11" t="s">
        <v>75</v>
      </c>
      <c r="G297" s="11" t="n">
        <v>4</v>
      </c>
      <c r="H297" s="11" t="n">
        <v>22.5</v>
      </c>
      <c r="I297" s="11" t="n">
        <v>8</v>
      </c>
      <c r="J297" s="11" t="s">
        <v>40</v>
      </c>
      <c r="K297" s="11" t="n">
        <f aca="false">IF($J297="Y","",IF($F297="BW",$I297,$H297*$I297))</f>
        <v>180</v>
      </c>
      <c r="L297" s="11" t="str">
        <f aca="false">$D297&amp;"|"&amp;$H297</f>
        <v>Single Arm Lat Pulldown|22.5</v>
      </c>
      <c r="M297" s="11"/>
    </row>
    <row r="298" customFormat="false" ht="15" hidden="false" customHeight="false" outlineLevel="0" collapsed="false">
      <c r="A298" s="12" t="n">
        <v>46142</v>
      </c>
      <c r="B298" s="13" t="s">
        <v>35</v>
      </c>
      <c r="C298" s="13" t="s">
        <v>78</v>
      </c>
      <c r="D298" s="13" t="s">
        <v>79</v>
      </c>
      <c r="E298" s="13" t="s">
        <v>72</v>
      </c>
      <c r="F298" s="13" t="s">
        <v>39</v>
      </c>
      <c r="G298" s="13" t="n">
        <v>1</v>
      </c>
      <c r="H298" s="13" t="n">
        <v>15</v>
      </c>
      <c r="I298" s="13" t="n">
        <v>8</v>
      </c>
      <c r="J298" s="13" t="s">
        <v>84</v>
      </c>
      <c r="K298" s="13" t="str">
        <f aca="false">IF($J298="Y","",IF($F298="BW",$I298,$H298*$I298))</f>
        <v/>
      </c>
      <c r="L298" s="13" t="str">
        <f aca="false">$D298&amp;"|"&amp;$H298</f>
        <v>DB Rows|15</v>
      </c>
      <c r="M298" s="13"/>
    </row>
    <row r="299" customFormat="false" ht="15" hidden="false" customHeight="false" outlineLevel="0" collapsed="false">
      <c r="A299" s="10" t="n">
        <v>46142</v>
      </c>
      <c r="B299" s="11" t="s">
        <v>35</v>
      </c>
      <c r="C299" s="11" t="s">
        <v>78</v>
      </c>
      <c r="D299" s="11" t="s">
        <v>79</v>
      </c>
      <c r="E299" s="11" t="s">
        <v>72</v>
      </c>
      <c r="F299" s="11" t="s">
        <v>39</v>
      </c>
      <c r="G299" s="11" t="n">
        <v>2</v>
      </c>
      <c r="H299" s="11" t="n">
        <v>25</v>
      </c>
      <c r="I299" s="11" t="n">
        <v>8</v>
      </c>
      <c r="J299" s="11" t="s">
        <v>40</v>
      </c>
      <c r="K299" s="11" t="n">
        <f aca="false">IF($J299="Y","",IF($F299="BW",$I299,$H299*$I299))</f>
        <v>200</v>
      </c>
      <c r="L299" s="11" t="str">
        <f aca="false">$D299&amp;"|"&amp;$H299</f>
        <v>DB Rows|25</v>
      </c>
      <c r="M299" s="11"/>
    </row>
    <row r="300" customFormat="false" ht="15" hidden="false" customHeight="false" outlineLevel="0" collapsed="false">
      <c r="A300" s="10" t="n">
        <v>46142</v>
      </c>
      <c r="B300" s="11" t="s">
        <v>35</v>
      </c>
      <c r="C300" s="11" t="s">
        <v>78</v>
      </c>
      <c r="D300" s="11" t="s">
        <v>79</v>
      </c>
      <c r="E300" s="11" t="s">
        <v>72</v>
      </c>
      <c r="F300" s="11" t="s">
        <v>39</v>
      </c>
      <c r="G300" s="11" t="n">
        <v>3</v>
      </c>
      <c r="H300" s="11" t="n">
        <v>25</v>
      </c>
      <c r="I300" s="11" t="n">
        <v>8</v>
      </c>
      <c r="J300" s="11" t="s">
        <v>40</v>
      </c>
      <c r="K300" s="11" t="n">
        <f aca="false">IF($J300="Y","",IF($F300="BW",$I300,$H300*$I300))</f>
        <v>200</v>
      </c>
      <c r="L300" s="11" t="str">
        <f aca="false">$D300&amp;"|"&amp;$H300</f>
        <v>DB Rows|25</v>
      </c>
      <c r="M300" s="11"/>
    </row>
    <row r="301" customFormat="false" ht="15" hidden="false" customHeight="false" outlineLevel="0" collapsed="false">
      <c r="A301" s="10" t="n">
        <v>46142</v>
      </c>
      <c r="B301" s="11" t="s">
        <v>35</v>
      </c>
      <c r="C301" s="11" t="s">
        <v>78</v>
      </c>
      <c r="D301" s="11" t="s">
        <v>79</v>
      </c>
      <c r="E301" s="11" t="s">
        <v>72</v>
      </c>
      <c r="F301" s="11" t="s">
        <v>39</v>
      </c>
      <c r="G301" s="11" t="n">
        <v>4</v>
      </c>
      <c r="H301" s="11" t="n">
        <v>30</v>
      </c>
      <c r="I301" s="11" t="n">
        <v>8</v>
      </c>
      <c r="J301" s="11" t="s">
        <v>40</v>
      </c>
      <c r="K301" s="11" t="n">
        <f aca="false">IF($J301="Y","",IF($F301="BW",$I301,$H301*$I301))</f>
        <v>240</v>
      </c>
      <c r="L301" s="11" t="str">
        <f aca="false">$D301&amp;"|"&amp;$H301</f>
        <v>DB Rows|30</v>
      </c>
      <c r="M301" s="11"/>
    </row>
    <row r="302" customFormat="false" ht="15" hidden="false" customHeight="false" outlineLevel="0" collapsed="false">
      <c r="A302" s="12" t="n">
        <v>46142</v>
      </c>
      <c r="B302" s="13" t="s">
        <v>35</v>
      </c>
      <c r="C302" s="13" t="s">
        <v>78</v>
      </c>
      <c r="D302" s="13" t="s">
        <v>77</v>
      </c>
      <c r="E302" s="13" t="s">
        <v>72</v>
      </c>
      <c r="F302" s="13" t="s">
        <v>39</v>
      </c>
      <c r="G302" s="13" t="n">
        <v>1</v>
      </c>
      <c r="H302" s="13" t="n">
        <v>20</v>
      </c>
      <c r="I302" s="13" t="n">
        <v>8</v>
      </c>
      <c r="J302" s="13" t="s">
        <v>84</v>
      </c>
      <c r="K302" s="13" t="str">
        <f aca="false">IF($J302="Y","",IF($F302="BW",$I302,$H302*$I302))</f>
        <v/>
      </c>
      <c r="L302" s="13" t="str">
        <f aca="false">$D302&amp;"|"&amp;$H302</f>
        <v>Bicep Curls (DB)|20</v>
      </c>
      <c r="M302" s="13"/>
    </row>
    <row r="303" customFormat="false" ht="15" hidden="false" customHeight="false" outlineLevel="0" collapsed="false">
      <c r="A303" s="10" t="n">
        <v>46142</v>
      </c>
      <c r="B303" s="11" t="s">
        <v>35</v>
      </c>
      <c r="C303" s="11" t="s">
        <v>78</v>
      </c>
      <c r="D303" s="11" t="s">
        <v>77</v>
      </c>
      <c r="E303" s="11" t="s">
        <v>72</v>
      </c>
      <c r="F303" s="11" t="s">
        <v>39</v>
      </c>
      <c r="G303" s="11" t="n">
        <v>2</v>
      </c>
      <c r="H303" s="11" t="n">
        <v>25</v>
      </c>
      <c r="I303" s="11" t="n">
        <v>8</v>
      </c>
      <c r="J303" s="11" t="s">
        <v>40</v>
      </c>
      <c r="K303" s="11" t="n">
        <f aca="false">IF($J303="Y","",IF($F303="BW",$I303,$H303*$I303))</f>
        <v>200</v>
      </c>
      <c r="L303" s="11" t="str">
        <f aca="false">$D303&amp;"|"&amp;$H303</f>
        <v>Bicep Curls (DB)|25</v>
      </c>
      <c r="M303" s="11"/>
    </row>
    <row r="304" customFormat="false" ht="15" hidden="false" customHeight="false" outlineLevel="0" collapsed="false">
      <c r="A304" s="10" t="n">
        <v>46142</v>
      </c>
      <c r="B304" s="11" t="s">
        <v>35</v>
      </c>
      <c r="C304" s="11" t="s">
        <v>78</v>
      </c>
      <c r="D304" s="11" t="s">
        <v>77</v>
      </c>
      <c r="E304" s="11" t="s">
        <v>72</v>
      </c>
      <c r="F304" s="11" t="s">
        <v>39</v>
      </c>
      <c r="G304" s="11" t="n">
        <v>3</v>
      </c>
      <c r="H304" s="11" t="n">
        <v>30</v>
      </c>
      <c r="I304" s="11" t="n">
        <v>8</v>
      </c>
      <c r="J304" s="11" t="s">
        <v>40</v>
      </c>
      <c r="K304" s="11" t="n">
        <f aca="false">IF($J304="Y","",IF($F304="BW",$I304,$H304*$I304))</f>
        <v>240</v>
      </c>
      <c r="L304" s="11" t="str">
        <f aca="false">$D304&amp;"|"&amp;$H304</f>
        <v>Bicep Curls (DB)|30</v>
      </c>
      <c r="M304" s="11"/>
    </row>
    <row r="305" customFormat="false" ht="15" hidden="false" customHeight="false" outlineLevel="0" collapsed="false">
      <c r="A305" s="10" t="n">
        <v>46142</v>
      </c>
      <c r="B305" s="11" t="s">
        <v>35</v>
      </c>
      <c r="C305" s="11" t="s">
        <v>78</v>
      </c>
      <c r="D305" s="11" t="s">
        <v>77</v>
      </c>
      <c r="E305" s="11" t="s">
        <v>72</v>
      </c>
      <c r="F305" s="11" t="s">
        <v>39</v>
      </c>
      <c r="G305" s="11" t="n">
        <v>4</v>
      </c>
      <c r="H305" s="11" t="n">
        <v>25</v>
      </c>
      <c r="I305" s="11" t="n">
        <v>8</v>
      </c>
      <c r="J305" s="11" t="s">
        <v>40</v>
      </c>
      <c r="K305" s="11" t="n">
        <f aca="false">IF($J305="Y","",IF($F305="BW",$I305,$H305*$I305))</f>
        <v>200</v>
      </c>
      <c r="L305" s="11" t="str">
        <f aca="false">$D305&amp;"|"&amp;$H305</f>
        <v>Bicep Curls (DB)|25</v>
      </c>
      <c r="M305" s="11"/>
    </row>
    <row r="306" customFormat="false" ht="15" hidden="false" customHeight="false" outlineLevel="0" collapsed="false">
      <c r="A306" s="10" t="n">
        <v>46142</v>
      </c>
      <c r="B306" s="11" t="s">
        <v>35</v>
      </c>
      <c r="C306" s="11" t="s">
        <v>78</v>
      </c>
      <c r="D306" s="11" t="s">
        <v>91</v>
      </c>
      <c r="E306" s="11" t="s">
        <v>72</v>
      </c>
      <c r="F306" s="11" t="s">
        <v>39</v>
      </c>
      <c r="G306" s="11" t="n">
        <v>1</v>
      </c>
      <c r="H306" s="11" t="n">
        <v>35</v>
      </c>
      <c r="I306" s="11" t="n">
        <v>8</v>
      </c>
      <c r="J306" s="11" t="s">
        <v>40</v>
      </c>
      <c r="K306" s="11" t="n">
        <f aca="false">IF($J306="Y","",IF($F306="BW",$I306,$H306*$I306))</f>
        <v>280</v>
      </c>
      <c r="L306" s="11" t="str">
        <f aca="false">$D306&amp;"|"&amp;$H306</f>
        <v>Shrugs|35</v>
      </c>
      <c r="M306" s="11"/>
    </row>
    <row r="307" customFormat="false" ht="15" hidden="false" customHeight="false" outlineLevel="0" collapsed="false">
      <c r="A307" s="10" t="n">
        <v>46142</v>
      </c>
      <c r="B307" s="11" t="s">
        <v>35</v>
      </c>
      <c r="C307" s="11" t="s">
        <v>78</v>
      </c>
      <c r="D307" s="11" t="s">
        <v>91</v>
      </c>
      <c r="E307" s="11" t="s">
        <v>72</v>
      </c>
      <c r="F307" s="11" t="s">
        <v>39</v>
      </c>
      <c r="G307" s="11" t="n">
        <v>2</v>
      </c>
      <c r="H307" s="11" t="n">
        <v>45</v>
      </c>
      <c r="I307" s="11" t="n">
        <v>8</v>
      </c>
      <c r="J307" s="11" t="s">
        <v>40</v>
      </c>
      <c r="K307" s="11" t="n">
        <f aca="false">IF($J307="Y","",IF($F307="BW",$I307,$H307*$I307))</f>
        <v>360</v>
      </c>
      <c r="L307" s="11" t="str">
        <f aca="false">$D307&amp;"|"&amp;$H307</f>
        <v>Shrugs|45</v>
      </c>
      <c r="M307" s="11"/>
    </row>
    <row r="308" customFormat="false" ht="15" hidden="false" customHeight="false" outlineLevel="0" collapsed="false">
      <c r="A308" s="10" t="n">
        <v>46142</v>
      </c>
      <c r="B308" s="11" t="s">
        <v>35</v>
      </c>
      <c r="C308" s="11" t="s">
        <v>78</v>
      </c>
      <c r="D308" s="11" t="s">
        <v>91</v>
      </c>
      <c r="E308" s="11" t="s">
        <v>72</v>
      </c>
      <c r="F308" s="11" t="s">
        <v>39</v>
      </c>
      <c r="G308" s="11" t="n">
        <v>3</v>
      </c>
      <c r="H308" s="11" t="n">
        <v>50</v>
      </c>
      <c r="I308" s="11" t="n">
        <v>8</v>
      </c>
      <c r="J308" s="11" t="s">
        <v>40</v>
      </c>
      <c r="K308" s="11" t="n">
        <f aca="false">IF($J308="Y","",IF($F308="BW",$I308,$H308*$I308))</f>
        <v>400</v>
      </c>
      <c r="L308" s="11" t="str">
        <f aca="false">$D308&amp;"|"&amp;$H308</f>
        <v>Shrugs|50</v>
      </c>
      <c r="M308" s="11"/>
    </row>
    <row r="309" customFormat="false" ht="15" hidden="false" customHeight="false" outlineLevel="0" collapsed="false">
      <c r="A309" s="12" t="n">
        <v>46145</v>
      </c>
      <c r="B309" s="13" t="s">
        <v>83</v>
      </c>
      <c r="C309" s="13" t="s">
        <v>36</v>
      </c>
      <c r="D309" s="13" t="s">
        <v>110</v>
      </c>
      <c r="E309" s="13" t="s">
        <v>38</v>
      </c>
      <c r="F309" s="13" t="s">
        <v>39</v>
      </c>
      <c r="G309" s="13" t="n">
        <v>1</v>
      </c>
      <c r="H309" s="13" t="n">
        <v>40</v>
      </c>
      <c r="I309" s="13" t="n">
        <v>8</v>
      </c>
      <c r="J309" s="13" t="s">
        <v>84</v>
      </c>
      <c r="K309" s="13" t="str">
        <f aca="false">IF($J309="Y","",IF($F309="BW",$I309,$H309*$I309))</f>
        <v/>
      </c>
      <c r="L309" s="13" t="str">
        <f aca="false">$D309&amp;"|"&amp;$H309</f>
        <v>Bench Press (Smith)|40</v>
      </c>
      <c r="M309" s="13" t="s">
        <v>126</v>
      </c>
    </row>
    <row r="310" customFormat="false" ht="15" hidden="false" customHeight="false" outlineLevel="0" collapsed="false">
      <c r="A310" s="10" t="n">
        <v>46145</v>
      </c>
      <c r="B310" s="11" t="s">
        <v>83</v>
      </c>
      <c r="C310" s="11" t="s">
        <v>36</v>
      </c>
      <c r="D310" s="11" t="s">
        <v>110</v>
      </c>
      <c r="E310" s="11" t="s">
        <v>38</v>
      </c>
      <c r="F310" s="11" t="s">
        <v>39</v>
      </c>
      <c r="G310" s="11" t="n">
        <v>2</v>
      </c>
      <c r="H310" s="11" t="n">
        <v>65</v>
      </c>
      <c r="I310" s="11" t="n">
        <v>8</v>
      </c>
      <c r="J310" s="11" t="s">
        <v>40</v>
      </c>
      <c r="K310" s="11" t="n">
        <f aca="false">IF($J310="Y","",IF($F310="BW",$I310,$H310*$I310))</f>
        <v>520</v>
      </c>
      <c r="L310" s="11" t="str">
        <f aca="false">$D310&amp;"|"&amp;$H310</f>
        <v>Bench Press (Smith)|65</v>
      </c>
      <c r="M310" s="11" t="s">
        <v>126</v>
      </c>
    </row>
    <row r="311" customFormat="false" ht="15" hidden="false" customHeight="false" outlineLevel="0" collapsed="false">
      <c r="A311" s="10" t="n">
        <v>46145</v>
      </c>
      <c r="B311" s="11" t="s">
        <v>83</v>
      </c>
      <c r="C311" s="11" t="s">
        <v>36</v>
      </c>
      <c r="D311" s="11" t="s">
        <v>110</v>
      </c>
      <c r="E311" s="11" t="s">
        <v>38</v>
      </c>
      <c r="F311" s="11" t="s">
        <v>39</v>
      </c>
      <c r="G311" s="11" t="n">
        <v>3</v>
      </c>
      <c r="H311" s="11" t="n">
        <v>80</v>
      </c>
      <c r="I311" s="11" t="n">
        <v>8</v>
      </c>
      <c r="J311" s="11" t="s">
        <v>40</v>
      </c>
      <c r="K311" s="11" t="n">
        <f aca="false">IF($J311="Y","",IF($F311="BW",$I311,$H311*$I311))</f>
        <v>640</v>
      </c>
      <c r="L311" s="11" t="str">
        <f aca="false">$D311&amp;"|"&amp;$H311</f>
        <v>Bench Press (Smith)|80</v>
      </c>
      <c r="M311" s="11" t="s">
        <v>126</v>
      </c>
    </row>
    <row r="312" customFormat="false" ht="15" hidden="false" customHeight="false" outlineLevel="0" collapsed="false">
      <c r="A312" s="10" t="n">
        <v>46145</v>
      </c>
      <c r="B312" s="11" t="s">
        <v>83</v>
      </c>
      <c r="C312" s="11" t="s">
        <v>36</v>
      </c>
      <c r="D312" s="11" t="s">
        <v>110</v>
      </c>
      <c r="E312" s="11" t="s">
        <v>38</v>
      </c>
      <c r="F312" s="11" t="s">
        <v>39</v>
      </c>
      <c r="G312" s="11" t="n">
        <v>4</v>
      </c>
      <c r="H312" s="11" t="n">
        <v>90</v>
      </c>
      <c r="I312" s="11" t="n">
        <v>8</v>
      </c>
      <c r="J312" s="11" t="s">
        <v>40</v>
      </c>
      <c r="K312" s="11" t="n">
        <f aca="false">IF($J312="Y","",IF($F312="BW",$I312,$H312*$I312))</f>
        <v>720</v>
      </c>
      <c r="L312" s="11" t="str">
        <f aca="false">$D312&amp;"|"&amp;$H312</f>
        <v>Bench Press (Smith)|90</v>
      </c>
      <c r="M312" s="11" t="s">
        <v>126</v>
      </c>
    </row>
    <row r="313" customFormat="false" ht="15" hidden="false" customHeight="false" outlineLevel="0" collapsed="false">
      <c r="A313" s="12" t="n">
        <v>46145</v>
      </c>
      <c r="B313" s="13" t="s">
        <v>83</v>
      </c>
      <c r="C313" s="13" t="s">
        <v>36</v>
      </c>
      <c r="D313" s="13" t="s">
        <v>76</v>
      </c>
      <c r="E313" s="13" t="s">
        <v>72</v>
      </c>
      <c r="F313" s="13" t="s">
        <v>39</v>
      </c>
      <c r="G313" s="13" t="n">
        <v>1</v>
      </c>
      <c r="H313" s="13" t="n">
        <v>15</v>
      </c>
      <c r="I313" s="13" t="n">
        <v>8</v>
      </c>
      <c r="J313" s="13" t="s">
        <v>84</v>
      </c>
      <c r="K313" s="13" t="str">
        <f aca="false">IF($J313="Y","",IF($F313="BW",$I313,$H313*$I313))</f>
        <v/>
      </c>
      <c r="L313" s="13" t="str">
        <f aca="false">$D313&amp;"|"&amp;$H313</f>
        <v>Shoulder Press|15</v>
      </c>
      <c r="M313" s="13"/>
    </row>
    <row r="314" customFormat="false" ht="15" hidden="false" customHeight="false" outlineLevel="0" collapsed="false">
      <c r="A314" s="10" t="n">
        <v>46145</v>
      </c>
      <c r="B314" s="11" t="s">
        <v>83</v>
      </c>
      <c r="C314" s="11" t="s">
        <v>36</v>
      </c>
      <c r="D314" s="11" t="s">
        <v>76</v>
      </c>
      <c r="E314" s="11" t="s">
        <v>72</v>
      </c>
      <c r="F314" s="11" t="s">
        <v>39</v>
      </c>
      <c r="G314" s="11" t="n">
        <v>2</v>
      </c>
      <c r="H314" s="11" t="n">
        <v>25</v>
      </c>
      <c r="I314" s="11" t="n">
        <v>8</v>
      </c>
      <c r="J314" s="11" t="s">
        <v>40</v>
      </c>
      <c r="K314" s="11" t="n">
        <f aca="false">IF($J314="Y","",IF($F314="BW",$I314,$H314*$I314))</f>
        <v>200</v>
      </c>
      <c r="L314" s="11" t="str">
        <f aca="false">$D314&amp;"|"&amp;$H314</f>
        <v>Shoulder Press|25</v>
      </c>
      <c r="M314" s="11"/>
    </row>
    <row r="315" customFormat="false" ht="15" hidden="false" customHeight="false" outlineLevel="0" collapsed="false">
      <c r="A315" s="10" t="n">
        <v>46145</v>
      </c>
      <c r="B315" s="11" t="s">
        <v>83</v>
      </c>
      <c r="C315" s="11" t="s">
        <v>36</v>
      </c>
      <c r="D315" s="11" t="s">
        <v>76</v>
      </c>
      <c r="E315" s="11" t="s">
        <v>72</v>
      </c>
      <c r="F315" s="11" t="s">
        <v>39</v>
      </c>
      <c r="G315" s="11" t="n">
        <v>3</v>
      </c>
      <c r="H315" s="11" t="n">
        <v>30</v>
      </c>
      <c r="I315" s="11" t="n">
        <v>8</v>
      </c>
      <c r="J315" s="11" t="s">
        <v>40</v>
      </c>
      <c r="K315" s="11" t="n">
        <f aca="false">IF($J315="Y","",IF($F315="BW",$I315,$H315*$I315))</f>
        <v>240</v>
      </c>
      <c r="L315" s="11" t="str">
        <f aca="false">$D315&amp;"|"&amp;$H315</f>
        <v>Shoulder Press|30</v>
      </c>
      <c r="M315" s="11"/>
    </row>
    <row r="316" customFormat="false" ht="15" hidden="false" customHeight="false" outlineLevel="0" collapsed="false">
      <c r="A316" s="10" t="n">
        <v>46145</v>
      </c>
      <c r="B316" s="11" t="s">
        <v>83</v>
      </c>
      <c r="C316" s="11" t="s">
        <v>36</v>
      </c>
      <c r="D316" s="11" t="s">
        <v>76</v>
      </c>
      <c r="E316" s="11" t="s">
        <v>72</v>
      </c>
      <c r="F316" s="11" t="s">
        <v>39</v>
      </c>
      <c r="G316" s="11" t="n">
        <v>4</v>
      </c>
      <c r="H316" s="11" t="n">
        <v>30</v>
      </c>
      <c r="I316" s="11" t="n">
        <v>8</v>
      </c>
      <c r="J316" s="11" t="s">
        <v>40</v>
      </c>
      <c r="K316" s="11" t="n">
        <f aca="false">IF($J316="Y","",IF($F316="BW",$I316,$H316*$I316))</f>
        <v>240</v>
      </c>
      <c r="L316" s="11" t="str">
        <f aca="false">$D316&amp;"|"&amp;$H316</f>
        <v>Shoulder Press|30</v>
      </c>
      <c r="M316" s="11"/>
    </row>
    <row r="317" customFormat="false" ht="15" hidden="false" customHeight="false" outlineLevel="0" collapsed="false">
      <c r="A317" s="12" t="n">
        <v>46145</v>
      </c>
      <c r="B317" s="13" t="s">
        <v>83</v>
      </c>
      <c r="C317" s="13" t="s">
        <v>36</v>
      </c>
      <c r="D317" s="13" t="s">
        <v>80</v>
      </c>
      <c r="E317" s="13" t="s">
        <v>72</v>
      </c>
      <c r="F317" s="13" t="s">
        <v>39</v>
      </c>
      <c r="G317" s="13" t="n">
        <v>1</v>
      </c>
      <c r="H317" s="13" t="n">
        <v>20</v>
      </c>
      <c r="I317" s="13" t="n">
        <v>8</v>
      </c>
      <c r="J317" s="13" t="s">
        <v>84</v>
      </c>
      <c r="K317" s="13" t="str">
        <f aca="false">IF($J317="Y","",IF($F317="BW",$I317,$H317*$I317))</f>
        <v/>
      </c>
      <c r="L317" s="13" t="str">
        <f aca="false">$D317&amp;"|"&amp;$H317</f>
        <v>Tricep Ext Overhead|20</v>
      </c>
      <c r="M317" s="13"/>
    </row>
    <row r="318" customFormat="false" ht="15" hidden="false" customHeight="false" outlineLevel="0" collapsed="false">
      <c r="A318" s="10" t="n">
        <v>46145</v>
      </c>
      <c r="B318" s="11" t="s">
        <v>83</v>
      </c>
      <c r="C318" s="11" t="s">
        <v>36</v>
      </c>
      <c r="D318" s="11" t="s">
        <v>80</v>
      </c>
      <c r="E318" s="11" t="s">
        <v>72</v>
      </c>
      <c r="F318" s="11" t="s">
        <v>39</v>
      </c>
      <c r="G318" s="11" t="n">
        <v>2</v>
      </c>
      <c r="H318" s="11" t="n">
        <v>40</v>
      </c>
      <c r="I318" s="11" t="n">
        <v>8</v>
      </c>
      <c r="J318" s="11" t="s">
        <v>40</v>
      </c>
      <c r="K318" s="11" t="n">
        <f aca="false">IF($J318="Y","",IF($F318="BW",$I318,$H318*$I318))</f>
        <v>320</v>
      </c>
      <c r="L318" s="11" t="str">
        <f aca="false">$D318&amp;"|"&amp;$H318</f>
        <v>Tricep Ext Overhead|40</v>
      </c>
      <c r="M318" s="11"/>
    </row>
    <row r="319" customFormat="false" ht="15" hidden="false" customHeight="false" outlineLevel="0" collapsed="false">
      <c r="A319" s="10" t="n">
        <v>46145</v>
      </c>
      <c r="B319" s="11" t="s">
        <v>83</v>
      </c>
      <c r="C319" s="11" t="s">
        <v>36</v>
      </c>
      <c r="D319" s="11" t="s">
        <v>80</v>
      </c>
      <c r="E319" s="11" t="s">
        <v>72</v>
      </c>
      <c r="F319" s="11" t="s">
        <v>39</v>
      </c>
      <c r="G319" s="11" t="n">
        <v>3</v>
      </c>
      <c r="H319" s="11" t="n">
        <v>40</v>
      </c>
      <c r="I319" s="11" t="n">
        <v>8</v>
      </c>
      <c r="J319" s="11" t="s">
        <v>40</v>
      </c>
      <c r="K319" s="11" t="n">
        <f aca="false">IF($J319="Y","",IF($F319="BW",$I319,$H319*$I319))</f>
        <v>320</v>
      </c>
      <c r="L319" s="11" t="str">
        <f aca="false">$D319&amp;"|"&amp;$H319</f>
        <v>Tricep Ext Overhead|40</v>
      </c>
      <c r="M319" s="11"/>
    </row>
    <row r="320" customFormat="false" ht="15" hidden="false" customHeight="false" outlineLevel="0" collapsed="false">
      <c r="A320" s="10" t="n">
        <v>46145</v>
      </c>
      <c r="B320" s="11" t="s">
        <v>83</v>
      </c>
      <c r="C320" s="11" t="s">
        <v>36</v>
      </c>
      <c r="D320" s="11" t="s">
        <v>80</v>
      </c>
      <c r="E320" s="11" t="s">
        <v>72</v>
      </c>
      <c r="F320" s="11" t="s">
        <v>39</v>
      </c>
      <c r="G320" s="11" t="n">
        <v>4</v>
      </c>
      <c r="H320" s="11" t="n">
        <v>45</v>
      </c>
      <c r="I320" s="11" t="n">
        <v>8</v>
      </c>
      <c r="J320" s="11" t="s">
        <v>40</v>
      </c>
      <c r="K320" s="11" t="n">
        <f aca="false">IF($J320="Y","",IF($F320="BW",$I320,$H320*$I320))</f>
        <v>360</v>
      </c>
      <c r="L320" s="11" t="str">
        <f aca="false">$D320&amp;"|"&amp;$H320</f>
        <v>Tricep Ext Overhead|45</v>
      </c>
      <c r="M320" s="11"/>
    </row>
    <row r="321" customFormat="false" ht="15" hidden="false" customHeight="false" outlineLevel="0" collapsed="false">
      <c r="A321" s="12" t="n">
        <v>46145</v>
      </c>
      <c r="B321" s="13" t="s">
        <v>83</v>
      </c>
      <c r="C321" s="13" t="s">
        <v>36</v>
      </c>
      <c r="D321" s="13" t="s">
        <v>113</v>
      </c>
      <c r="E321" s="13" t="s">
        <v>72</v>
      </c>
      <c r="F321" s="13" t="s">
        <v>39</v>
      </c>
      <c r="G321" s="13" t="n">
        <v>1</v>
      </c>
      <c r="H321" s="13" t="n">
        <v>25</v>
      </c>
      <c r="I321" s="13" t="n">
        <v>8</v>
      </c>
      <c r="J321" s="13" t="s">
        <v>84</v>
      </c>
      <c r="K321" s="13" t="str">
        <f aca="false">IF($J321="Y","",IF($F321="BW",$I321,$H321*$I321))</f>
        <v/>
      </c>
      <c r="L321" s="13" t="str">
        <f aca="false">$D321&amp;"|"&amp;$H321</f>
        <v>Incline Bench (DB)|25</v>
      </c>
      <c r="M321" s="13"/>
    </row>
    <row r="322" customFormat="false" ht="15" hidden="false" customHeight="false" outlineLevel="0" collapsed="false">
      <c r="A322" s="10" t="n">
        <v>46145</v>
      </c>
      <c r="B322" s="11" t="s">
        <v>83</v>
      </c>
      <c r="C322" s="11" t="s">
        <v>36</v>
      </c>
      <c r="D322" s="11" t="s">
        <v>113</v>
      </c>
      <c r="E322" s="11" t="s">
        <v>72</v>
      </c>
      <c r="F322" s="11" t="s">
        <v>39</v>
      </c>
      <c r="G322" s="11" t="n">
        <v>2</v>
      </c>
      <c r="H322" s="11" t="n">
        <v>35</v>
      </c>
      <c r="I322" s="11" t="n">
        <v>8</v>
      </c>
      <c r="J322" s="11" t="s">
        <v>40</v>
      </c>
      <c r="K322" s="11" t="n">
        <f aca="false">IF($J322="Y","",IF($F322="BW",$I322,$H322*$I322))</f>
        <v>280</v>
      </c>
      <c r="L322" s="11" t="str">
        <f aca="false">$D322&amp;"|"&amp;$H322</f>
        <v>Incline Bench (DB)|35</v>
      </c>
      <c r="M322" s="11"/>
    </row>
    <row r="323" customFormat="false" ht="15" hidden="false" customHeight="false" outlineLevel="0" collapsed="false">
      <c r="A323" s="10" t="n">
        <v>46145</v>
      </c>
      <c r="B323" s="11" t="s">
        <v>83</v>
      </c>
      <c r="C323" s="11" t="s">
        <v>36</v>
      </c>
      <c r="D323" s="11" t="s">
        <v>113</v>
      </c>
      <c r="E323" s="11" t="s">
        <v>72</v>
      </c>
      <c r="F323" s="11" t="s">
        <v>39</v>
      </c>
      <c r="G323" s="11" t="n">
        <v>3</v>
      </c>
      <c r="H323" s="11" t="n">
        <v>40</v>
      </c>
      <c r="I323" s="11" t="n">
        <v>8</v>
      </c>
      <c r="J323" s="11" t="s">
        <v>40</v>
      </c>
      <c r="K323" s="11" t="n">
        <f aca="false">IF($J323="Y","",IF($F323="BW",$I323,$H323*$I323))</f>
        <v>320</v>
      </c>
      <c r="L323" s="11" t="str">
        <f aca="false">$D323&amp;"|"&amp;$H323</f>
        <v>Incline Bench (DB)|40</v>
      </c>
      <c r="M323" s="11"/>
    </row>
    <row r="324" customFormat="false" ht="15" hidden="false" customHeight="false" outlineLevel="0" collapsed="false">
      <c r="A324" s="10" t="n">
        <v>46145</v>
      </c>
      <c r="B324" s="11" t="s">
        <v>83</v>
      </c>
      <c r="C324" s="11" t="s">
        <v>36</v>
      </c>
      <c r="D324" s="11" t="s">
        <v>113</v>
      </c>
      <c r="E324" s="11" t="s">
        <v>72</v>
      </c>
      <c r="F324" s="11" t="s">
        <v>39</v>
      </c>
      <c r="G324" s="11" t="n">
        <v>4</v>
      </c>
      <c r="H324" s="11" t="n">
        <v>40</v>
      </c>
      <c r="I324" s="11" t="n">
        <v>8</v>
      </c>
      <c r="J324" s="11" t="s">
        <v>40</v>
      </c>
      <c r="K324" s="11" t="n">
        <f aca="false">IF($J324="Y","",IF($F324="BW",$I324,$H324*$I324))</f>
        <v>320</v>
      </c>
      <c r="L324" s="11" t="str">
        <f aca="false">$D324&amp;"|"&amp;$H324</f>
        <v>Incline Bench (DB)|40</v>
      </c>
      <c r="M324" s="11"/>
    </row>
    <row r="325" customFormat="false" ht="15" hidden="false" customHeight="false" outlineLevel="0" collapsed="false">
      <c r="A325" s="12" t="n">
        <v>46151</v>
      </c>
      <c r="B325" s="13" t="s">
        <v>60</v>
      </c>
      <c r="C325" s="13" t="s">
        <v>108</v>
      </c>
      <c r="D325" s="13" t="s">
        <v>73</v>
      </c>
      <c r="E325" s="13" t="s">
        <v>74</v>
      </c>
      <c r="F325" s="13" t="s">
        <v>75</v>
      </c>
      <c r="G325" s="13" t="n">
        <v>1</v>
      </c>
      <c r="H325" s="13" t="n">
        <v>12.5</v>
      </c>
      <c r="I325" s="13" t="n">
        <v>8</v>
      </c>
      <c r="J325" s="13" t="s">
        <v>84</v>
      </c>
      <c r="K325" s="13" t="str">
        <f aca="false">IF($J325="Y","",IF($F325="BW",$I325,$H325*$I325))</f>
        <v/>
      </c>
      <c r="L325" s="13" t="str">
        <f aca="false">$D325&amp;"|"&amp;$H325</f>
        <v>Single Arm Lat Pulldown|12.5</v>
      </c>
      <c r="M325" s="13"/>
    </row>
    <row r="326" customFormat="false" ht="15" hidden="false" customHeight="false" outlineLevel="0" collapsed="false">
      <c r="A326" s="10" t="n">
        <v>46151</v>
      </c>
      <c r="B326" s="11" t="s">
        <v>60</v>
      </c>
      <c r="C326" s="11" t="s">
        <v>108</v>
      </c>
      <c r="D326" s="11" t="s">
        <v>73</v>
      </c>
      <c r="E326" s="11" t="s">
        <v>74</v>
      </c>
      <c r="F326" s="11" t="s">
        <v>75</v>
      </c>
      <c r="G326" s="11" t="n">
        <v>2</v>
      </c>
      <c r="H326" s="11" t="n">
        <v>17.5</v>
      </c>
      <c r="I326" s="11" t="n">
        <v>8</v>
      </c>
      <c r="J326" s="11" t="s">
        <v>40</v>
      </c>
      <c r="K326" s="11" t="n">
        <f aca="false">IF($J326="Y","",IF($F326="BW",$I326,$H326*$I326))</f>
        <v>140</v>
      </c>
      <c r="L326" s="11" t="str">
        <f aca="false">$D326&amp;"|"&amp;$H326</f>
        <v>Single Arm Lat Pulldown|17.5</v>
      </c>
      <c r="M326" s="11"/>
    </row>
    <row r="327" customFormat="false" ht="15" hidden="false" customHeight="false" outlineLevel="0" collapsed="false">
      <c r="A327" s="10" t="n">
        <v>46151</v>
      </c>
      <c r="B327" s="11" t="s">
        <v>60</v>
      </c>
      <c r="C327" s="11" t="s">
        <v>108</v>
      </c>
      <c r="D327" s="11" t="s">
        <v>73</v>
      </c>
      <c r="E327" s="11" t="s">
        <v>74</v>
      </c>
      <c r="F327" s="11" t="s">
        <v>75</v>
      </c>
      <c r="G327" s="11" t="n">
        <v>3</v>
      </c>
      <c r="H327" s="11" t="n">
        <v>22.5</v>
      </c>
      <c r="I327" s="11" t="n">
        <v>8</v>
      </c>
      <c r="J327" s="11" t="s">
        <v>40</v>
      </c>
      <c r="K327" s="11" t="n">
        <f aca="false">IF($J327="Y","",IF($F327="BW",$I327,$H327*$I327))</f>
        <v>180</v>
      </c>
      <c r="L327" s="11" t="str">
        <f aca="false">$D327&amp;"|"&amp;$H327</f>
        <v>Single Arm Lat Pulldown|22.5</v>
      </c>
      <c r="M327" s="11"/>
    </row>
    <row r="328" customFormat="false" ht="15" hidden="false" customHeight="false" outlineLevel="0" collapsed="false">
      <c r="A328" s="10" t="n">
        <v>46151</v>
      </c>
      <c r="B328" s="11" t="s">
        <v>60</v>
      </c>
      <c r="C328" s="11" t="s">
        <v>108</v>
      </c>
      <c r="D328" s="11" t="s">
        <v>73</v>
      </c>
      <c r="E328" s="11" t="s">
        <v>74</v>
      </c>
      <c r="F328" s="11" t="s">
        <v>75</v>
      </c>
      <c r="G328" s="11" t="n">
        <v>4</v>
      </c>
      <c r="H328" s="11" t="n">
        <v>22.5</v>
      </c>
      <c r="I328" s="11" t="n">
        <v>8</v>
      </c>
      <c r="J328" s="11" t="s">
        <v>40</v>
      </c>
      <c r="K328" s="11" t="n">
        <f aca="false">IF($J328="Y","",IF($F328="BW",$I328,$H328*$I328))</f>
        <v>180</v>
      </c>
      <c r="L328" s="11" t="str">
        <f aca="false">$D328&amp;"|"&amp;$H328</f>
        <v>Single Arm Lat Pulldown|22.5</v>
      </c>
      <c r="M328" s="11"/>
    </row>
    <row r="329" customFormat="false" ht="15" hidden="false" customHeight="false" outlineLevel="0" collapsed="false">
      <c r="A329" s="12" t="n">
        <v>46151</v>
      </c>
      <c r="B329" s="13" t="s">
        <v>60</v>
      </c>
      <c r="C329" s="13" t="s">
        <v>108</v>
      </c>
      <c r="D329" s="13" t="s">
        <v>88</v>
      </c>
      <c r="E329" s="13" t="s">
        <v>38</v>
      </c>
      <c r="F329" s="13" t="s">
        <v>39</v>
      </c>
      <c r="G329" s="13" t="n">
        <v>1</v>
      </c>
      <c r="H329" s="13" t="n">
        <v>25</v>
      </c>
      <c r="I329" s="13" t="n">
        <v>8</v>
      </c>
      <c r="J329" s="13" t="s">
        <v>84</v>
      </c>
      <c r="K329" s="13" t="str">
        <f aca="false">IF($J329="Y","",IF($F329="BW",$I329,$H329*$I329))</f>
        <v/>
      </c>
      <c r="L329" s="13" t="str">
        <f aca="false">$D329&amp;"|"&amp;$H329</f>
        <v>Smith Rows|25</v>
      </c>
      <c r="M329" s="13"/>
    </row>
    <row r="330" customFormat="false" ht="15" hidden="false" customHeight="false" outlineLevel="0" collapsed="false">
      <c r="A330" s="10" t="n">
        <v>46151</v>
      </c>
      <c r="B330" s="11" t="s">
        <v>60</v>
      </c>
      <c r="C330" s="11" t="s">
        <v>108</v>
      </c>
      <c r="D330" s="11" t="s">
        <v>88</v>
      </c>
      <c r="E330" s="11" t="s">
        <v>38</v>
      </c>
      <c r="F330" s="11" t="s">
        <v>39</v>
      </c>
      <c r="G330" s="11" t="n">
        <v>2</v>
      </c>
      <c r="H330" s="11" t="n">
        <v>50</v>
      </c>
      <c r="I330" s="11" t="n">
        <v>8</v>
      </c>
      <c r="J330" s="11" t="s">
        <v>40</v>
      </c>
      <c r="K330" s="11" t="n">
        <f aca="false">IF($J330="Y","",IF($F330="BW",$I330,$H330*$I330))</f>
        <v>400</v>
      </c>
      <c r="L330" s="11" t="str">
        <f aca="false">$D330&amp;"|"&amp;$H330</f>
        <v>Smith Rows|50</v>
      </c>
      <c r="M330" s="11"/>
    </row>
    <row r="331" customFormat="false" ht="15" hidden="false" customHeight="false" outlineLevel="0" collapsed="false">
      <c r="A331" s="10" t="n">
        <v>46151</v>
      </c>
      <c r="B331" s="11" t="s">
        <v>60</v>
      </c>
      <c r="C331" s="11" t="s">
        <v>108</v>
      </c>
      <c r="D331" s="11" t="s">
        <v>88</v>
      </c>
      <c r="E331" s="11" t="s">
        <v>38</v>
      </c>
      <c r="F331" s="11" t="s">
        <v>39</v>
      </c>
      <c r="G331" s="11" t="n">
        <v>3</v>
      </c>
      <c r="H331" s="11" t="n">
        <v>65</v>
      </c>
      <c r="I331" s="11" t="n">
        <v>8</v>
      </c>
      <c r="J331" s="11" t="s">
        <v>40</v>
      </c>
      <c r="K331" s="11" t="n">
        <f aca="false">IF($J331="Y","",IF($F331="BW",$I331,$H331*$I331))</f>
        <v>520</v>
      </c>
      <c r="L331" s="11" t="str">
        <f aca="false">$D331&amp;"|"&amp;$H331</f>
        <v>Smith Rows|65</v>
      </c>
      <c r="M331" s="11"/>
    </row>
    <row r="332" customFormat="false" ht="15" hidden="false" customHeight="false" outlineLevel="0" collapsed="false">
      <c r="A332" s="10" t="n">
        <v>46151</v>
      </c>
      <c r="B332" s="11" t="s">
        <v>60</v>
      </c>
      <c r="C332" s="11" t="s">
        <v>108</v>
      </c>
      <c r="D332" s="11" t="s">
        <v>88</v>
      </c>
      <c r="E332" s="11" t="s">
        <v>38</v>
      </c>
      <c r="F332" s="11" t="s">
        <v>39</v>
      </c>
      <c r="G332" s="11" t="n">
        <v>4</v>
      </c>
      <c r="H332" s="11" t="n">
        <v>65</v>
      </c>
      <c r="I332" s="11" t="n">
        <v>8</v>
      </c>
      <c r="J332" s="11" t="s">
        <v>40</v>
      </c>
      <c r="K332" s="11" t="n">
        <f aca="false">IF($J332="Y","",IF($F332="BW",$I332,$H332*$I332))</f>
        <v>520</v>
      </c>
      <c r="L332" s="11" t="str">
        <f aca="false">$D332&amp;"|"&amp;$H332</f>
        <v>Smith Rows|65</v>
      </c>
      <c r="M332" s="11"/>
    </row>
    <row r="333" customFormat="false" ht="15" hidden="false" customHeight="false" outlineLevel="0" collapsed="false">
      <c r="A333" s="12" t="n">
        <v>46151</v>
      </c>
      <c r="B333" s="13" t="s">
        <v>60</v>
      </c>
      <c r="C333" s="13" t="s">
        <v>108</v>
      </c>
      <c r="D333" s="13" t="s">
        <v>91</v>
      </c>
      <c r="E333" s="13" t="s">
        <v>72</v>
      </c>
      <c r="F333" s="13" t="s">
        <v>39</v>
      </c>
      <c r="G333" s="13" t="n">
        <v>1</v>
      </c>
      <c r="H333" s="13" t="n">
        <v>20</v>
      </c>
      <c r="I333" s="13" t="n">
        <v>8</v>
      </c>
      <c r="J333" s="13" t="s">
        <v>84</v>
      </c>
      <c r="K333" s="13" t="str">
        <f aca="false">IF($J333="Y","",IF($F333="BW",$I333,$H333*$I333))</f>
        <v/>
      </c>
      <c r="L333" s="13" t="str">
        <f aca="false">$D333&amp;"|"&amp;$H333</f>
        <v>Shrugs|20</v>
      </c>
      <c r="M333" s="13"/>
    </row>
    <row r="334" customFormat="false" ht="15" hidden="false" customHeight="false" outlineLevel="0" collapsed="false">
      <c r="A334" s="10" t="n">
        <v>46151</v>
      </c>
      <c r="B334" s="11" t="s">
        <v>60</v>
      </c>
      <c r="C334" s="11" t="s">
        <v>108</v>
      </c>
      <c r="D334" s="11" t="s">
        <v>91</v>
      </c>
      <c r="E334" s="11" t="s">
        <v>72</v>
      </c>
      <c r="F334" s="11" t="s">
        <v>39</v>
      </c>
      <c r="G334" s="11" t="n">
        <v>2</v>
      </c>
      <c r="H334" s="11" t="n">
        <v>40</v>
      </c>
      <c r="I334" s="11" t="n">
        <v>8</v>
      </c>
      <c r="J334" s="11" t="s">
        <v>40</v>
      </c>
      <c r="K334" s="11" t="n">
        <f aca="false">IF($J334="Y","",IF($F334="BW",$I334,$H334*$I334))</f>
        <v>320</v>
      </c>
      <c r="L334" s="11" t="str">
        <f aca="false">$D334&amp;"|"&amp;$H334</f>
        <v>Shrugs|40</v>
      </c>
      <c r="M334" s="11"/>
    </row>
    <row r="335" customFormat="false" ht="15" hidden="false" customHeight="false" outlineLevel="0" collapsed="false">
      <c r="A335" s="10" t="n">
        <v>46151</v>
      </c>
      <c r="B335" s="11" t="s">
        <v>60</v>
      </c>
      <c r="C335" s="11" t="s">
        <v>108</v>
      </c>
      <c r="D335" s="11" t="s">
        <v>91</v>
      </c>
      <c r="E335" s="11" t="s">
        <v>72</v>
      </c>
      <c r="F335" s="11" t="s">
        <v>39</v>
      </c>
      <c r="G335" s="11" t="n">
        <v>3</v>
      </c>
      <c r="H335" s="11" t="n">
        <v>50</v>
      </c>
      <c r="I335" s="11" t="n">
        <v>8</v>
      </c>
      <c r="J335" s="11" t="s">
        <v>40</v>
      </c>
      <c r="K335" s="11" t="n">
        <f aca="false">IF($J335="Y","",IF($F335="BW",$I335,$H335*$I335))</f>
        <v>400</v>
      </c>
      <c r="L335" s="11" t="str">
        <f aca="false">$D335&amp;"|"&amp;$H335</f>
        <v>Shrugs|50</v>
      </c>
      <c r="M335" s="11"/>
    </row>
    <row r="336" customFormat="false" ht="15" hidden="false" customHeight="false" outlineLevel="0" collapsed="false">
      <c r="A336" s="10" t="n">
        <v>46151</v>
      </c>
      <c r="B336" s="11" t="s">
        <v>60</v>
      </c>
      <c r="C336" s="11" t="s">
        <v>108</v>
      </c>
      <c r="D336" s="11" t="s">
        <v>91</v>
      </c>
      <c r="E336" s="11" t="s">
        <v>72</v>
      </c>
      <c r="F336" s="11" t="s">
        <v>39</v>
      </c>
      <c r="G336" s="11" t="n">
        <v>4</v>
      </c>
      <c r="H336" s="11" t="n">
        <v>50</v>
      </c>
      <c r="I336" s="11" t="n">
        <v>8</v>
      </c>
      <c r="J336" s="11" t="s">
        <v>40</v>
      </c>
      <c r="K336" s="11" t="n">
        <f aca="false">IF($J336="Y","",IF($F336="BW",$I336,$H336*$I336))</f>
        <v>400</v>
      </c>
      <c r="L336" s="11" t="str">
        <f aca="false">$D336&amp;"|"&amp;$H336</f>
        <v>Shrugs|50</v>
      </c>
      <c r="M336" s="11"/>
    </row>
    <row r="337" customFormat="false" ht="15" hidden="false" customHeight="false" outlineLevel="0" collapsed="false">
      <c r="A337" s="12" t="n">
        <v>46151</v>
      </c>
      <c r="B337" s="13" t="s">
        <v>60</v>
      </c>
      <c r="C337" s="13" t="s">
        <v>108</v>
      </c>
      <c r="D337" s="13" t="s">
        <v>77</v>
      </c>
      <c r="E337" s="13" t="s">
        <v>72</v>
      </c>
      <c r="F337" s="13" t="s">
        <v>39</v>
      </c>
      <c r="G337" s="13" t="n">
        <v>1</v>
      </c>
      <c r="H337" s="13" t="n">
        <v>20</v>
      </c>
      <c r="I337" s="13" t="n">
        <v>8</v>
      </c>
      <c r="J337" s="13" t="s">
        <v>84</v>
      </c>
      <c r="K337" s="13" t="str">
        <f aca="false">IF($J337="Y","",IF($F337="BW",$I337,$H337*$I337))</f>
        <v/>
      </c>
      <c r="L337" s="13" t="str">
        <f aca="false">$D337&amp;"|"&amp;$H337</f>
        <v>Bicep Curls (DB)|20</v>
      </c>
      <c r="M337" s="13"/>
    </row>
    <row r="338" customFormat="false" ht="15" hidden="false" customHeight="false" outlineLevel="0" collapsed="false">
      <c r="A338" s="10" t="n">
        <v>46151</v>
      </c>
      <c r="B338" s="11" t="s">
        <v>60</v>
      </c>
      <c r="C338" s="11" t="s">
        <v>108</v>
      </c>
      <c r="D338" s="11" t="s">
        <v>77</v>
      </c>
      <c r="E338" s="11" t="s">
        <v>72</v>
      </c>
      <c r="F338" s="11" t="s">
        <v>39</v>
      </c>
      <c r="G338" s="11" t="n">
        <v>2</v>
      </c>
      <c r="H338" s="11" t="n">
        <v>25</v>
      </c>
      <c r="I338" s="11" t="n">
        <v>8</v>
      </c>
      <c r="J338" s="11" t="s">
        <v>40</v>
      </c>
      <c r="K338" s="11" t="n">
        <f aca="false">IF($J338="Y","",IF($F338="BW",$I338,$H338*$I338))</f>
        <v>200</v>
      </c>
      <c r="L338" s="11" t="str">
        <f aca="false">$D338&amp;"|"&amp;$H338</f>
        <v>Bicep Curls (DB)|25</v>
      </c>
      <c r="M338" s="11"/>
    </row>
    <row r="339" customFormat="false" ht="15" hidden="false" customHeight="false" outlineLevel="0" collapsed="false">
      <c r="A339" s="10" t="n">
        <v>46151</v>
      </c>
      <c r="B339" s="11" t="s">
        <v>60</v>
      </c>
      <c r="C339" s="11" t="s">
        <v>108</v>
      </c>
      <c r="D339" s="11" t="s">
        <v>77</v>
      </c>
      <c r="E339" s="11" t="s">
        <v>72</v>
      </c>
      <c r="F339" s="11" t="s">
        <v>39</v>
      </c>
      <c r="G339" s="11" t="n">
        <v>3</v>
      </c>
      <c r="H339" s="11" t="n">
        <v>25</v>
      </c>
      <c r="I339" s="11" t="n">
        <v>8</v>
      </c>
      <c r="J339" s="11" t="s">
        <v>40</v>
      </c>
      <c r="K339" s="11" t="n">
        <f aca="false">IF($J339="Y","",IF($F339="BW",$I339,$H339*$I339))</f>
        <v>200</v>
      </c>
      <c r="L339" s="11" t="str">
        <f aca="false">$D339&amp;"|"&amp;$H339</f>
        <v>Bicep Curls (DB)|25</v>
      </c>
      <c r="M339" s="11"/>
    </row>
    <row r="340" customFormat="false" ht="15" hidden="false" customHeight="false" outlineLevel="0" collapsed="false">
      <c r="A340" s="10" t="n">
        <v>46151</v>
      </c>
      <c r="B340" s="11" t="s">
        <v>60</v>
      </c>
      <c r="C340" s="11" t="s">
        <v>108</v>
      </c>
      <c r="D340" s="11" t="s">
        <v>77</v>
      </c>
      <c r="E340" s="11" t="s">
        <v>72</v>
      </c>
      <c r="F340" s="11" t="s">
        <v>39</v>
      </c>
      <c r="G340" s="11" t="n">
        <v>4</v>
      </c>
      <c r="H340" s="11" t="n">
        <v>25</v>
      </c>
      <c r="I340" s="11" t="n">
        <v>8</v>
      </c>
      <c r="J340" s="11" t="s">
        <v>40</v>
      </c>
      <c r="K340" s="11" t="n">
        <f aca="false">IF($J340="Y","",IF($F340="BW",$I340,$H340*$I340))</f>
        <v>200</v>
      </c>
      <c r="L340" s="11" t="str">
        <f aca="false">$D340&amp;"|"&amp;$H340</f>
        <v>Bicep Curls (DB)|25</v>
      </c>
      <c r="M340" s="11"/>
    </row>
    <row r="341" customFormat="false" ht="15" hidden="false" customHeight="false" outlineLevel="0" collapsed="false">
      <c r="A341" s="12" t="n">
        <v>46154</v>
      </c>
      <c r="B341" s="13" t="s">
        <v>69</v>
      </c>
      <c r="C341" s="13" t="s">
        <v>36</v>
      </c>
      <c r="D341" s="13" t="s">
        <v>110</v>
      </c>
      <c r="E341" s="13" t="s">
        <v>38</v>
      </c>
      <c r="F341" s="13" t="s">
        <v>39</v>
      </c>
      <c r="G341" s="13" t="n">
        <v>1</v>
      </c>
      <c r="H341" s="13" t="n">
        <v>40</v>
      </c>
      <c r="I341" s="13" t="n">
        <v>8</v>
      </c>
      <c r="J341" s="13" t="s">
        <v>84</v>
      </c>
      <c r="K341" s="13" t="str">
        <f aca="false">IF($J341="Y","",IF($F341="BW",$I341,$H341*$I341))</f>
        <v/>
      </c>
      <c r="L341" s="13" t="str">
        <f aca="false">$D341&amp;"|"&amp;$H341</f>
        <v>Bench Press (Smith)|40</v>
      </c>
      <c r="M341" s="13" t="s">
        <v>127</v>
      </c>
    </row>
    <row r="342" customFormat="false" ht="15" hidden="false" customHeight="false" outlineLevel="0" collapsed="false">
      <c r="A342" s="10" t="n">
        <v>46154</v>
      </c>
      <c r="B342" s="11" t="s">
        <v>69</v>
      </c>
      <c r="C342" s="11" t="s">
        <v>36</v>
      </c>
      <c r="D342" s="11" t="s">
        <v>110</v>
      </c>
      <c r="E342" s="11" t="s">
        <v>38</v>
      </c>
      <c r="F342" s="11" t="s">
        <v>39</v>
      </c>
      <c r="G342" s="11" t="n">
        <v>2</v>
      </c>
      <c r="H342" s="11" t="n">
        <v>65</v>
      </c>
      <c r="I342" s="11" t="n">
        <v>8</v>
      </c>
      <c r="J342" s="11" t="s">
        <v>40</v>
      </c>
      <c r="K342" s="11" t="n">
        <f aca="false">IF($J342="Y","",IF($F342="BW",$I342,$H342*$I342))</f>
        <v>520</v>
      </c>
      <c r="L342" s="11" t="str">
        <f aca="false">$D342&amp;"|"&amp;$H342</f>
        <v>Bench Press (Smith)|65</v>
      </c>
      <c r="M342" s="11" t="s">
        <v>127</v>
      </c>
    </row>
    <row r="343" customFormat="false" ht="15" hidden="false" customHeight="false" outlineLevel="0" collapsed="false">
      <c r="A343" s="10" t="n">
        <v>46154</v>
      </c>
      <c r="B343" s="11" t="s">
        <v>69</v>
      </c>
      <c r="C343" s="11" t="s">
        <v>36</v>
      </c>
      <c r="D343" s="11" t="s">
        <v>110</v>
      </c>
      <c r="E343" s="11" t="s">
        <v>38</v>
      </c>
      <c r="F343" s="11" t="s">
        <v>39</v>
      </c>
      <c r="G343" s="11" t="n">
        <v>3</v>
      </c>
      <c r="H343" s="11" t="n">
        <v>90</v>
      </c>
      <c r="I343" s="11" t="n">
        <v>8</v>
      </c>
      <c r="J343" s="11" t="s">
        <v>40</v>
      </c>
      <c r="K343" s="11" t="n">
        <f aca="false">IF($J343="Y","",IF($F343="BW",$I343,$H343*$I343))</f>
        <v>720</v>
      </c>
      <c r="L343" s="11" t="str">
        <f aca="false">$D343&amp;"|"&amp;$H343</f>
        <v>Bench Press (Smith)|90</v>
      </c>
      <c r="M343" s="11" t="s">
        <v>127</v>
      </c>
    </row>
    <row r="344" customFormat="false" ht="15" hidden="false" customHeight="false" outlineLevel="0" collapsed="false">
      <c r="A344" s="10" t="n">
        <v>46154</v>
      </c>
      <c r="B344" s="11" t="s">
        <v>69</v>
      </c>
      <c r="C344" s="11" t="s">
        <v>36</v>
      </c>
      <c r="D344" s="11" t="s">
        <v>110</v>
      </c>
      <c r="E344" s="11" t="s">
        <v>38</v>
      </c>
      <c r="F344" s="11" t="s">
        <v>39</v>
      </c>
      <c r="G344" s="11" t="n">
        <v>4</v>
      </c>
      <c r="H344" s="11" t="n">
        <v>95</v>
      </c>
      <c r="I344" s="11" t="n">
        <v>8</v>
      </c>
      <c r="J344" s="11" t="s">
        <v>40</v>
      </c>
      <c r="K344" s="11" t="n">
        <f aca="false">IF($J344="Y","",IF($F344="BW",$I344,$H344*$I344))</f>
        <v>760</v>
      </c>
      <c r="L344" s="11" t="str">
        <f aca="false">$D344&amp;"|"&amp;$H344</f>
        <v>Bench Press (Smith)|95</v>
      </c>
      <c r="M344" s="11" t="s">
        <v>127</v>
      </c>
    </row>
    <row r="345" customFormat="false" ht="15" hidden="false" customHeight="false" outlineLevel="0" collapsed="false">
      <c r="A345" s="12" t="n">
        <v>46154</v>
      </c>
      <c r="B345" s="13" t="s">
        <v>69</v>
      </c>
      <c r="C345" s="13" t="s">
        <v>36</v>
      </c>
      <c r="D345" s="13" t="s">
        <v>76</v>
      </c>
      <c r="E345" s="13" t="s">
        <v>72</v>
      </c>
      <c r="F345" s="13" t="s">
        <v>39</v>
      </c>
      <c r="G345" s="13" t="n">
        <v>1</v>
      </c>
      <c r="H345" s="13" t="n">
        <v>15</v>
      </c>
      <c r="I345" s="13" t="n">
        <v>8</v>
      </c>
      <c r="J345" s="13" t="s">
        <v>84</v>
      </c>
      <c r="K345" s="13" t="str">
        <f aca="false">IF($J345="Y","",IF($F345="BW",$I345,$H345*$I345))</f>
        <v/>
      </c>
      <c r="L345" s="13" t="str">
        <f aca="false">$D345&amp;"|"&amp;$H345</f>
        <v>Shoulder Press|15</v>
      </c>
      <c r="M345" s="13"/>
    </row>
    <row r="346" customFormat="false" ht="15" hidden="false" customHeight="false" outlineLevel="0" collapsed="false">
      <c r="A346" s="10" t="n">
        <v>46154</v>
      </c>
      <c r="B346" s="11" t="s">
        <v>69</v>
      </c>
      <c r="C346" s="11" t="s">
        <v>36</v>
      </c>
      <c r="D346" s="11" t="s">
        <v>76</v>
      </c>
      <c r="E346" s="11" t="s">
        <v>72</v>
      </c>
      <c r="F346" s="11" t="s">
        <v>39</v>
      </c>
      <c r="G346" s="11" t="n">
        <v>2</v>
      </c>
      <c r="H346" s="11" t="n">
        <v>30</v>
      </c>
      <c r="I346" s="11" t="n">
        <v>8</v>
      </c>
      <c r="J346" s="11" t="s">
        <v>40</v>
      </c>
      <c r="K346" s="11" t="n">
        <f aca="false">IF($J346="Y","",IF($F346="BW",$I346,$H346*$I346))</f>
        <v>240</v>
      </c>
      <c r="L346" s="11" t="str">
        <f aca="false">$D346&amp;"|"&amp;$H346</f>
        <v>Shoulder Press|30</v>
      </c>
      <c r="M346" s="11"/>
    </row>
    <row r="347" customFormat="false" ht="15" hidden="false" customHeight="false" outlineLevel="0" collapsed="false">
      <c r="A347" s="10" t="n">
        <v>46154</v>
      </c>
      <c r="B347" s="11" t="s">
        <v>69</v>
      </c>
      <c r="C347" s="11" t="s">
        <v>36</v>
      </c>
      <c r="D347" s="11" t="s">
        <v>76</v>
      </c>
      <c r="E347" s="11" t="s">
        <v>72</v>
      </c>
      <c r="F347" s="11" t="s">
        <v>39</v>
      </c>
      <c r="G347" s="11" t="n">
        <v>3</v>
      </c>
      <c r="H347" s="11" t="n">
        <v>35</v>
      </c>
      <c r="I347" s="11" t="n">
        <v>8</v>
      </c>
      <c r="J347" s="11" t="s">
        <v>40</v>
      </c>
      <c r="K347" s="11" t="n">
        <f aca="false">IF($J347="Y","",IF($F347="BW",$I347,$H347*$I347))</f>
        <v>280</v>
      </c>
      <c r="L347" s="11" t="str">
        <f aca="false">$D347&amp;"|"&amp;$H347</f>
        <v>Shoulder Press|35</v>
      </c>
      <c r="M347" s="11"/>
    </row>
    <row r="348" customFormat="false" ht="15" hidden="false" customHeight="false" outlineLevel="0" collapsed="false">
      <c r="A348" s="10" t="n">
        <v>46154</v>
      </c>
      <c r="B348" s="11" t="s">
        <v>69</v>
      </c>
      <c r="C348" s="11" t="s">
        <v>36</v>
      </c>
      <c r="D348" s="11" t="s">
        <v>76</v>
      </c>
      <c r="E348" s="11" t="s">
        <v>72</v>
      </c>
      <c r="F348" s="11" t="s">
        <v>39</v>
      </c>
      <c r="G348" s="11" t="n">
        <v>4</v>
      </c>
      <c r="H348" s="11" t="n">
        <v>35</v>
      </c>
      <c r="I348" s="11" t="n">
        <v>8</v>
      </c>
      <c r="J348" s="11" t="s">
        <v>40</v>
      </c>
      <c r="K348" s="11" t="n">
        <f aca="false">IF($J348="Y","",IF($F348="BW",$I348,$H348*$I348))</f>
        <v>280</v>
      </c>
      <c r="L348" s="11" t="str">
        <f aca="false">$D348&amp;"|"&amp;$H348</f>
        <v>Shoulder Press|35</v>
      </c>
      <c r="M348" s="11"/>
    </row>
    <row r="349" customFormat="false" ht="15" hidden="false" customHeight="false" outlineLevel="0" collapsed="false">
      <c r="A349" s="12" t="n">
        <v>46154</v>
      </c>
      <c r="B349" s="13" t="s">
        <v>69</v>
      </c>
      <c r="C349" s="13" t="s">
        <v>36</v>
      </c>
      <c r="D349" s="13" t="s">
        <v>128</v>
      </c>
      <c r="E349" s="13" t="s">
        <v>38</v>
      </c>
      <c r="F349" s="13" t="s">
        <v>39</v>
      </c>
      <c r="G349" s="13" t="n">
        <v>1</v>
      </c>
      <c r="H349" s="13" t="n">
        <v>25</v>
      </c>
      <c r="I349" s="13" t="n">
        <v>8</v>
      </c>
      <c r="J349" s="13" t="s">
        <v>84</v>
      </c>
      <c r="K349" s="13" t="str">
        <f aca="false">IF($J349="Y","",IF($F349="BW",$I349,$H349*$I349))</f>
        <v/>
      </c>
      <c r="L349" s="13" t="str">
        <f aca="false">$D349&amp;"|"&amp;$H349</f>
        <v>Incline Bench (Smith)|25</v>
      </c>
      <c r="M349" s="13" t="s">
        <v>129</v>
      </c>
    </row>
    <row r="350" customFormat="false" ht="15" hidden="false" customHeight="false" outlineLevel="0" collapsed="false">
      <c r="A350" s="10" t="n">
        <v>46154</v>
      </c>
      <c r="B350" s="11" t="s">
        <v>69</v>
      </c>
      <c r="C350" s="11" t="s">
        <v>36</v>
      </c>
      <c r="D350" s="11" t="s">
        <v>128</v>
      </c>
      <c r="E350" s="11" t="s">
        <v>38</v>
      </c>
      <c r="F350" s="11" t="s">
        <v>39</v>
      </c>
      <c r="G350" s="11" t="n">
        <v>2</v>
      </c>
      <c r="H350" s="11" t="n">
        <v>50</v>
      </c>
      <c r="I350" s="11" t="n">
        <v>8</v>
      </c>
      <c r="J350" s="11" t="s">
        <v>40</v>
      </c>
      <c r="K350" s="11" t="n">
        <f aca="false">IF($J350="Y","",IF($F350="BW",$I350,$H350*$I350))</f>
        <v>400</v>
      </c>
      <c r="L350" s="11" t="str">
        <f aca="false">$D350&amp;"|"&amp;$H350</f>
        <v>Incline Bench (Smith)|50</v>
      </c>
      <c r="M350" s="11" t="s">
        <v>129</v>
      </c>
    </row>
    <row r="351" customFormat="false" ht="15" hidden="false" customHeight="false" outlineLevel="0" collapsed="false">
      <c r="A351" s="10" t="n">
        <v>46154</v>
      </c>
      <c r="B351" s="11" t="s">
        <v>69</v>
      </c>
      <c r="C351" s="11" t="s">
        <v>36</v>
      </c>
      <c r="D351" s="11" t="s">
        <v>128</v>
      </c>
      <c r="E351" s="11" t="s">
        <v>38</v>
      </c>
      <c r="F351" s="11" t="s">
        <v>39</v>
      </c>
      <c r="G351" s="11" t="n">
        <v>3</v>
      </c>
      <c r="H351" s="11" t="n">
        <v>70</v>
      </c>
      <c r="I351" s="11" t="n">
        <v>8</v>
      </c>
      <c r="J351" s="11" t="s">
        <v>40</v>
      </c>
      <c r="K351" s="11" t="n">
        <f aca="false">IF($J351="Y","",IF($F351="BW",$I351,$H351*$I351))</f>
        <v>560</v>
      </c>
      <c r="L351" s="11" t="str">
        <f aca="false">$D351&amp;"|"&amp;$H351</f>
        <v>Incline Bench (Smith)|70</v>
      </c>
      <c r="M351" s="11" t="s">
        <v>129</v>
      </c>
    </row>
    <row r="352" customFormat="false" ht="15" hidden="false" customHeight="false" outlineLevel="0" collapsed="false">
      <c r="A352" s="10" t="n">
        <v>46154</v>
      </c>
      <c r="B352" s="11" t="s">
        <v>69</v>
      </c>
      <c r="C352" s="11" t="s">
        <v>36</v>
      </c>
      <c r="D352" s="11" t="s">
        <v>128</v>
      </c>
      <c r="E352" s="11" t="s">
        <v>38</v>
      </c>
      <c r="F352" s="11" t="s">
        <v>39</v>
      </c>
      <c r="G352" s="11" t="n">
        <v>4</v>
      </c>
      <c r="H352" s="11" t="n">
        <v>70</v>
      </c>
      <c r="I352" s="11" t="n">
        <v>8</v>
      </c>
      <c r="J352" s="11" t="s">
        <v>40</v>
      </c>
      <c r="K352" s="11" t="n">
        <f aca="false">IF($J352="Y","",IF($F352="BW",$I352,$H352*$I352))</f>
        <v>560</v>
      </c>
      <c r="L352" s="11" t="str">
        <f aca="false">$D352&amp;"|"&amp;$H352</f>
        <v>Incline Bench (Smith)|70</v>
      </c>
      <c r="M352" s="11" t="s">
        <v>129</v>
      </c>
    </row>
    <row r="353" customFormat="false" ht="15" hidden="false" customHeight="false" outlineLevel="0" collapsed="false">
      <c r="A353" s="12" t="n">
        <v>46154</v>
      </c>
      <c r="B353" s="13" t="s">
        <v>69</v>
      </c>
      <c r="C353" s="13" t="s">
        <v>36</v>
      </c>
      <c r="D353" s="13" t="s">
        <v>80</v>
      </c>
      <c r="E353" s="13" t="s">
        <v>72</v>
      </c>
      <c r="F353" s="13" t="s">
        <v>39</v>
      </c>
      <c r="G353" s="13" t="n">
        <v>1</v>
      </c>
      <c r="H353" s="13" t="n">
        <v>20</v>
      </c>
      <c r="I353" s="13" t="n">
        <v>8</v>
      </c>
      <c r="J353" s="13" t="s">
        <v>84</v>
      </c>
      <c r="K353" s="13" t="str">
        <f aca="false">IF($J353="Y","",IF($F353="BW",$I353,$H353*$I353))</f>
        <v/>
      </c>
      <c r="L353" s="13" t="str">
        <f aca="false">$D353&amp;"|"&amp;$H353</f>
        <v>Tricep Ext Overhead|20</v>
      </c>
      <c r="M353" s="13"/>
    </row>
    <row r="354" customFormat="false" ht="15" hidden="false" customHeight="false" outlineLevel="0" collapsed="false">
      <c r="A354" s="10" t="n">
        <v>46154</v>
      </c>
      <c r="B354" s="11" t="s">
        <v>69</v>
      </c>
      <c r="C354" s="11" t="s">
        <v>36</v>
      </c>
      <c r="D354" s="11" t="s">
        <v>80</v>
      </c>
      <c r="E354" s="11" t="s">
        <v>72</v>
      </c>
      <c r="F354" s="11" t="s">
        <v>39</v>
      </c>
      <c r="G354" s="11" t="n">
        <v>2</v>
      </c>
      <c r="H354" s="11" t="n">
        <v>40</v>
      </c>
      <c r="I354" s="11" t="n">
        <v>8</v>
      </c>
      <c r="J354" s="11" t="s">
        <v>40</v>
      </c>
      <c r="K354" s="11" t="n">
        <f aca="false">IF($J354="Y","",IF($F354="BW",$I354,$H354*$I354))</f>
        <v>320</v>
      </c>
      <c r="L354" s="11" t="str">
        <f aca="false">$D354&amp;"|"&amp;$H354</f>
        <v>Tricep Ext Overhead|40</v>
      </c>
      <c r="M354" s="11"/>
    </row>
    <row r="355" customFormat="false" ht="15" hidden="false" customHeight="false" outlineLevel="0" collapsed="false">
      <c r="A355" s="10" t="n">
        <v>46154</v>
      </c>
      <c r="B355" s="11" t="s">
        <v>69</v>
      </c>
      <c r="C355" s="11" t="s">
        <v>36</v>
      </c>
      <c r="D355" s="11" t="s">
        <v>80</v>
      </c>
      <c r="E355" s="11" t="s">
        <v>72</v>
      </c>
      <c r="F355" s="11" t="s">
        <v>39</v>
      </c>
      <c r="G355" s="11" t="n">
        <v>3</v>
      </c>
      <c r="H355" s="11" t="n">
        <v>50</v>
      </c>
      <c r="I355" s="11" t="n">
        <v>8</v>
      </c>
      <c r="J355" s="11" t="s">
        <v>40</v>
      </c>
      <c r="K355" s="11" t="n">
        <f aca="false">IF($J355="Y","",IF($F355="BW",$I355,$H355*$I355))</f>
        <v>400</v>
      </c>
      <c r="L355" s="11" t="str">
        <f aca="false">$D355&amp;"|"&amp;$H355</f>
        <v>Tricep Ext Overhead|50</v>
      </c>
      <c r="M355" s="11"/>
    </row>
    <row r="356" customFormat="false" ht="15" hidden="false" customHeight="false" outlineLevel="0" collapsed="false">
      <c r="A356" s="10" t="n">
        <v>46154</v>
      </c>
      <c r="B356" s="11" t="s">
        <v>69</v>
      </c>
      <c r="C356" s="11" t="s">
        <v>36</v>
      </c>
      <c r="D356" s="11" t="s">
        <v>80</v>
      </c>
      <c r="E356" s="11" t="s">
        <v>72</v>
      </c>
      <c r="F356" s="11" t="s">
        <v>39</v>
      </c>
      <c r="G356" s="11" t="n">
        <v>4</v>
      </c>
      <c r="H356" s="11" t="n">
        <v>50</v>
      </c>
      <c r="I356" s="11" t="n">
        <v>8</v>
      </c>
      <c r="J356" s="11" t="s">
        <v>40</v>
      </c>
      <c r="K356" s="11" t="n">
        <f aca="false">IF($J356="Y","",IF($F356="BW",$I356,$H356*$I356))</f>
        <v>400</v>
      </c>
      <c r="L356" s="11" t="str">
        <f aca="false">$D356&amp;"|"&amp;$H356</f>
        <v>Tricep Ext Overhead|50</v>
      </c>
      <c r="M356" s="11"/>
    </row>
    <row r="357" customFormat="false" ht="15" hidden="false" customHeight="false" outlineLevel="0" collapsed="false">
      <c r="A357" s="12" t="n">
        <v>46156</v>
      </c>
      <c r="B357" s="13" t="s">
        <v>35</v>
      </c>
      <c r="C357" s="13" t="s">
        <v>130</v>
      </c>
      <c r="D357" s="13" t="s">
        <v>79</v>
      </c>
      <c r="E357" s="13" t="s">
        <v>72</v>
      </c>
      <c r="F357" s="13" t="s">
        <v>39</v>
      </c>
      <c r="G357" s="13" t="n">
        <v>1</v>
      </c>
      <c r="H357" s="13" t="n">
        <v>15</v>
      </c>
      <c r="I357" s="13" t="n">
        <v>8</v>
      </c>
      <c r="J357" s="13" t="s">
        <v>84</v>
      </c>
      <c r="K357" s="13" t="str">
        <f aca="false">IF($J357="Y","",IF($F357="BW",$I357,$H357*$I357))</f>
        <v/>
      </c>
      <c r="L357" s="13" t="str">
        <f aca="false">$D357&amp;"|"&amp;$H357</f>
        <v>DB Rows|15</v>
      </c>
      <c r="M357" s="13"/>
    </row>
    <row r="358" customFormat="false" ht="15" hidden="false" customHeight="false" outlineLevel="0" collapsed="false">
      <c r="A358" s="10" t="n">
        <v>46156</v>
      </c>
      <c r="B358" s="11" t="s">
        <v>35</v>
      </c>
      <c r="C358" s="11" t="s">
        <v>130</v>
      </c>
      <c r="D358" s="11" t="s">
        <v>79</v>
      </c>
      <c r="E358" s="11" t="s">
        <v>72</v>
      </c>
      <c r="F358" s="11" t="s">
        <v>39</v>
      </c>
      <c r="G358" s="11" t="n">
        <v>2</v>
      </c>
      <c r="H358" s="11" t="n">
        <v>25</v>
      </c>
      <c r="I358" s="11" t="n">
        <v>8</v>
      </c>
      <c r="J358" s="11" t="s">
        <v>40</v>
      </c>
      <c r="K358" s="11" t="n">
        <f aca="false">IF($J358="Y","",IF($F358="BW",$I358,$H358*$I358))</f>
        <v>200</v>
      </c>
      <c r="L358" s="11" t="str">
        <f aca="false">$D358&amp;"|"&amp;$H358</f>
        <v>DB Rows|25</v>
      </c>
      <c r="M358" s="11"/>
    </row>
    <row r="359" customFormat="false" ht="15" hidden="false" customHeight="false" outlineLevel="0" collapsed="false">
      <c r="A359" s="10" t="n">
        <v>46156</v>
      </c>
      <c r="B359" s="11" t="s">
        <v>35</v>
      </c>
      <c r="C359" s="11" t="s">
        <v>130</v>
      </c>
      <c r="D359" s="11" t="s">
        <v>79</v>
      </c>
      <c r="E359" s="11" t="s">
        <v>72</v>
      </c>
      <c r="F359" s="11" t="s">
        <v>39</v>
      </c>
      <c r="G359" s="11" t="n">
        <v>3</v>
      </c>
      <c r="H359" s="11" t="n">
        <v>25</v>
      </c>
      <c r="I359" s="11" t="n">
        <v>8</v>
      </c>
      <c r="J359" s="11" t="s">
        <v>40</v>
      </c>
      <c r="K359" s="11" t="n">
        <f aca="false">IF($J359="Y","",IF($F359="BW",$I359,$H359*$I359))</f>
        <v>200</v>
      </c>
      <c r="L359" s="11" t="str">
        <f aca="false">$D359&amp;"|"&amp;$H359</f>
        <v>DB Rows|25</v>
      </c>
      <c r="M359" s="11"/>
    </row>
    <row r="360" customFormat="false" ht="15" hidden="false" customHeight="false" outlineLevel="0" collapsed="false">
      <c r="A360" s="10" t="n">
        <v>46156</v>
      </c>
      <c r="B360" s="11" t="s">
        <v>35</v>
      </c>
      <c r="C360" s="11" t="s">
        <v>130</v>
      </c>
      <c r="D360" s="11" t="s">
        <v>79</v>
      </c>
      <c r="E360" s="11" t="s">
        <v>72</v>
      </c>
      <c r="F360" s="11" t="s">
        <v>39</v>
      </c>
      <c r="G360" s="11" t="n">
        <v>4</v>
      </c>
      <c r="H360" s="11" t="n">
        <v>30</v>
      </c>
      <c r="I360" s="11" t="n">
        <v>8</v>
      </c>
      <c r="J360" s="11" t="s">
        <v>40</v>
      </c>
      <c r="K360" s="11" t="n">
        <f aca="false">IF($J360="Y","",IF($F360="BW",$I360,$H360*$I360))</f>
        <v>240</v>
      </c>
      <c r="L360" s="11" t="str">
        <f aca="false">$D360&amp;"|"&amp;$H360</f>
        <v>DB Rows|30</v>
      </c>
      <c r="M360" s="11"/>
    </row>
    <row r="361" customFormat="false" ht="15" hidden="false" customHeight="false" outlineLevel="0" collapsed="false">
      <c r="A361" s="12" t="n">
        <v>46156</v>
      </c>
      <c r="B361" s="13" t="s">
        <v>35</v>
      </c>
      <c r="C361" s="13" t="s">
        <v>130</v>
      </c>
      <c r="D361" s="13" t="s">
        <v>73</v>
      </c>
      <c r="E361" s="13" t="s">
        <v>74</v>
      </c>
      <c r="F361" s="13" t="s">
        <v>75</v>
      </c>
      <c r="G361" s="13" t="n">
        <v>1</v>
      </c>
      <c r="H361" s="13" t="n">
        <v>12.5</v>
      </c>
      <c r="I361" s="13" t="n">
        <v>8</v>
      </c>
      <c r="J361" s="13" t="s">
        <v>84</v>
      </c>
      <c r="K361" s="13" t="str">
        <f aca="false">IF($J361="Y","",IF($F361="BW",$I361,$H361*$I361))</f>
        <v/>
      </c>
      <c r="L361" s="13" t="str">
        <f aca="false">$D361&amp;"|"&amp;$H361</f>
        <v>Single Arm Lat Pulldown|12.5</v>
      </c>
      <c r="M361" s="13"/>
    </row>
    <row r="362" customFormat="false" ht="15" hidden="false" customHeight="false" outlineLevel="0" collapsed="false">
      <c r="A362" s="10" t="n">
        <v>46156</v>
      </c>
      <c r="B362" s="11" t="s">
        <v>35</v>
      </c>
      <c r="C362" s="11" t="s">
        <v>130</v>
      </c>
      <c r="D362" s="11" t="s">
        <v>73</v>
      </c>
      <c r="E362" s="11" t="s">
        <v>74</v>
      </c>
      <c r="F362" s="11" t="s">
        <v>75</v>
      </c>
      <c r="G362" s="11" t="n">
        <v>2</v>
      </c>
      <c r="H362" s="11" t="n">
        <v>20</v>
      </c>
      <c r="I362" s="11" t="n">
        <v>8</v>
      </c>
      <c r="J362" s="11" t="s">
        <v>40</v>
      </c>
      <c r="K362" s="11" t="n">
        <f aca="false">IF($J362="Y","",IF($F362="BW",$I362,$H362*$I362))</f>
        <v>160</v>
      </c>
      <c r="L362" s="11" t="str">
        <f aca="false">$D362&amp;"|"&amp;$H362</f>
        <v>Single Arm Lat Pulldown|20</v>
      </c>
      <c r="M362" s="11"/>
    </row>
    <row r="363" customFormat="false" ht="15" hidden="false" customHeight="false" outlineLevel="0" collapsed="false">
      <c r="A363" s="10" t="n">
        <v>46156</v>
      </c>
      <c r="B363" s="11" t="s">
        <v>35</v>
      </c>
      <c r="C363" s="11" t="s">
        <v>130</v>
      </c>
      <c r="D363" s="11" t="s">
        <v>73</v>
      </c>
      <c r="E363" s="11" t="s">
        <v>74</v>
      </c>
      <c r="F363" s="11" t="s">
        <v>75</v>
      </c>
      <c r="G363" s="11" t="n">
        <v>3</v>
      </c>
      <c r="H363" s="11" t="n">
        <v>20</v>
      </c>
      <c r="I363" s="11" t="n">
        <v>8</v>
      </c>
      <c r="J363" s="11" t="s">
        <v>40</v>
      </c>
      <c r="K363" s="11" t="n">
        <f aca="false">IF($J363="Y","",IF($F363="BW",$I363,$H363*$I363))</f>
        <v>160</v>
      </c>
      <c r="L363" s="11" t="str">
        <f aca="false">$D363&amp;"|"&amp;$H363</f>
        <v>Single Arm Lat Pulldown|20</v>
      </c>
      <c r="M363" s="11"/>
    </row>
    <row r="364" customFormat="false" ht="15" hidden="false" customHeight="false" outlineLevel="0" collapsed="false">
      <c r="A364" s="10" t="n">
        <v>46156</v>
      </c>
      <c r="B364" s="11" t="s">
        <v>35</v>
      </c>
      <c r="C364" s="11" t="s">
        <v>130</v>
      </c>
      <c r="D364" s="11" t="s">
        <v>73</v>
      </c>
      <c r="E364" s="11" t="s">
        <v>74</v>
      </c>
      <c r="F364" s="11" t="s">
        <v>75</v>
      </c>
      <c r="G364" s="11" t="n">
        <v>4</v>
      </c>
      <c r="H364" s="11" t="n">
        <v>22.5</v>
      </c>
      <c r="I364" s="11" t="n">
        <v>8</v>
      </c>
      <c r="J364" s="11" t="s">
        <v>40</v>
      </c>
      <c r="K364" s="11" t="n">
        <f aca="false">IF($J364="Y","",IF($F364="BW",$I364,$H364*$I364))</f>
        <v>180</v>
      </c>
      <c r="L364" s="11" t="str">
        <f aca="false">$D364&amp;"|"&amp;$H364</f>
        <v>Single Arm Lat Pulldown|22.5</v>
      </c>
      <c r="M364" s="11"/>
    </row>
    <row r="365" customFormat="false" ht="15" hidden="false" customHeight="false" outlineLevel="0" collapsed="false">
      <c r="A365" s="12" t="n">
        <v>46156</v>
      </c>
      <c r="B365" s="13" t="s">
        <v>35</v>
      </c>
      <c r="C365" s="13" t="s">
        <v>130</v>
      </c>
      <c r="D365" s="13" t="s">
        <v>91</v>
      </c>
      <c r="E365" s="13" t="s">
        <v>72</v>
      </c>
      <c r="F365" s="13" t="s">
        <v>39</v>
      </c>
      <c r="G365" s="13" t="n">
        <v>1</v>
      </c>
      <c r="H365" s="13" t="n">
        <v>25</v>
      </c>
      <c r="I365" s="13" t="n">
        <v>8</v>
      </c>
      <c r="J365" s="13" t="s">
        <v>84</v>
      </c>
      <c r="K365" s="13" t="str">
        <f aca="false">IF($J365="Y","",IF($F365="BW",$I365,$H365*$I365))</f>
        <v/>
      </c>
      <c r="L365" s="13" t="str">
        <f aca="false">$D365&amp;"|"&amp;$H365</f>
        <v>Shrugs|25</v>
      </c>
      <c r="M365" s="13"/>
    </row>
    <row r="366" customFormat="false" ht="15" hidden="false" customHeight="false" outlineLevel="0" collapsed="false">
      <c r="A366" s="10" t="n">
        <v>46156</v>
      </c>
      <c r="B366" s="11" t="s">
        <v>35</v>
      </c>
      <c r="C366" s="11" t="s">
        <v>130</v>
      </c>
      <c r="D366" s="11" t="s">
        <v>91</v>
      </c>
      <c r="E366" s="11" t="s">
        <v>72</v>
      </c>
      <c r="F366" s="11" t="s">
        <v>39</v>
      </c>
      <c r="G366" s="11" t="n">
        <v>2</v>
      </c>
      <c r="H366" s="11" t="n">
        <v>50</v>
      </c>
      <c r="I366" s="11" t="n">
        <v>8</v>
      </c>
      <c r="J366" s="11" t="s">
        <v>40</v>
      </c>
      <c r="K366" s="11" t="n">
        <f aca="false">IF($J366="Y","",IF($F366="BW",$I366,$H366*$I366))</f>
        <v>400</v>
      </c>
      <c r="L366" s="11" t="str">
        <f aca="false">$D366&amp;"|"&amp;$H366</f>
        <v>Shrugs|50</v>
      </c>
      <c r="M366" s="11"/>
    </row>
    <row r="367" customFormat="false" ht="15" hidden="false" customHeight="false" outlineLevel="0" collapsed="false">
      <c r="A367" s="10" t="n">
        <v>46156</v>
      </c>
      <c r="B367" s="11" t="s">
        <v>35</v>
      </c>
      <c r="C367" s="11" t="s">
        <v>130</v>
      </c>
      <c r="D367" s="11" t="s">
        <v>91</v>
      </c>
      <c r="E367" s="11" t="s">
        <v>72</v>
      </c>
      <c r="F367" s="11" t="s">
        <v>39</v>
      </c>
      <c r="G367" s="11" t="n">
        <v>3</v>
      </c>
      <c r="H367" s="11" t="n">
        <v>50</v>
      </c>
      <c r="I367" s="11" t="n">
        <v>8</v>
      </c>
      <c r="J367" s="11" t="s">
        <v>40</v>
      </c>
      <c r="K367" s="11" t="n">
        <f aca="false">IF($J367="Y","",IF($F367="BW",$I367,$H367*$I367))</f>
        <v>400</v>
      </c>
      <c r="L367" s="11" t="str">
        <f aca="false">$D367&amp;"|"&amp;$H367</f>
        <v>Shrugs|50</v>
      </c>
      <c r="M367" s="11"/>
    </row>
    <row r="368" customFormat="false" ht="15" hidden="false" customHeight="false" outlineLevel="0" collapsed="false">
      <c r="A368" s="10" t="n">
        <v>46156</v>
      </c>
      <c r="B368" s="11" t="s">
        <v>35</v>
      </c>
      <c r="C368" s="11" t="s">
        <v>130</v>
      </c>
      <c r="D368" s="11" t="s">
        <v>91</v>
      </c>
      <c r="E368" s="11" t="s">
        <v>72</v>
      </c>
      <c r="F368" s="11" t="s">
        <v>39</v>
      </c>
      <c r="G368" s="11" t="n">
        <v>4</v>
      </c>
      <c r="H368" s="11" t="n">
        <v>50</v>
      </c>
      <c r="I368" s="11" t="n">
        <v>8</v>
      </c>
      <c r="J368" s="11" t="s">
        <v>40</v>
      </c>
      <c r="K368" s="11" t="n">
        <f aca="false">IF($J368="Y","",IF($F368="BW",$I368,$H368*$I368))</f>
        <v>400</v>
      </c>
      <c r="L368" s="11" t="str">
        <f aca="false">$D368&amp;"|"&amp;$H368</f>
        <v>Shrugs|50</v>
      </c>
      <c r="M368" s="11"/>
    </row>
    <row r="369" customFormat="false" ht="15" hidden="false" customHeight="false" outlineLevel="0" collapsed="false">
      <c r="A369" s="12" t="n">
        <v>46157</v>
      </c>
      <c r="B369" s="13" t="s">
        <v>82</v>
      </c>
      <c r="C369" s="13" t="s">
        <v>131</v>
      </c>
      <c r="D369" s="13" t="s">
        <v>76</v>
      </c>
      <c r="E369" s="13" t="s">
        <v>72</v>
      </c>
      <c r="F369" s="13" t="s">
        <v>39</v>
      </c>
      <c r="G369" s="13" t="n">
        <v>1</v>
      </c>
      <c r="H369" s="13" t="n">
        <v>15</v>
      </c>
      <c r="I369" s="13" t="n">
        <v>8</v>
      </c>
      <c r="J369" s="13" t="s">
        <v>84</v>
      </c>
      <c r="K369" s="13" t="str">
        <f aca="false">IF($J369="Y","",IF($F369="BW",$I369,$H369*$I369))</f>
        <v/>
      </c>
      <c r="L369" s="13" t="str">
        <f aca="false">$D369&amp;"|"&amp;$H369</f>
        <v>Shoulder Press|15</v>
      </c>
      <c r="M369" s="13"/>
    </row>
    <row r="370" customFormat="false" ht="15" hidden="false" customHeight="false" outlineLevel="0" collapsed="false">
      <c r="A370" s="10" t="n">
        <v>46157</v>
      </c>
      <c r="B370" s="11" t="s">
        <v>82</v>
      </c>
      <c r="C370" s="11" t="s">
        <v>131</v>
      </c>
      <c r="D370" s="11" t="s">
        <v>76</v>
      </c>
      <c r="E370" s="11" t="s">
        <v>72</v>
      </c>
      <c r="F370" s="11" t="s">
        <v>39</v>
      </c>
      <c r="G370" s="11" t="n">
        <v>2</v>
      </c>
      <c r="H370" s="11" t="n">
        <v>30</v>
      </c>
      <c r="I370" s="11" t="n">
        <v>8</v>
      </c>
      <c r="J370" s="11" t="s">
        <v>40</v>
      </c>
      <c r="K370" s="11" t="n">
        <f aca="false">IF($J370="Y","",IF($F370="BW",$I370,$H370*$I370))</f>
        <v>240</v>
      </c>
      <c r="L370" s="11" t="str">
        <f aca="false">$D370&amp;"|"&amp;$H370</f>
        <v>Shoulder Press|30</v>
      </c>
      <c r="M370" s="11"/>
    </row>
    <row r="371" customFormat="false" ht="15" hidden="false" customHeight="false" outlineLevel="0" collapsed="false">
      <c r="A371" s="10" t="n">
        <v>46157</v>
      </c>
      <c r="B371" s="11" t="s">
        <v>82</v>
      </c>
      <c r="C371" s="11" t="s">
        <v>131</v>
      </c>
      <c r="D371" s="11" t="s">
        <v>76</v>
      </c>
      <c r="E371" s="11" t="s">
        <v>72</v>
      </c>
      <c r="F371" s="11" t="s">
        <v>39</v>
      </c>
      <c r="G371" s="11" t="n">
        <v>3</v>
      </c>
      <c r="H371" s="11" t="n">
        <v>35</v>
      </c>
      <c r="I371" s="11" t="n">
        <v>8</v>
      </c>
      <c r="J371" s="11" t="s">
        <v>40</v>
      </c>
      <c r="K371" s="11" t="n">
        <f aca="false">IF($J371="Y","",IF($F371="BW",$I371,$H371*$I371))</f>
        <v>280</v>
      </c>
      <c r="L371" s="11" t="str">
        <f aca="false">$D371&amp;"|"&amp;$H371</f>
        <v>Shoulder Press|35</v>
      </c>
      <c r="M371" s="11"/>
    </row>
    <row r="372" customFormat="false" ht="15" hidden="false" customHeight="false" outlineLevel="0" collapsed="false">
      <c r="A372" s="10" t="n">
        <v>46157</v>
      </c>
      <c r="B372" s="11" t="s">
        <v>82</v>
      </c>
      <c r="C372" s="11" t="s">
        <v>131</v>
      </c>
      <c r="D372" s="11" t="s">
        <v>76</v>
      </c>
      <c r="E372" s="11" t="s">
        <v>72</v>
      </c>
      <c r="F372" s="11" t="s">
        <v>39</v>
      </c>
      <c r="G372" s="11" t="n">
        <v>4</v>
      </c>
      <c r="H372" s="11" t="n">
        <v>35</v>
      </c>
      <c r="I372" s="11" t="n">
        <v>8</v>
      </c>
      <c r="J372" s="11" t="s">
        <v>40</v>
      </c>
      <c r="K372" s="11" t="n">
        <f aca="false">IF($J372="Y","",IF($F372="BW",$I372,$H372*$I372))</f>
        <v>280</v>
      </c>
      <c r="L372" s="11" t="str">
        <f aca="false">$D372&amp;"|"&amp;$H372</f>
        <v>Shoulder Press|35</v>
      </c>
      <c r="M372" s="11"/>
    </row>
    <row r="373" customFormat="false" ht="15" hidden="false" customHeight="false" outlineLevel="0" collapsed="false">
      <c r="A373" s="12" t="n">
        <v>46157</v>
      </c>
      <c r="B373" s="13" t="s">
        <v>82</v>
      </c>
      <c r="C373" s="13" t="s">
        <v>131</v>
      </c>
      <c r="D373" s="13" t="s">
        <v>80</v>
      </c>
      <c r="E373" s="13" t="s">
        <v>72</v>
      </c>
      <c r="F373" s="13" t="s">
        <v>39</v>
      </c>
      <c r="G373" s="13" t="n">
        <v>1</v>
      </c>
      <c r="H373" s="13" t="n">
        <v>20</v>
      </c>
      <c r="I373" s="13" t="n">
        <v>8</v>
      </c>
      <c r="J373" s="13" t="s">
        <v>84</v>
      </c>
      <c r="K373" s="13" t="str">
        <f aca="false">IF($J373="Y","",IF($F373="BW",$I373,$H373*$I373))</f>
        <v/>
      </c>
      <c r="L373" s="13" t="str">
        <f aca="false">$D373&amp;"|"&amp;$H373</f>
        <v>Tricep Ext Overhead|20</v>
      </c>
      <c r="M373" s="13"/>
    </row>
    <row r="374" customFormat="false" ht="15" hidden="false" customHeight="false" outlineLevel="0" collapsed="false">
      <c r="A374" s="10" t="n">
        <v>46157</v>
      </c>
      <c r="B374" s="11" t="s">
        <v>82</v>
      </c>
      <c r="C374" s="11" t="s">
        <v>131</v>
      </c>
      <c r="D374" s="11" t="s">
        <v>80</v>
      </c>
      <c r="E374" s="11" t="s">
        <v>72</v>
      </c>
      <c r="F374" s="11" t="s">
        <v>39</v>
      </c>
      <c r="G374" s="11" t="n">
        <v>2</v>
      </c>
      <c r="H374" s="11" t="n">
        <v>40</v>
      </c>
      <c r="I374" s="11" t="n">
        <v>8</v>
      </c>
      <c r="J374" s="11" t="s">
        <v>40</v>
      </c>
      <c r="K374" s="11" t="n">
        <f aca="false">IF($J374="Y","",IF($F374="BW",$I374,$H374*$I374))</f>
        <v>320</v>
      </c>
      <c r="L374" s="11" t="str">
        <f aca="false">$D374&amp;"|"&amp;$H374</f>
        <v>Tricep Ext Overhead|40</v>
      </c>
      <c r="M374" s="11"/>
    </row>
    <row r="375" customFormat="false" ht="15" hidden="false" customHeight="false" outlineLevel="0" collapsed="false">
      <c r="A375" s="10" t="n">
        <v>46157</v>
      </c>
      <c r="B375" s="11" t="s">
        <v>82</v>
      </c>
      <c r="C375" s="11" t="s">
        <v>131</v>
      </c>
      <c r="D375" s="11" t="s">
        <v>80</v>
      </c>
      <c r="E375" s="11" t="s">
        <v>72</v>
      </c>
      <c r="F375" s="11" t="s">
        <v>39</v>
      </c>
      <c r="G375" s="11" t="n">
        <v>3</v>
      </c>
      <c r="H375" s="11" t="n">
        <v>50</v>
      </c>
      <c r="I375" s="11" t="n">
        <v>8</v>
      </c>
      <c r="J375" s="11" t="s">
        <v>40</v>
      </c>
      <c r="K375" s="11" t="n">
        <f aca="false">IF($J375="Y","",IF($F375="BW",$I375,$H375*$I375))</f>
        <v>400</v>
      </c>
      <c r="L375" s="11" t="str">
        <f aca="false">$D375&amp;"|"&amp;$H375</f>
        <v>Tricep Ext Overhead|50</v>
      </c>
      <c r="M375" s="11"/>
    </row>
    <row r="376" customFormat="false" ht="15" hidden="false" customHeight="false" outlineLevel="0" collapsed="false">
      <c r="A376" s="10" t="n">
        <v>46157</v>
      </c>
      <c r="B376" s="11" t="s">
        <v>82</v>
      </c>
      <c r="C376" s="11" t="s">
        <v>131</v>
      </c>
      <c r="D376" s="11" t="s">
        <v>80</v>
      </c>
      <c r="E376" s="11" t="s">
        <v>72</v>
      </c>
      <c r="F376" s="11" t="s">
        <v>39</v>
      </c>
      <c r="G376" s="11" t="n">
        <v>4</v>
      </c>
      <c r="H376" s="11" t="n">
        <v>50</v>
      </c>
      <c r="I376" s="11" t="n">
        <v>8</v>
      </c>
      <c r="J376" s="11" t="s">
        <v>40</v>
      </c>
      <c r="K376" s="11" t="n">
        <f aca="false">IF($J376="Y","",IF($F376="BW",$I376,$H376*$I376))</f>
        <v>400</v>
      </c>
      <c r="L376" s="11" t="str">
        <f aca="false">$D376&amp;"|"&amp;$H376</f>
        <v>Tricep Ext Overhead|50</v>
      </c>
      <c r="M376" s="11"/>
    </row>
    <row r="377" customFormat="false" ht="15" hidden="false" customHeight="false" outlineLevel="0" collapsed="false">
      <c r="A377" s="10" t="n">
        <v>46157</v>
      </c>
      <c r="B377" s="11" t="s">
        <v>82</v>
      </c>
      <c r="C377" s="11" t="s">
        <v>131</v>
      </c>
      <c r="D377" s="11" t="s">
        <v>132</v>
      </c>
      <c r="E377" s="11" t="s">
        <v>74</v>
      </c>
      <c r="F377" s="11" t="s">
        <v>75</v>
      </c>
      <c r="G377" s="11" t="n">
        <v>1</v>
      </c>
      <c r="H377" s="11" t="n">
        <v>7.5</v>
      </c>
      <c r="I377" s="11" t="n">
        <v>8</v>
      </c>
      <c r="J377" s="11" t="s">
        <v>40</v>
      </c>
      <c r="K377" s="11" t="n">
        <f aca="false">IF($J377="Y","",IF($F377="BW",$I377,$H377*$I377))</f>
        <v>60</v>
      </c>
      <c r="L377" s="11" t="str">
        <f aca="false">$D377&amp;"|"&amp;$H377</f>
        <v>Standing Cable Press|7.5</v>
      </c>
      <c r="M377" s="11" t="s">
        <v>122</v>
      </c>
    </row>
    <row r="378" customFormat="false" ht="15" hidden="false" customHeight="false" outlineLevel="0" collapsed="false">
      <c r="A378" s="12" t="n">
        <v>46159</v>
      </c>
      <c r="B378" s="13" t="s">
        <v>83</v>
      </c>
      <c r="C378" s="13" t="s">
        <v>78</v>
      </c>
      <c r="D378" s="13" t="s">
        <v>73</v>
      </c>
      <c r="E378" s="13" t="s">
        <v>74</v>
      </c>
      <c r="F378" s="13" t="s">
        <v>75</v>
      </c>
      <c r="G378" s="13" t="n">
        <v>1</v>
      </c>
      <c r="H378" s="13" t="n">
        <v>12.5</v>
      </c>
      <c r="I378" s="13" t="n">
        <v>8</v>
      </c>
      <c r="J378" s="13" t="s">
        <v>84</v>
      </c>
      <c r="K378" s="13" t="str">
        <f aca="false">IF($J378="Y","",IF($F378="BW",$I378,$H378*$I378))</f>
        <v/>
      </c>
      <c r="L378" s="13" t="str">
        <f aca="false">$D378&amp;"|"&amp;$H378</f>
        <v>Single Arm Lat Pulldown|12.5</v>
      </c>
      <c r="M378" s="13"/>
    </row>
    <row r="379" customFormat="false" ht="15" hidden="false" customHeight="false" outlineLevel="0" collapsed="false">
      <c r="A379" s="10" t="n">
        <v>46159</v>
      </c>
      <c r="B379" s="11" t="s">
        <v>83</v>
      </c>
      <c r="C379" s="11" t="s">
        <v>78</v>
      </c>
      <c r="D379" s="11" t="s">
        <v>73</v>
      </c>
      <c r="E379" s="11" t="s">
        <v>74</v>
      </c>
      <c r="F379" s="11" t="s">
        <v>75</v>
      </c>
      <c r="G379" s="11" t="n">
        <v>2</v>
      </c>
      <c r="H379" s="11" t="n">
        <v>20</v>
      </c>
      <c r="I379" s="11" t="n">
        <v>8</v>
      </c>
      <c r="J379" s="11" t="s">
        <v>40</v>
      </c>
      <c r="K379" s="11" t="n">
        <f aca="false">IF($J379="Y","",IF($F379="BW",$I379,$H379*$I379))</f>
        <v>160</v>
      </c>
      <c r="L379" s="11" t="str">
        <f aca="false">$D379&amp;"|"&amp;$H379</f>
        <v>Single Arm Lat Pulldown|20</v>
      </c>
      <c r="M379" s="11"/>
    </row>
    <row r="380" customFormat="false" ht="15" hidden="false" customHeight="false" outlineLevel="0" collapsed="false">
      <c r="A380" s="10" t="n">
        <v>46159</v>
      </c>
      <c r="B380" s="11" t="s">
        <v>83</v>
      </c>
      <c r="C380" s="11" t="s">
        <v>78</v>
      </c>
      <c r="D380" s="11" t="s">
        <v>73</v>
      </c>
      <c r="E380" s="11" t="s">
        <v>74</v>
      </c>
      <c r="F380" s="11" t="s">
        <v>75</v>
      </c>
      <c r="G380" s="11" t="n">
        <v>3</v>
      </c>
      <c r="H380" s="11" t="n">
        <v>22.5</v>
      </c>
      <c r="I380" s="11" t="n">
        <v>8</v>
      </c>
      <c r="J380" s="11" t="s">
        <v>40</v>
      </c>
      <c r="K380" s="11" t="n">
        <f aca="false">IF($J380="Y","",IF($F380="BW",$I380,$H380*$I380))</f>
        <v>180</v>
      </c>
      <c r="L380" s="11" t="str">
        <f aca="false">$D380&amp;"|"&amp;$H380</f>
        <v>Single Arm Lat Pulldown|22.5</v>
      </c>
      <c r="M380" s="11"/>
    </row>
    <row r="381" customFormat="false" ht="15" hidden="false" customHeight="false" outlineLevel="0" collapsed="false">
      <c r="A381" s="10" t="n">
        <v>46159</v>
      </c>
      <c r="B381" s="11" t="s">
        <v>83</v>
      </c>
      <c r="C381" s="11" t="s">
        <v>78</v>
      </c>
      <c r="D381" s="11" t="s">
        <v>73</v>
      </c>
      <c r="E381" s="11" t="s">
        <v>74</v>
      </c>
      <c r="F381" s="11" t="s">
        <v>75</v>
      </c>
      <c r="G381" s="11" t="n">
        <v>4</v>
      </c>
      <c r="H381" s="11" t="n">
        <v>22.5</v>
      </c>
      <c r="I381" s="11" t="n">
        <v>8</v>
      </c>
      <c r="J381" s="11" t="s">
        <v>40</v>
      </c>
      <c r="K381" s="11" t="n">
        <f aca="false">IF($J381="Y","",IF($F381="BW",$I381,$H381*$I381))</f>
        <v>180</v>
      </c>
      <c r="L381" s="11" t="str">
        <f aca="false">$D381&amp;"|"&amp;$H381</f>
        <v>Single Arm Lat Pulldown|22.5</v>
      </c>
      <c r="M381" s="11"/>
    </row>
    <row r="382" customFormat="false" ht="15" hidden="false" customHeight="false" outlineLevel="0" collapsed="false">
      <c r="A382" s="12" t="n">
        <v>46159</v>
      </c>
      <c r="B382" s="13" t="s">
        <v>83</v>
      </c>
      <c r="C382" s="13" t="s">
        <v>78</v>
      </c>
      <c r="D382" s="13" t="s">
        <v>88</v>
      </c>
      <c r="E382" s="13" t="s">
        <v>38</v>
      </c>
      <c r="F382" s="13" t="s">
        <v>39</v>
      </c>
      <c r="G382" s="13" t="n">
        <v>1</v>
      </c>
      <c r="H382" s="13" t="n">
        <v>25</v>
      </c>
      <c r="I382" s="13" t="n">
        <v>8</v>
      </c>
      <c r="J382" s="13" t="s">
        <v>84</v>
      </c>
      <c r="K382" s="13" t="str">
        <f aca="false">IF($J382="Y","",IF($F382="BW",$I382,$H382*$I382))</f>
        <v/>
      </c>
      <c r="L382" s="13" t="str">
        <f aca="false">$D382&amp;"|"&amp;$H382</f>
        <v>Smith Rows|25</v>
      </c>
      <c r="M382" s="13"/>
    </row>
    <row r="383" customFormat="false" ht="15" hidden="false" customHeight="false" outlineLevel="0" collapsed="false">
      <c r="A383" s="10" t="n">
        <v>46159</v>
      </c>
      <c r="B383" s="11" t="s">
        <v>83</v>
      </c>
      <c r="C383" s="11" t="s">
        <v>78</v>
      </c>
      <c r="D383" s="11" t="s">
        <v>88</v>
      </c>
      <c r="E383" s="11" t="s">
        <v>38</v>
      </c>
      <c r="F383" s="11" t="s">
        <v>39</v>
      </c>
      <c r="G383" s="11" t="n">
        <v>2</v>
      </c>
      <c r="H383" s="11" t="n">
        <v>50</v>
      </c>
      <c r="I383" s="11" t="n">
        <v>8</v>
      </c>
      <c r="J383" s="11" t="s">
        <v>40</v>
      </c>
      <c r="K383" s="11" t="n">
        <f aca="false">IF($J383="Y","",IF($F383="BW",$I383,$H383*$I383))</f>
        <v>400</v>
      </c>
      <c r="L383" s="11" t="str">
        <f aca="false">$D383&amp;"|"&amp;$H383</f>
        <v>Smith Rows|50</v>
      </c>
      <c r="M383" s="11"/>
    </row>
    <row r="384" customFormat="false" ht="15" hidden="false" customHeight="false" outlineLevel="0" collapsed="false">
      <c r="A384" s="10" t="n">
        <v>46159</v>
      </c>
      <c r="B384" s="11" t="s">
        <v>83</v>
      </c>
      <c r="C384" s="11" t="s">
        <v>78</v>
      </c>
      <c r="D384" s="11" t="s">
        <v>88</v>
      </c>
      <c r="E384" s="11" t="s">
        <v>38</v>
      </c>
      <c r="F384" s="11" t="s">
        <v>39</v>
      </c>
      <c r="G384" s="11" t="n">
        <v>3</v>
      </c>
      <c r="H384" s="11" t="n">
        <v>65</v>
      </c>
      <c r="I384" s="11" t="n">
        <v>8</v>
      </c>
      <c r="J384" s="11" t="s">
        <v>40</v>
      </c>
      <c r="K384" s="11" t="n">
        <f aca="false">IF($J384="Y","",IF($F384="BW",$I384,$H384*$I384))</f>
        <v>520</v>
      </c>
      <c r="L384" s="11" t="str">
        <f aca="false">$D384&amp;"|"&amp;$H384</f>
        <v>Smith Rows|65</v>
      </c>
      <c r="M384" s="11"/>
    </row>
    <row r="385" customFormat="false" ht="15" hidden="false" customHeight="false" outlineLevel="0" collapsed="false">
      <c r="A385" s="10" t="n">
        <v>46159</v>
      </c>
      <c r="B385" s="11" t="s">
        <v>83</v>
      </c>
      <c r="C385" s="11" t="s">
        <v>78</v>
      </c>
      <c r="D385" s="11" t="s">
        <v>88</v>
      </c>
      <c r="E385" s="11" t="s">
        <v>38</v>
      </c>
      <c r="F385" s="11" t="s">
        <v>39</v>
      </c>
      <c r="G385" s="11" t="n">
        <v>4</v>
      </c>
      <c r="H385" s="11" t="n">
        <v>65</v>
      </c>
      <c r="I385" s="11" t="n">
        <v>8</v>
      </c>
      <c r="J385" s="11" t="s">
        <v>40</v>
      </c>
      <c r="K385" s="11" t="n">
        <f aca="false">IF($J385="Y","",IF($F385="BW",$I385,$H385*$I385))</f>
        <v>520</v>
      </c>
      <c r="L385" s="11" t="str">
        <f aca="false">$D385&amp;"|"&amp;$H385</f>
        <v>Smith Rows|65</v>
      </c>
      <c r="M385" s="11"/>
    </row>
    <row r="386" customFormat="false" ht="15" hidden="false" customHeight="false" outlineLevel="0" collapsed="false">
      <c r="A386" s="12" t="n">
        <v>46159</v>
      </c>
      <c r="B386" s="13" t="s">
        <v>83</v>
      </c>
      <c r="C386" s="13" t="s">
        <v>78</v>
      </c>
      <c r="D386" s="13" t="s">
        <v>77</v>
      </c>
      <c r="E386" s="13" t="s">
        <v>72</v>
      </c>
      <c r="F386" s="13" t="s">
        <v>39</v>
      </c>
      <c r="G386" s="13" t="n">
        <v>1</v>
      </c>
      <c r="H386" s="13" t="n">
        <v>20</v>
      </c>
      <c r="I386" s="13" t="n">
        <v>8</v>
      </c>
      <c r="J386" s="13" t="s">
        <v>84</v>
      </c>
      <c r="K386" s="13" t="str">
        <f aca="false">IF($J386="Y","",IF($F386="BW",$I386,$H386*$I386))</f>
        <v/>
      </c>
      <c r="L386" s="13" t="str">
        <f aca="false">$D386&amp;"|"&amp;$H386</f>
        <v>Bicep Curls (DB)|20</v>
      </c>
      <c r="M386" s="13" t="s">
        <v>133</v>
      </c>
    </row>
    <row r="387" customFormat="false" ht="15" hidden="false" customHeight="false" outlineLevel="0" collapsed="false">
      <c r="A387" s="10" t="n">
        <v>46159</v>
      </c>
      <c r="B387" s="11" t="s">
        <v>83</v>
      </c>
      <c r="C387" s="11" t="s">
        <v>78</v>
      </c>
      <c r="D387" s="11" t="s">
        <v>77</v>
      </c>
      <c r="E387" s="11" t="s">
        <v>72</v>
      </c>
      <c r="F387" s="11" t="s">
        <v>39</v>
      </c>
      <c r="G387" s="11" t="n">
        <v>2</v>
      </c>
      <c r="H387" s="11" t="n">
        <v>30</v>
      </c>
      <c r="I387" s="11" t="n">
        <v>8</v>
      </c>
      <c r="J387" s="11" t="s">
        <v>40</v>
      </c>
      <c r="K387" s="11" t="n">
        <f aca="false">IF($J387="Y","",IF($F387="BW",$I387,$H387*$I387))</f>
        <v>240</v>
      </c>
      <c r="L387" s="11" t="str">
        <f aca="false">$D387&amp;"|"&amp;$H387</f>
        <v>Bicep Curls (DB)|30</v>
      </c>
      <c r="M387" s="11" t="s">
        <v>133</v>
      </c>
    </row>
    <row r="388" customFormat="false" ht="15" hidden="false" customHeight="false" outlineLevel="0" collapsed="false">
      <c r="A388" s="10" t="n">
        <v>46159</v>
      </c>
      <c r="B388" s="11" t="s">
        <v>83</v>
      </c>
      <c r="C388" s="11" t="s">
        <v>78</v>
      </c>
      <c r="D388" s="11" t="s">
        <v>77</v>
      </c>
      <c r="E388" s="11" t="s">
        <v>72</v>
      </c>
      <c r="F388" s="11" t="s">
        <v>39</v>
      </c>
      <c r="G388" s="11" t="n">
        <v>3</v>
      </c>
      <c r="H388" s="11" t="n">
        <v>30</v>
      </c>
      <c r="I388" s="11" t="n">
        <v>8</v>
      </c>
      <c r="J388" s="11" t="s">
        <v>40</v>
      </c>
      <c r="K388" s="11" t="n">
        <f aca="false">IF($J388="Y","",IF($F388="BW",$I388,$H388*$I388))</f>
        <v>240</v>
      </c>
      <c r="L388" s="11" t="str">
        <f aca="false">$D388&amp;"|"&amp;$H388</f>
        <v>Bicep Curls (DB)|30</v>
      </c>
      <c r="M388" s="11" t="s">
        <v>133</v>
      </c>
    </row>
    <row r="389" customFormat="false" ht="15" hidden="false" customHeight="false" outlineLevel="0" collapsed="false">
      <c r="A389" s="10" t="n">
        <v>46159</v>
      </c>
      <c r="B389" s="11" t="s">
        <v>83</v>
      </c>
      <c r="C389" s="11" t="s">
        <v>78</v>
      </c>
      <c r="D389" s="11" t="s">
        <v>77</v>
      </c>
      <c r="E389" s="11" t="s">
        <v>72</v>
      </c>
      <c r="F389" s="11" t="s">
        <v>39</v>
      </c>
      <c r="G389" s="11" t="n">
        <v>4</v>
      </c>
      <c r="H389" s="11" t="n">
        <v>30</v>
      </c>
      <c r="I389" s="11" t="n">
        <v>8</v>
      </c>
      <c r="J389" s="11" t="s">
        <v>40</v>
      </c>
      <c r="K389" s="11" t="n">
        <f aca="false">IF($J389="Y","",IF($F389="BW",$I389,$H389*$I389))</f>
        <v>240</v>
      </c>
      <c r="L389" s="11" t="str">
        <f aca="false">$D389&amp;"|"&amp;$H389</f>
        <v>Bicep Curls (DB)|30</v>
      </c>
      <c r="M389" s="11" t="s">
        <v>133</v>
      </c>
    </row>
    <row r="390" customFormat="false" ht="15" hidden="false" customHeight="false" outlineLevel="0" collapsed="false">
      <c r="A390" s="12" t="n">
        <v>46159</v>
      </c>
      <c r="B390" s="13" t="s">
        <v>83</v>
      </c>
      <c r="C390" s="13" t="s">
        <v>78</v>
      </c>
      <c r="D390" s="13" t="s">
        <v>91</v>
      </c>
      <c r="E390" s="13" t="s">
        <v>72</v>
      </c>
      <c r="F390" s="13" t="s">
        <v>39</v>
      </c>
      <c r="G390" s="13" t="n">
        <v>1</v>
      </c>
      <c r="H390" s="13" t="n">
        <v>25</v>
      </c>
      <c r="I390" s="13" t="n">
        <v>8</v>
      </c>
      <c r="J390" s="13" t="s">
        <v>84</v>
      </c>
      <c r="K390" s="13" t="str">
        <f aca="false">IF($J390="Y","",IF($F390="BW",$I390,$H390*$I390))</f>
        <v/>
      </c>
      <c r="L390" s="13" t="str">
        <f aca="false">$D390&amp;"|"&amp;$H390</f>
        <v>Shrugs|25</v>
      </c>
      <c r="M390" s="13"/>
    </row>
    <row r="391" customFormat="false" ht="15" hidden="false" customHeight="false" outlineLevel="0" collapsed="false">
      <c r="A391" s="10" t="n">
        <v>46159</v>
      </c>
      <c r="B391" s="11" t="s">
        <v>83</v>
      </c>
      <c r="C391" s="11" t="s">
        <v>78</v>
      </c>
      <c r="D391" s="11" t="s">
        <v>91</v>
      </c>
      <c r="E391" s="11" t="s">
        <v>72</v>
      </c>
      <c r="F391" s="11" t="s">
        <v>39</v>
      </c>
      <c r="G391" s="11" t="n">
        <v>2</v>
      </c>
      <c r="H391" s="11" t="n">
        <v>50</v>
      </c>
      <c r="I391" s="11" t="n">
        <v>8</v>
      </c>
      <c r="J391" s="11" t="s">
        <v>40</v>
      </c>
      <c r="K391" s="11" t="n">
        <f aca="false">IF($J391="Y","",IF($F391="BW",$I391,$H391*$I391))</f>
        <v>400</v>
      </c>
      <c r="L391" s="11" t="str">
        <f aca="false">$D391&amp;"|"&amp;$H391</f>
        <v>Shrugs|50</v>
      </c>
      <c r="M391" s="11"/>
    </row>
    <row r="392" customFormat="false" ht="15" hidden="false" customHeight="false" outlineLevel="0" collapsed="false">
      <c r="A392" s="10" t="n">
        <v>46159</v>
      </c>
      <c r="B392" s="11" t="s">
        <v>83</v>
      </c>
      <c r="C392" s="11" t="s">
        <v>78</v>
      </c>
      <c r="D392" s="11" t="s">
        <v>91</v>
      </c>
      <c r="E392" s="11" t="s">
        <v>72</v>
      </c>
      <c r="F392" s="11" t="s">
        <v>39</v>
      </c>
      <c r="G392" s="11" t="n">
        <v>3</v>
      </c>
      <c r="H392" s="11" t="n">
        <v>50</v>
      </c>
      <c r="I392" s="11" t="n">
        <v>8</v>
      </c>
      <c r="J392" s="11" t="s">
        <v>40</v>
      </c>
      <c r="K392" s="11" t="n">
        <f aca="false">IF($J392="Y","",IF($F392="BW",$I392,$H392*$I392))</f>
        <v>400</v>
      </c>
      <c r="L392" s="11" t="str">
        <f aca="false">$D392&amp;"|"&amp;$H392</f>
        <v>Shrugs|50</v>
      </c>
      <c r="M392" s="11"/>
    </row>
    <row r="393" customFormat="false" ht="15" hidden="false" customHeight="false" outlineLevel="0" collapsed="false">
      <c r="A393" s="10" t="n">
        <v>46159</v>
      </c>
      <c r="B393" s="11" t="s">
        <v>83</v>
      </c>
      <c r="C393" s="11" t="s">
        <v>78</v>
      </c>
      <c r="D393" s="11" t="s">
        <v>91</v>
      </c>
      <c r="E393" s="11" t="s">
        <v>72</v>
      </c>
      <c r="F393" s="11" t="s">
        <v>39</v>
      </c>
      <c r="G393" s="11" t="n">
        <v>4</v>
      </c>
      <c r="H393" s="11" t="n">
        <v>50</v>
      </c>
      <c r="I393" s="11" t="n">
        <v>8</v>
      </c>
      <c r="J393" s="11" t="s">
        <v>40</v>
      </c>
      <c r="K393" s="11" t="n">
        <f aca="false">IF($J393="Y","",IF($F393="BW",$I393,$H393*$I393))</f>
        <v>400</v>
      </c>
      <c r="L393" s="11" t="str">
        <f aca="false">$D393&amp;"|"&amp;$H393</f>
        <v>Shrugs|50</v>
      </c>
      <c r="M393" s="11"/>
    </row>
    <row r="394" customFormat="false" ht="15" hidden="false" customHeight="false" outlineLevel="0" collapsed="false">
      <c r="A394" s="12" t="n">
        <v>46164</v>
      </c>
      <c r="B394" s="13" t="s">
        <v>82</v>
      </c>
      <c r="C394" s="13" t="s">
        <v>36</v>
      </c>
      <c r="D394" s="13" t="s">
        <v>110</v>
      </c>
      <c r="E394" s="13" t="s">
        <v>38</v>
      </c>
      <c r="F394" s="13" t="s">
        <v>39</v>
      </c>
      <c r="G394" s="13" t="n">
        <v>1</v>
      </c>
      <c r="H394" s="13" t="n">
        <v>25</v>
      </c>
      <c r="I394" s="13" t="n">
        <v>8</v>
      </c>
      <c r="J394" s="13" t="s">
        <v>84</v>
      </c>
      <c r="K394" s="13" t="str">
        <f aca="false">IF($J394="Y","",IF($F394="BW",$I394,$H394*$I394))</f>
        <v/>
      </c>
      <c r="L394" s="13" t="str">
        <f aca="false">$D394&amp;"|"&amp;$H394</f>
        <v>Bench Press (Smith)|25</v>
      </c>
      <c r="M394" s="13"/>
    </row>
    <row r="395" customFormat="false" ht="15" hidden="false" customHeight="false" outlineLevel="0" collapsed="false">
      <c r="A395" s="12" t="n">
        <v>46164</v>
      </c>
      <c r="B395" s="13" t="s">
        <v>82</v>
      </c>
      <c r="C395" s="13" t="s">
        <v>36</v>
      </c>
      <c r="D395" s="13" t="s">
        <v>110</v>
      </c>
      <c r="E395" s="13" t="s">
        <v>38</v>
      </c>
      <c r="F395" s="13" t="s">
        <v>39</v>
      </c>
      <c r="G395" s="13" t="n">
        <v>2</v>
      </c>
      <c r="H395" s="13" t="n">
        <v>50</v>
      </c>
      <c r="I395" s="13" t="n">
        <v>8</v>
      </c>
      <c r="J395" s="13" t="s">
        <v>84</v>
      </c>
      <c r="K395" s="13" t="str">
        <f aca="false">IF($J395="Y","",IF($F395="BW",$I395,$H395*$I395))</f>
        <v/>
      </c>
      <c r="L395" s="13" t="str">
        <f aca="false">$D395&amp;"|"&amp;$H395</f>
        <v>Bench Press (Smith)|50</v>
      </c>
      <c r="M395" s="13"/>
    </row>
    <row r="396" customFormat="false" ht="15" hidden="false" customHeight="false" outlineLevel="0" collapsed="false">
      <c r="A396" s="10" t="n">
        <v>46164</v>
      </c>
      <c r="B396" s="11" t="s">
        <v>82</v>
      </c>
      <c r="C396" s="11" t="s">
        <v>36</v>
      </c>
      <c r="D396" s="11" t="s">
        <v>110</v>
      </c>
      <c r="E396" s="11" t="s">
        <v>38</v>
      </c>
      <c r="F396" s="11" t="s">
        <v>39</v>
      </c>
      <c r="G396" s="11" t="n">
        <v>3</v>
      </c>
      <c r="H396" s="11" t="n">
        <v>70</v>
      </c>
      <c r="I396" s="11" t="n">
        <v>8</v>
      </c>
      <c r="J396" s="11" t="s">
        <v>40</v>
      </c>
      <c r="K396" s="11" t="n">
        <f aca="false">IF($J396="Y","",IF($F396="BW",$I396,$H396*$I396))</f>
        <v>560</v>
      </c>
      <c r="L396" s="11" t="str">
        <f aca="false">$D396&amp;"|"&amp;$H396</f>
        <v>Bench Press (Smith)|70</v>
      </c>
      <c r="M396" s="11"/>
    </row>
    <row r="397" customFormat="false" ht="15" hidden="false" customHeight="false" outlineLevel="0" collapsed="false">
      <c r="A397" s="10" t="n">
        <v>46164</v>
      </c>
      <c r="B397" s="11" t="s">
        <v>82</v>
      </c>
      <c r="C397" s="11" t="s">
        <v>36</v>
      </c>
      <c r="D397" s="11" t="s">
        <v>110</v>
      </c>
      <c r="E397" s="11" t="s">
        <v>38</v>
      </c>
      <c r="F397" s="11" t="s">
        <v>39</v>
      </c>
      <c r="G397" s="11" t="n">
        <v>4</v>
      </c>
      <c r="H397" s="11" t="n">
        <v>95</v>
      </c>
      <c r="I397" s="11" t="n">
        <v>8</v>
      </c>
      <c r="J397" s="11" t="s">
        <v>40</v>
      </c>
      <c r="K397" s="11" t="n">
        <f aca="false">IF($J397="Y","",IF($F397="BW",$I397,$H397*$I397))</f>
        <v>760</v>
      </c>
      <c r="L397" s="11" t="str">
        <f aca="false">$D397&amp;"|"&amp;$H397</f>
        <v>Bench Press (Smith)|95</v>
      </c>
      <c r="M397" s="11"/>
    </row>
    <row r="398" customFormat="false" ht="15" hidden="false" customHeight="false" outlineLevel="0" collapsed="false">
      <c r="A398" s="10" t="n">
        <v>46164</v>
      </c>
      <c r="B398" s="11" t="s">
        <v>82</v>
      </c>
      <c r="C398" s="11" t="s">
        <v>36</v>
      </c>
      <c r="D398" s="11" t="s">
        <v>110</v>
      </c>
      <c r="E398" s="11" t="s">
        <v>38</v>
      </c>
      <c r="F398" s="11" t="s">
        <v>39</v>
      </c>
      <c r="G398" s="11" t="n">
        <v>5</v>
      </c>
      <c r="H398" s="11" t="n">
        <v>95</v>
      </c>
      <c r="I398" s="11" t="n">
        <v>8</v>
      </c>
      <c r="J398" s="11" t="s">
        <v>40</v>
      </c>
      <c r="K398" s="11" t="n">
        <f aca="false">IF($J398="Y","",IF($F398="BW",$I398,$H398*$I398))</f>
        <v>760</v>
      </c>
      <c r="L398" s="11" t="str">
        <f aca="false">$D398&amp;"|"&amp;$H398</f>
        <v>Bench Press (Smith)|95</v>
      </c>
      <c r="M398" s="11"/>
    </row>
    <row r="399" customFormat="false" ht="15" hidden="false" customHeight="false" outlineLevel="0" collapsed="false">
      <c r="A399" s="10" t="n">
        <v>46164</v>
      </c>
      <c r="B399" s="11" t="s">
        <v>82</v>
      </c>
      <c r="C399" s="11" t="s">
        <v>36</v>
      </c>
      <c r="D399" s="11" t="s">
        <v>134</v>
      </c>
      <c r="E399" s="11" t="s">
        <v>74</v>
      </c>
      <c r="F399" s="11" t="s">
        <v>75</v>
      </c>
      <c r="G399" s="11" t="n">
        <v>1</v>
      </c>
      <c r="H399" s="11" t="n">
        <v>15</v>
      </c>
      <c r="I399" s="11" t="n">
        <v>8</v>
      </c>
      <c r="J399" s="11" t="s">
        <v>40</v>
      </c>
      <c r="K399" s="11" t="n">
        <f aca="false">IF($J399="Y","",IF($F399="BW",$I399,$H399*$I399))</f>
        <v>120</v>
      </c>
      <c r="L399" s="11" t="str">
        <f aca="false">$D399&amp;"|"&amp;$H399</f>
        <v>Tricep Pulldown|15</v>
      </c>
      <c r="M399" s="11" t="s">
        <v>135</v>
      </c>
    </row>
    <row r="400" customFormat="false" ht="15" hidden="false" customHeight="false" outlineLevel="0" collapsed="false">
      <c r="A400" s="10" t="n">
        <v>46164</v>
      </c>
      <c r="B400" s="11" t="s">
        <v>82</v>
      </c>
      <c r="C400" s="11" t="s">
        <v>36</v>
      </c>
      <c r="D400" s="11" t="s">
        <v>134</v>
      </c>
      <c r="E400" s="11" t="s">
        <v>74</v>
      </c>
      <c r="F400" s="11" t="s">
        <v>75</v>
      </c>
      <c r="G400" s="11" t="n">
        <v>2</v>
      </c>
      <c r="H400" s="11" t="n">
        <v>20</v>
      </c>
      <c r="I400" s="11" t="n">
        <v>8</v>
      </c>
      <c r="J400" s="11" t="s">
        <v>40</v>
      </c>
      <c r="K400" s="11" t="n">
        <f aca="false">IF($J400="Y","",IF($F400="BW",$I400,$H400*$I400))</f>
        <v>160</v>
      </c>
      <c r="L400" s="11" t="str">
        <f aca="false">$D400&amp;"|"&amp;$H400</f>
        <v>Tricep Pulldown|20</v>
      </c>
      <c r="M400" s="11" t="s">
        <v>135</v>
      </c>
    </row>
    <row r="401" customFormat="false" ht="15" hidden="false" customHeight="false" outlineLevel="0" collapsed="false">
      <c r="A401" s="10" t="n">
        <v>46164</v>
      </c>
      <c r="B401" s="11" t="s">
        <v>82</v>
      </c>
      <c r="C401" s="11" t="s">
        <v>36</v>
      </c>
      <c r="D401" s="11" t="s">
        <v>134</v>
      </c>
      <c r="E401" s="11" t="s">
        <v>74</v>
      </c>
      <c r="F401" s="11" t="s">
        <v>75</v>
      </c>
      <c r="G401" s="11" t="n">
        <v>3</v>
      </c>
      <c r="H401" s="11" t="n">
        <v>22.5</v>
      </c>
      <c r="I401" s="11" t="n">
        <v>8</v>
      </c>
      <c r="J401" s="11" t="s">
        <v>40</v>
      </c>
      <c r="K401" s="11" t="n">
        <f aca="false">IF($J401="Y","",IF($F401="BW",$I401,$H401*$I401))</f>
        <v>180</v>
      </c>
      <c r="L401" s="11" t="str">
        <f aca="false">$D401&amp;"|"&amp;$H401</f>
        <v>Tricep Pulldown|22.5</v>
      </c>
      <c r="M401" s="11" t="s">
        <v>135</v>
      </c>
    </row>
    <row r="402" customFormat="false" ht="15" hidden="false" customHeight="false" outlineLevel="0" collapsed="false">
      <c r="A402" s="12" t="n">
        <v>46164</v>
      </c>
      <c r="B402" s="13" t="s">
        <v>82</v>
      </c>
      <c r="C402" s="13" t="s">
        <v>36</v>
      </c>
      <c r="D402" s="13" t="s">
        <v>76</v>
      </c>
      <c r="E402" s="13" t="s">
        <v>72</v>
      </c>
      <c r="F402" s="13" t="s">
        <v>39</v>
      </c>
      <c r="G402" s="13" t="n">
        <v>1</v>
      </c>
      <c r="H402" s="13" t="n">
        <v>15</v>
      </c>
      <c r="I402" s="13" t="n">
        <v>8</v>
      </c>
      <c r="J402" s="13" t="s">
        <v>84</v>
      </c>
      <c r="K402" s="13" t="str">
        <f aca="false">IF($J402="Y","",IF($F402="BW",$I402,$H402*$I402))</f>
        <v/>
      </c>
      <c r="L402" s="13" t="str">
        <f aca="false">$D402&amp;"|"&amp;$H402</f>
        <v>Shoulder Press|15</v>
      </c>
      <c r="M402" s="13"/>
    </row>
    <row r="403" customFormat="false" ht="15" hidden="false" customHeight="false" outlineLevel="0" collapsed="false">
      <c r="A403" s="10" t="n">
        <v>46164</v>
      </c>
      <c r="B403" s="11" t="s">
        <v>82</v>
      </c>
      <c r="C403" s="11" t="s">
        <v>36</v>
      </c>
      <c r="D403" s="11" t="s">
        <v>76</v>
      </c>
      <c r="E403" s="11" t="s">
        <v>72</v>
      </c>
      <c r="F403" s="11" t="s">
        <v>39</v>
      </c>
      <c r="G403" s="11" t="n">
        <v>2</v>
      </c>
      <c r="H403" s="11" t="n">
        <v>30</v>
      </c>
      <c r="I403" s="11" t="n">
        <v>8</v>
      </c>
      <c r="J403" s="11" t="s">
        <v>40</v>
      </c>
      <c r="K403" s="11" t="n">
        <f aca="false">IF($J403="Y","",IF($F403="BW",$I403,$H403*$I403))</f>
        <v>240</v>
      </c>
      <c r="L403" s="11" t="str">
        <f aca="false">$D403&amp;"|"&amp;$H403</f>
        <v>Shoulder Press|30</v>
      </c>
      <c r="M403" s="11"/>
    </row>
    <row r="404" customFormat="false" ht="15" hidden="false" customHeight="false" outlineLevel="0" collapsed="false">
      <c r="A404" s="10" t="n">
        <v>46164</v>
      </c>
      <c r="B404" s="11" t="s">
        <v>82</v>
      </c>
      <c r="C404" s="11" t="s">
        <v>36</v>
      </c>
      <c r="D404" s="11" t="s">
        <v>76</v>
      </c>
      <c r="E404" s="11" t="s">
        <v>72</v>
      </c>
      <c r="F404" s="11" t="s">
        <v>39</v>
      </c>
      <c r="G404" s="11" t="n">
        <v>3</v>
      </c>
      <c r="H404" s="11" t="n">
        <v>30</v>
      </c>
      <c r="I404" s="11" t="n">
        <v>8</v>
      </c>
      <c r="J404" s="11" t="s">
        <v>40</v>
      </c>
      <c r="K404" s="11" t="n">
        <f aca="false">IF($J404="Y","",IF($F404="BW",$I404,$H404*$I404))</f>
        <v>240</v>
      </c>
      <c r="L404" s="11" t="str">
        <f aca="false">$D404&amp;"|"&amp;$H404</f>
        <v>Shoulder Press|30</v>
      </c>
      <c r="M404" s="11"/>
    </row>
    <row r="405" customFormat="false" ht="15" hidden="false" customHeight="false" outlineLevel="0" collapsed="false">
      <c r="A405" s="10" t="n">
        <v>46164</v>
      </c>
      <c r="B405" s="11" t="s">
        <v>82</v>
      </c>
      <c r="C405" s="11" t="s">
        <v>36</v>
      </c>
      <c r="D405" s="11" t="s">
        <v>76</v>
      </c>
      <c r="E405" s="11" t="s">
        <v>72</v>
      </c>
      <c r="F405" s="11" t="s">
        <v>39</v>
      </c>
      <c r="G405" s="11" t="n">
        <v>4</v>
      </c>
      <c r="H405" s="11" t="n">
        <v>30</v>
      </c>
      <c r="I405" s="11" t="n">
        <v>8</v>
      </c>
      <c r="J405" s="11" t="s">
        <v>40</v>
      </c>
      <c r="K405" s="11" t="n">
        <f aca="false">IF($J405="Y","",IF($F405="BW",$I405,$H405*$I405))</f>
        <v>240</v>
      </c>
      <c r="L405" s="11" t="str">
        <f aca="false">$D405&amp;"|"&amp;$H405</f>
        <v>Shoulder Press|30</v>
      </c>
      <c r="M405" s="11"/>
    </row>
    <row r="406" customFormat="false" ht="15" hidden="false" customHeight="false" outlineLevel="0" collapsed="false">
      <c r="A406" s="12" t="n">
        <v>46165</v>
      </c>
      <c r="B406" s="13" t="s">
        <v>60</v>
      </c>
      <c r="C406" s="13" t="s">
        <v>78</v>
      </c>
      <c r="D406" s="13" t="s">
        <v>73</v>
      </c>
      <c r="E406" s="13" t="s">
        <v>74</v>
      </c>
      <c r="F406" s="13" t="s">
        <v>75</v>
      </c>
      <c r="G406" s="13" t="n">
        <v>1</v>
      </c>
      <c r="H406" s="13" t="n">
        <v>12.5</v>
      </c>
      <c r="I406" s="13" t="n">
        <v>8</v>
      </c>
      <c r="J406" s="13" t="s">
        <v>84</v>
      </c>
      <c r="K406" s="13" t="str">
        <f aca="false">IF($J406="Y","",IF($F406="BW",$I406,$H406*$I406))</f>
        <v/>
      </c>
      <c r="L406" s="13" t="str">
        <f aca="false">$D406&amp;"|"&amp;$H406</f>
        <v>Single Arm Lat Pulldown|12.5</v>
      </c>
      <c r="M406" s="13"/>
    </row>
    <row r="407" customFormat="false" ht="15" hidden="false" customHeight="false" outlineLevel="0" collapsed="false">
      <c r="A407" s="10" t="n">
        <v>46165</v>
      </c>
      <c r="B407" s="11" t="s">
        <v>60</v>
      </c>
      <c r="C407" s="11" t="s">
        <v>78</v>
      </c>
      <c r="D407" s="11" t="s">
        <v>73</v>
      </c>
      <c r="E407" s="11" t="s">
        <v>74</v>
      </c>
      <c r="F407" s="11" t="s">
        <v>75</v>
      </c>
      <c r="G407" s="11" t="n">
        <v>2</v>
      </c>
      <c r="H407" s="11" t="n">
        <v>20</v>
      </c>
      <c r="I407" s="11" t="n">
        <v>8</v>
      </c>
      <c r="J407" s="11" t="s">
        <v>40</v>
      </c>
      <c r="K407" s="11" t="n">
        <f aca="false">IF($J407="Y","",IF($F407="BW",$I407,$H407*$I407))</f>
        <v>160</v>
      </c>
      <c r="L407" s="11" t="str">
        <f aca="false">$D407&amp;"|"&amp;$H407</f>
        <v>Single Arm Lat Pulldown|20</v>
      </c>
      <c r="M407" s="11"/>
    </row>
    <row r="408" customFormat="false" ht="15" hidden="false" customHeight="false" outlineLevel="0" collapsed="false">
      <c r="A408" s="10" t="n">
        <v>46165</v>
      </c>
      <c r="B408" s="11" t="s">
        <v>60</v>
      </c>
      <c r="C408" s="11" t="s">
        <v>78</v>
      </c>
      <c r="D408" s="11" t="s">
        <v>73</v>
      </c>
      <c r="E408" s="11" t="s">
        <v>74</v>
      </c>
      <c r="F408" s="11" t="s">
        <v>75</v>
      </c>
      <c r="G408" s="11" t="n">
        <v>3</v>
      </c>
      <c r="H408" s="11" t="n">
        <v>22.5</v>
      </c>
      <c r="I408" s="11" t="n">
        <v>8</v>
      </c>
      <c r="J408" s="11" t="s">
        <v>40</v>
      </c>
      <c r="K408" s="11" t="n">
        <f aca="false">IF($J408="Y","",IF($F408="BW",$I408,$H408*$I408))</f>
        <v>180</v>
      </c>
      <c r="L408" s="11" t="str">
        <f aca="false">$D408&amp;"|"&amp;$H408</f>
        <v>Single Arm Lat Pulldown|22.5</v>
      </c>
      <c r="M408" s="11"/>
    </row>
    <row r="409" customFormat="false" ht="15" hidden="false" customHeight="false" outlineLevel="0" collapsed="false">
      <c r="A409" s="10" t="n">
        <v>46165</v>
      </c>
      <c r="B409" s="11" t="s">
        <v>60</v>
      </c>
      <c r="C409" s="11" t="s">
        <v>78</v>
      </c>
      <c r="D409" s="11" t="s">
        <v>73</v>
      </c>
      <c r="E409" s="11" t="s">
        <v>74</v>
      </c>
      <c r="F409" s="11" t="s">
        <v>75</v>
      </c>
      <c r="G409" s="11" t="n">
        <v>4</v>
      </c>
      <c r="H409" s="11" t="n">
        <v>22.5</v>
      </c>
      <c r="I409" s="11" t="n">
        <v>8</v>
      </c>
      <c r="J409" s="11" t="s">
        <v>40</v>
      </c>
      <c r="K409" s="11" t="n">
        <f aca="false">IF($J409="Y","",IF($F409="BW",$I409,$H409*$I409))</f>
        <v>180</v>
      </c>
      <c r="L409" s="11" t="str">
        <f aca="false">$D409&amp;"|"&amp;$H409</f>
        <v>Single Arm Lat Pulldown|22.5</v>
      </c>
      <c r="M409" s="11"/>
    </row>
    <row r="410" customFormat="false" ht="15" hidden="false" customHeight="false" outlineLevel="0" collapsed="false">
      <c r="A410" s="10" t="n">
        <v>46165</v>
      </c>
      <c r="B410" s="11" t="s">
        <v>60</v>
      </c>
      <c r="C410" s="11" t="s">
        <v>78</v>
      </c>
      <c r="D410" s="11" t="s">
        <v>136</v>
      </c>
      <c r="E410" s="11" t="s">
        <v>74</v>
      </c>
      <c r="F410" s="11" t="s">
        <v>75</v>
      </c>
      <c r="G410" s="11" t="n">
        <v>1</v>
      </c>
      <c r="H410" s="11" t="n">
        <v>2.5</v>
      </c>
      <c r="I410" s="11" t="n">
        <v>8</v>
      </c>
      <c r="J410" s="11" t="s">
        <v>40</v>
      </c>
      <c r="K410" s="11" t="n">
        <f aca="false">IF($J410="Y","",IF($F410="BW",$I410,$H410*$I410))</f>
        <v>20</v>
      </c>
      <c r="L410" s="11" t="str">
        <f aca="false">$D410&amp;"|"&amp;$H410</f>
        <v>Straight Arm Pulldown|2.5</v>
      </c>
      <c r="M410" s="11" t="s">
        <v>122</v>
      </c>
    </row>
    <row r="411" customFormat="false" ht="15" hidden="false" customHeight="false" outlineLevel="0" collapsed="false">
      <c r="A411" s="10" t="n">
        <v>46165</v>
      </c>
      <c r="B411" s="11" t="s">
        <v>60</v>
      </c>
      <c r="C411" s="11" t="s">
        <v>78</v>
      </c>
      <c r="D411" s="11" t="s">
        <v>136</v>
      </c>
      <c r="E411" s="11" t="s">
        <v>74</v>
      </c>
      <c r="F411" s="11" t="s">
        <v>75</v>
      </c>
      <c r="G411" s="11" t="n">
        <v>2</v>
      </c>
      <c r="H411" s="11" t="n">
        <v>5</v>
      </c>
      <c r="I411" s="11" t="n">
        <v>8</v>
      </c>
      <c r="J411" s="11" t="s">
        <v>40</v>
      </c>
      <c r="K411" s="11" t="n">
        <f aca="false">IF($J411="Y","",IF($F411="BW",$I411,$H411*$I411))</f>
        <v>40</v>
      </c>
      <c r="L411" s="11" t="str">
        <f aca="false">$D411&amp;"|"&amp;$H411</f>
        <v>Straight Arm Pulldown|5</v>
      </c>
      <c r="M411" s="11" t="s">
        <v>122</v>
      </c>
    </row>
    <row r="412" customFormat="false" ht="15" hidden="false" customHeight="false" outlineLevel="0" collapsed="false">
      <c r="A412" s="10" t="n">
        <v>46165</v>
      </c>
      <c r="B412" s="11" t="s">
        <v>60</v>
      </c>
      <c r="C412" s="11" t="s">
        <v>78</v>
      </c>
      <c r="D412" s="11" t="s">
        <v>136</v>
      </c>
      <c r="E412" s="11" t="s">
        <v>74</v>
      </c>
      <c r="F412" s="11" t="s">
        <v>75</v>
      </c>
      <c r="G412" s="11" t="n">
        <v>3</v>
      </c>
      <c r="H412" s="11" t="n">
        <v>5</v>
      </c>
      <c r="I412" s="11" t="n">
        <v>8</v>
      </c>
      <c r="J412" s="11" t="s">
        <v>40</v>
      </c>
      <c r="K412" s="11" t="n">
        <f aca="false">IF($J412="Y","",IF($F412="BW",$I412,$H412*$I412))</f>
        <v>40</v>
      </c>
      <c r="L412" s="11" t="str">
        <f aca="false">$D412&amp;"|"&amp;$H412</f>
        <v>Straight Arm Pulldown|5</v>
      </c>
      <c r="M412" s="11" t="s">
        <v>122</v>
      </c>
    </row>
    <row r="413" customFormat="false" ht="15" hidden="false" customHeight="false" outlineLevel="0" collapsed="false">
      <c r="A413" s="10" t="n">
        <v>46165</v>
      </c>
      <c r="B413" s="11" t="s">
        <v>60</v>
      </c>
      <c r="C413" s="11" t="s">
        <v>78</v>
      </c>
      <c r="D413" s="11" t="s">
        <v>136</v>
      </c>
      <c r="E413" s="11" t="s">
        <v>74</v>
      </c>
      <c r="F413" s="11" t="s">
        <v>75</v>
      </c>
      <c r="G413" s="11" t="n">
        <v>4</v>
      </c>
      <c r="H413" s="11" t="n">
        <v>7.5</v>
      </c>
      <c r="I413" s="11" t="n">
        <v>8</v>
      </c>
      <c r="J413" s="11" t="s">
        <v>40</v>
      </c>
      <c r="K413" s="11" t="n">
        <f aca="false">IF($J413="Y","",IF($F413="BW",$I413,$H413*$I413))</f>
        <v>60</v>
      </c>
      <c r="L413" s="11" t="str">
        <f aca="false">$D413&amp;"|"&amp;$H413</f>
        <v>Straight Arm Pulldown|7.5</v>
      </c>
      <c r="M413" s="11" t="s">
        <v>122</v>
      </c>
    </row>
    <row r="414" customFormat="false" ht="15" hidden="false" customHeight="false" outlineLevel="0" collapsed="false">
      <c r="A414" s="12" t="n">
        <v>46165</v>
      </c>
      <c r="B414" s="13" t="s">
        <v>60</v>
      </c>
      <c r="C414" s="13" t="s">
        <v>78</v>
      </c>
      <c r="D414" s="13" t="s">
        <v>77</v>
      </c>
      <c r="E414" s="13" t="s">
        <v>72</v>
      </c>
      <c r="F414" s="13" t="s">
        <v>39</v>
      </c>
      <c r="G414" s="13" t="n">
        <v>1</v>
      </c>
      <c r="H414" s="13" t="n">
        <v>20</v>
      </c>
      <c r="I414" s="13" t="n">
        <v>8</v>
      </c>
      <c r="J414" s="13" t="s">
        <v>84</v>
      </c>
      <c r="K414" s="13" t="str">
        <f aca="false">IF($J414="Y","",IF($F414="BW",$I414,$H414*$I414))</f>
        <v/>
      </c>
      <c r="L414" s="13" t="str">
        <f aca="false">$D414&amp;"|"&amp;$H414</f>
        <v>Bicep Curls (DB)|20</v>
      </c>
      <c r="M414" s="13"/>
    </row>
    <row r="415" customFormat="false" ht="15" hidden="false" customHeight="false" outlineLevel="0" collapsed="false">
      <c r="A415" s="10" t="n">
        <v>46165</v>
      </c>
      <c r="B415" s="11" t="s">
        <v>60</v>
      </c>
      <c r="C415" s="11" t="s">
        <v>78</v>
      </c>
      <c r="D415" s="11" t="s">
        <v>77</v>
      </c>
      <c r="E415" s="11" t="s">
        <v>72</v>
      </c>
      <c r="F415" s="11" t="s">
        <v>39</v>
      </c>
      <c r="G415" s="11" t="n">
        <v>2</v>
      </c>
      <c r="H415" s="11" t="n">
        <v>30</v>
      </c>
      <c r="I415" s="11" t="n">
        <v>6</v>
      </c>
      <c r="J415" s="11" t="s">
        <v>40</v>
      </c>
      <c r="K415" s="11" t="n">
        <f aca="false">IF($J415="Y","",IF($F415="BW",$I415,$H415*$I415))</f>
        <v>180</v>
      </c>
      <c r="L415" s="11" t="str">
        <f aca="false">$D415&amp;"|"&amp;$H415</f>
        <v>Bicep Curls (DB)|30</v>
      </c>
      <c r="M415" s="11"/>
    </row>
    <row r="416" customFormat="false" ht="15" hidden="false" customHeight="false" outlineLevel="0" collapsed="false">
      <c r="A416" s="10" t="n">
        <v>46165</v>
      </c>
      <c r="B416" s="11" t="s">
        <v>60</v>
      </c>
      <c r="C416" s="11" t="s">
        <v>78</v>
      </c>
      <c r="D416" s="11" t="s">
        <v>77</v>
      </c>
      <c r="E416" s="11" t="s">
        <v>72</v>
      </c>
      <c r="F416" s="11" t="s">
        <v>39</v>
      </c>
      <c r="G416" s="11" t="n">
        <v>3</v>
      </c>
      <c r="H416" s="11" t="n">
        <v>25</v>
      </c>
      <c r="I416" s="11" t="n">
        <v>8</v>
      </c>
      <c r="J416" s="11" t="s">
        <v>40</v>
      </c>
      <c r="K416" s="11" t="n">
        <f aca="false">IF($J416="Y","",IF($F416="BW",$I416,$H416*$I416))</f>
        <v>200</v>
      </c>
      <c r="L416" s="11" t="str">
        <f aca="false">$D416&amp;"|"&amp;$H416</f>
        <v>Bicep Curls (DB)|25</v>
      </c>
      <c r="M416" s="11"/>
    </row>
    <row r="417" customFormat="false" ht="15" hidden="false" customHeight="false" outlineLevel="0" collapsed="false">
      <c r="A417" s="12" t="n">
        <v>46165</v>
      </c>
      <c r="B417" s="13" t="s">
        <v>60</v>
      </c>
      <c r="C417" s="13" t="s">
        <v>78</v>
      </c>
      <c r="D417" s="13" t="s">
        <v>91</v>
      </c>
      <c r="E417" s="13" t="s">
        <v>72</v>
      </c>
      <c r="F417" s="13" t="s">
        <v>39</v>
      </c>
      <c r="G417" s="13" t="n">
        <v>1</v>
      </c>
      <c r="H417" s="13" t="n">
        <v>25</v>
      </c>
      <c r="I417" s="13" t="n">
        <v>8</v>
      </c>
      <c r="J417" s="13" t="s">
        <v>84</v>
      </c>
      <c r="K417" s="13" t="str">
        <f aca="false">IF($J417="Y","",IF($F417="BW",$I417,$H417*$I417))</f>
        <v/>
      </c>
      <c r="L417" s="13" t="str">
        <f aca="false">$D417&amp;"|"&amp;$H417</f>
        <v>Shrugs|25</v>
      </c>
      <c r="M417" s="13"/>
    </row>
    <row r="418" customFormat="false" ht="15" hidden="false" customHeight="false" outlineLevel="0" collapsed="false">
      <c r="A418" s="10" t="n">
        <v>46165</v>
      </c>
      <c r="B418" s="11" t="s">
        <v>60</v>
      </c>
      <c r="C418" s="11" t="s">
        <v>78</v>
      </c>
      <c r="D418" s="11" t="s">
        <v>91</v>
      </c>
      <c r="E418" s="11" t="s">
        <v>72</v>
      </c>
      <c r="F418" s="11" t="s">
        <v>39</v>
      </c>
      <c r="G418" s="11" t="n">
        <v>2</v>
      </c>
      <c r="H418" s="11" t="n">
        <v>50</v>
      </c>
      <c r="I418" s="11" t="n">
        <v>8</v>
      </c>
      <c r="J418" s="11" t="s">
        <v>40</v>
      </c>
      <c r="K418" s="11" t="n">
        <f aca="false">IF($J418="Y","",IF($F418="BW",$I418,$H418*$I418))</f>
        <v>400</v>
      </c>
      <c r="L418" s="11" t="str">
        <f aca="false">$D418&amp;"|"&amp;$H418</f>
        <v>Shrugs|50</v>
      </c>
      <c r="M418" s="11"/>
    </row>
    <row r="419" customFormat="false" ht="15" hidden="false" customHeight="false" outlineLevel="0" collapsed="false">
      <c r="A419" s="10" t="n">
        <v>46165</v>
      </c>
      <c r="B419" s="11" t="s">
        <v>60</v>
      </c>
      <c r="C419" s="11" t="s">
        <v>78</v>
      </c>
      <c r="D419" s="11" t="s">
        <v>91</v>
      </c>
      <c r="E419" s="11" t="s">
        <v>72</v>
      </c>
      <c r="F419" s="11" t="s">
        <v>39</v>
      </c>
      <c r="G419" s="11" t="n">
        <v>3</v>
      </c>
      <c r="H419" s="11" t="n">
        <v>50</v>
      </c>
      <c r="I419" s="11" t="n">
        <v>8</v>
      </c>
      <c r="J419" s="11" t="s">
        <v>40</v>
      </c>
      <c r="K419" s="11" t="n">
        <f aca="false">IF($J419="Y","",IF($F419="BW",$I419,$H419*$I419))</f>
        <v>400</v>
      </c>
      <c r="L419" s="11" t="str">
        <f aca="false">$D419&amp;"|"&amp;$H419</f>
        <v>Shrugs|50</v>
      </c>
      <c r="M419" s="11"/>
    </row>
    <row r="420" customFormat="false" ht="15" hidden="false" customHeight="false" outlineLevel="0" collapsed="false">
      <c r="A420" s="10" t="n">
        <v>46165</v>
      </c>
      <c r="B420" s="11" t="s">
        <v>60</v>
      </c>
      <c r="C420" s="11" t="s">
        <v>78</v>
      </c>
      <c r="D420" s="11" t="s">
        <v>91</v>
      </c>
      <c r="E420" s="11" t="s">
        <v>72</v>
      </c>
      <c r="F420" s="11" t="s">
        <v>39</v>
      </c>
      <c r="G420" s="11" t="n">
        <v>4</v>
      </c>
      <c r="H420" s="11" t="n">
        <v>50</v>
      </c>
      <c r="I420" s="11" t="n">
        <v>8</v>
      </c>
      <c r="J420" s="11" t="s">
        <v>40</v>
      </c>
      <c r="K420" s="11" t="n">
        <f aca="false">IF($J420="Y","",IF($F420="BW",$I420,$H420*$I420))</f>
        <v>400</v>
      </c>
      <c r="L420" s="11" t="str">
        <f aca="false">$D420&amp;"|"&amp;$H420</f>
        <v>Shrugs|50</v>
      </c>
      <c r="M420" s="11"/>
    </row>
    <row r="421" customFormat="false" ht="15" hidden="false" customHeight="false" outlineLevel="0" collapsed="false">
      <c r="A421" s="12" t="n">
        <v>46172</v>
      </c>
      <c r="B421" s="13" t="s">
        <v>60</v>
      </c>
      <c r="C421" s="13" t="s">
        <v>131</v>
      </c>
      <c r="D421" s="13" t="s">
        <v>134</v>
      </c>
      <c r="E421" s="13" t="s">
        <v>74</v>
      </c>
      <c r="F421" s="13" t="s">
        <v>75</v>
      </c>
      <c r="G421" s="13" t="n">
        <v>1</v>
      </c>
      <c r="H421" s="13" t="n">
        <v>12.5</v>
      </c>
      <c r="I421" s="13" t="n">
        <v>8</v>
      </c>
      <c r="J421" s="13" t="s">
        <v>84</v>
      </c>
      <c r="K421" s="13" t="str">
        <f aca="false">IF($J421="Y","",IF($F421="BW",$I421,$H421*$I421))</f>
        <v/>
      </c>
      <c r="L421" s="13" t="str">
        <f aca="false">$D421&amp;"|"&amp;$H421</f>
        <v>Tricep Pulldown|12.5</v>
      </c>
      <c r="M421" s="13"/>
    </row>
    <row r="422" customFormat="false" ht="15" hidden="false" customHeight="false" outlineLevel="0" collapsed="false">
      <c r="A422" s="10" t="n">
        <v>46172</v>
      </c>
      <c r="B422" s="11" t="s">
        <v>60</v>
      </c>
      <c r="C422" s="11" t="s">
        <v>131</v>
      </c>
      <c r="D422" s="11" t="s">
        <v>134</v>
      </c>
      <c r="E422" s="11" t="s">
        <v>74</v>
      </c>
      <c r="F422" s="11" t="s">
        <v>75</v>
      </c>
      <c r="G422" s="11" t="n">
        <v>2</v>
      </c>
      <c r="H422" s="11" t="n">
        <v>20</v>
      </c>
      <c r="I422" s="11" t="n">
        <v>8</v>
      </c>
      <c r="J422" s="11" t="s">
        <v>40</v>
      </c>
      <c r="K422" s="11" t="n">
        <f aca="false">IF($J422="Y","",IF($F422="BW",$I422,$H422*$I422))</f>
        <v>160</v>
      </c>
      <c r="L422" s="11" t="str">
        <f aca="false">$D422&amp;"|"&amp;$H422</f>
        <v>Tricep Pulldown|20</v>
      </c>
      <c r="M422" s="11"/>
    </row>
    <row r="423" customFormat="false" ht="15" hidden="false" customHeight="false" outlineLevel="0" collapsed="false">
      <c r="A423" s="10" t="n">
        <v>46172</v>
      </c>
      <c r="B423" s="11" t="s">
        <v>60</v>
      </c>
      <c r="C423" s="11" t="s">
        <v>131</v>
      </c>
      <c r="D423" s="11" t="s">
        <v>134</v>
      </c>
      <c r="E423" s="11" t="s">
        <v>74</v>
      </c>
      <c r="F423" s="11" t="s">
        <v>75</v>
      </c>
      <c r="G423" s="11" t="n">
        <v>3</v>
      </c>
      <c r="H423" s="11" t="n">
        <v>22.5</v>
      </c>
      <c r="I423" s="11" t="n">
        <v>8</v>
      </c>
      <c r="J423" s="11" t="s">
        <v>40</v>
      </c>
      <c r="K423" s="11" t="n">
        <f aca="false">IF($J423="Y","",IF($F423="BW",$I423,$H423*$I423))</f>
        <v>180</v>
      </c>
      <c r="L423" s="11" t="str">
        <f aca="false">$D423&amp;"|"&amp;$H423</f>
        <v>Tricep Pulldown|22.5</v>
      </c>
      <c r="M423" s="11"/>
    </row>
    <row r="424" customFormat="false" ht="15" hidden="false" customHeight="false" outlineLevel="0" collapsed="false">
      <c r="A424" s="10" t="n">
        <v>46172</v>
      </c>
      <c r="B424" s="11" t="s">
        <v>60</v>
      </c>
      <c r="C424" s="11" t="s">
        <v>131</v>
      </c>
      <c r="D424" s="11" t="s">
        <v>134</v>
      </c>
      <c r="E424" s="11" t="s">
        <v>74</v>
      </c>
      <c r="F424" s="11" t="s">
        <v>75</v>
      </c>
      <c r="G424" s="11" t="n">
        <v>4</v>
      </c>
      <c r="H424" s="11" t="n">
        <v>22.5</v>
      </c>
      <c r="I424" s="11" t="n">
        <v>8</v>
      </c>
      <c r="J424" s="11" t="s">
        <v>40</v>
      </c>
      <c r="K424" s="11" t="n">
        <f aca="false">IF($J424="Y","",IF($F424="BW",$I424,$H424*$I424))</f>
        <v>180</v>
      </c>
      <c r="L424" s="11" t="str">
        <f aca="false">$D424&amp;"|"&amp;$H424</f>
        <v>Tricep Pulldown|22.5</v>
      </c>
      <c r="M424" s="11"/>
    </row>
    <row r="425" customFormat="false" ht="15" hidden="false" customHeight="false" outlineLevel="0" collapsed="false">
      <c r="A425" s="10" t="n">
        <v>46172</v>
      </c>
      <c r="B425" s="11" t="s">
        <v>60</v>
      </c>
      <c r="C425" s="11" t="s">
        <v>131</v>
      </c>
      <c r="D425" s="11" t="s">
        <v>137</v>
      </c>
      <c r="E425" s="11" t="s">
        <v>74</v>
      </c>
      <c r="F425" s="11" t="s">
        <v>75</v>
      </c>
      <c r="G425" s="11" t="n">
        <v>1</v>
      </c>
      <c r="H425" s="11" t="n">
        <v>5</v>
      </c>
      <c r="I425" s="11" t="n">
        <v>8</v>
      </c>
      <c r="J425" s="11" t="s">
        <v>40</v>
      </c>
      <c r="K425" s="11" t="n">
        <f aca="false">IF($J425="Y","",IF($F425="BW",$I425,$H425*$I425))</f>
        <v>40</v>
      </c>
      <c r="L425" s="11" t="str">
        <f aca="false">$D425&amp;"|"&amp;$H425</f>
        <v>Cable Flyes|5</v>
      </c>
      <c r="M425" s="11" t="s">
        <v>138</v>
      </c>
    </row>
    <row r="426" customFormat="false" ht="15" hidden="false" customHeight="false" outlineLevel="0" collapsed="false">
      <c r="A426" s="10" t="n">
        <v>46172</v>
      </c>
      <c r="B426" s="11" t="s">
        <v>60</v>
      </c>
      <c r="C426" s="11" t="s">
        <v>131</v>
      </c>
      <c r="D426" s="11" t="s">
        <v>137</v>
      </c>
      <c r="E426" s="11" t="s">
        <v>74</v>
      </c>
      <c r="F426" s="11" t="s">
        <v>75</v>
      </c>
      <c r="G426" s="11" t="n">
        <v>2</v>
      </c>
      <c r="H426" s="11" t="n">
        <v>7.5</v>
      </c>
      <c r="I426" s="11" t="n">
        <v>8</v>
      </c>
      <c r="J426" s="11" t="s">
        <v>40</v>
      </c>
      <c r="K426" s="11" t="n">
        <f aca="false">IF($J426="Y","",IF($F426="BW",$I426,$H426*$I426))</f>
        <v>60</v>
      </c>
      <c r="L426" s="11" t="str">
        <f aca="false">$D426&amp;"|"&amp;$H426</f>
        <v>Cable Flyes|7.5</v>
      </c>
      <c r="M426" s="11" t="s">
        <v>138</v>
      </c>
    </row>
    <row r="427" customFormat="false" ht="15" hidden="false" customHeight="false" outlineLevel="0" collapsed="false">
      <c r="A427" s="10" t="n">
        <v>46172</v>
      </c>
      <c r="B427" s="11" t="s">
        <v>60</v>
      </c>
      <c r="C427" s="11" t="s">
        <v>131</v>
      </c>
      <c r="D427" s="11" t="s">
        <v>137</v>
      </c>
      <c r="E427" s="11" t="s">
        <v>74</v>
      </c>
      <c r="F427" s="11" t="s">
        <v>75</v>
      </c>
      <c r="G427" s="11" t="n">
        <v>3</v>
      </c>
      <c r="H427" s="11" t="n">
        <v>10</v>
      </c>
      <c r="I427" s="11" t="n">
        <v>8</v>
      </c>
      <c r="J427" s="11" t="s">
        <v>40</v>
      </c>
      <c r="K427" s="11" t="n">
        <f aca="false">IF($J427="Y","",IF($F427="BW",$I427,$H427*$I427))</f>
        <v>80</v>
      </c>
      <c r="L427" s="11" t="str">
        <f aca="false">$D427&amp;"|"&amp;$H427</f>
        <v>Cable Flyes|10</v>
      </c>
      <c r="M427" s="11" t="s">
        <v>138</v>
      </c>
    </row>
    <row r="428" customFormat="false" ht="15" hidden="false" customHeight="false" outlineLevel="0" collapsed="false">
      <c r="A428" s="10" t="n">
        <v>46172</v>
      </c>
      <c r="B428" s="11" t="s">
        <v>60</v>
      </c>
      <c r="C428" s="11" t="s">
        <v>131</v>
      </c>
      <c r="D428" s="11" t="s">
        <v>137</v>
      </c>
      <c r="E428" s="11" t="s">
        <v>74</v>
      </c>
      <c r="F428" s="11" t="s">
        <v>75</v>
      </c>
      <c r="G428" s="11" t="n">
        <v>4</v>
      </c>
      <c r="H428" s="11" t="n">
        <v>10</v>
      </c>
      <c r="I428" s="11" t="n">
        <v>8</v>
      </c>
      <c r="J428" s="11" t="s">
        <v>40</v>
      </c>
      <c r="K428" s="11" t="n">
        <f aca="false">IF($J428="Y","",IF($F428="BW",$I428,$H428*$I428))</f>
        <v>80</v>
      </c>
      <c r="L428" s="11" t="str">
        <f aca="false">$D428&amp;"|"&amp;$H428</f>
        <v>Cable Flyes|10</v>
      </c>
      <c r="M428" s="11" t="s">
        <v>138</v>
      </c>
    </row>
    <row r="429" customFormat="false" ht="15" hidden="false" customHeight="false" outlineLevel="0" collapsed="false">
      <c r="A429" s="12" t="n">
        <v>46177</v>
      </c>
      <c r="B429" s="13" t="s">
        <v>35</v>
      </c>
      <c r="C429" s="13" t="s">
        <v>36</v>
      </c>
      <c r="D429" s="13" t="s">
        <v>110</v>
      </c>
      <c r="E429" s="13" t="s">
        <v>38</v>
      </c>
      <c r="F429" s="13" t="s">
        <v>39</v>
      </c>
      <c r="G429" s="13" t="n">
        <v>1</v>
      </c>
      <c r="H429" s="13" t="n">
        <v>20</v>
      </c>
      <c r="I429" s="13" t="n">
        <v>8</v>
      </c>
      <c r="J429" s="13" t="s">
        <v>84</v>
      </c>
      <c r="K429" s="13" t="str">
        <f aca="false">IF($J429="Y","",IF($F429="BW",$I429,$H429*$I429))</f>
        <v/>
      </c>
      <c r="L429" s="13" t="str">
        <f aca="false">$D429&amp;"|"&amp;$H429</f>
        <v>Bench Press (Smith)|20</v>
      </c>
      <c r="M429" s="13" t="s">
        <v>139</v>
      </c>
    </row>
    <row r="430" customFormat="false" ht="15" hidden="false" customHeight="false" outlineLevel="0" collapsed="false">
      <c r="A430" s="10" t="n">
        <v>46177</v>
      </c>
      <c r="B430" s="11" t="s">
        <v>35</v>
      </c>
      <c r="C430" s="11" t="s">
        <v>36</v>
      </c>
      <c r="D430" s="11" t="s">
        <v>110</v>
      </c>
      <c r="E430" s="11" t="s">
        <v>38</v>
      </c>
      <c r="F430" s="11" t="s">
        <v>39</v>
      </c>
      <c r="G430" s="11" t="n">
        <v>2</v>
      </c>
      <c r="H430" s="11" t="n">
        <v>50</v>
      </c>
      <c r="I430" s="11" t="n">
        <v>8</v>
      </c>
      <c r="J430" s="11" t="s">
        <v>40</v>
      </c>
      <c r="K430" s="11" t="n">
        <f aca="false">IF($J430="Y","",IF($F430="BW",$I430,$H430*$I430))</f>
        <v>400</v>
      </c>
      <c r="L430" s="11" t="str">
        <f aca="false">$D430&amp;"|"&amp;$H430</f>
        <v>Bench Press (Smith)|50</v>
      </c>
      <c r="M430" s="11" t="s">
        <v>139</v>
      </c>
    </row>
    <row r="431" customFormat="false" ht="15" hidden="false" customHeight="false" outlineLevel="0" collapsed="false">
      <c r="A431" s="10" t="n">
        <v>46177</v>
      </c>
      <c r="B431" s="11" t="s">
        <v>35</v>
      </c>
      <c r="C431" s="11" t="s">
        <v>36</v>
      </c>
      <c r="D431" s="11" t="s">
        <v>110</v>
      </c>
      <c r="E431" s="11" t="s">
        <v>38</v>
      </c>
      <c r="F431" s="11" t="s">
        <v>39</v>
      </c>
      <c r="G431" s="11" t="n">
        <v>3</v>
      </c>
      <c r="H431" s="11" t="n">
        <v>70</v>
      </c>
      <c r="I431" s="11" t="n">
        <v>8</v>
      </c>
      <c r="J431" s="11" t="s">
        <v>40</v>
      </c>
      <c r="K431" s="11" t="n">
        <f aca="false">IF($J431="Y","",IF($F431="BW",$I431,$H431*$I431))</f>
        <v>560</v>
      </c>
      <c r="L431" s="11" t="str">
        <f aca="false">$D431&amp;"|"&amp;$H431</f>
        <v>Bench Press (Smith)|70</v>
      </c>
      <c r="M431" s="11" t="s">
        <v>139</v>
      </c>
    </row>
    <row r="432" customFormat="false" ht="15" hidden="false" customHeight="false" outlineLevel="0" collapsed="false">
      <c r="A432" s="10" t="n">
        <v>46177</v>
      </c>
      <c r="B432" s="11" t="s">
        <v>35</v>
      </c>
      <c r="C432" s="11" t="s">
        <v>36</v>
      </c>
      <c r="D432" s="11" t="s">
        <v>110</v>
      </c>
      <c r="E432" s="11" t="s">
        <v>38</v>
      </c>
      <c r="F432" s="11" t="s">
        <v>39</v>
      </c>
      <c r="G432" s="11" t="n">
        <v>4</v>
      </c>
      <c r="H432" s="11" t="n">
        <v>95</v>
      </c>
      <c r="I432" s="11" t="n">
        <v>8</v>
      </c>
      <c r="J432" s="11" t="s">
        <v>40</v>
      </c>
      <c r="K432" s="11" t="n">
        <f aca="false">IF($J432="Y","",IF($F432="BW",$I432,$H432*$I432))</f>
        <v>760</v>
      </c>
      <c r="L432" s="11" t="str">
        <f aca="false">$D432&amp;"|"&amp;$H432</f>
        <v>Bench Press (Smith)|95</v>
      </c>
      <c r="M432" s="11" t="s">
        <v>139</v>
      </c>
    </row>
    <row r="433" customFormat="false" ht="15" hidden="false" customHeight="false" outlineLevel="0" collapsed="false">
      <c r="A433" s="10" t="n">
        <v>46177</v>
      </c>
      <c r="B433" s="11" t="s">
        <v>35</v>
      </c>
      <c r="C433" s="11" t="s">
        <v>36</v>
      </c>
      <c r="D433" s="11" t="s">
        <v>110</v>
      </c>
      <c r="E433" s="11" t="s">
        <v>38</v>
      </c>
      <c r="F433" s="11" t="s">
        <v>39</v>
      </c>
      <c r="G433" s="11" t="n">
        <v>5</v>
      </c>
      <c r="H433" s="11" t="n">
        <v>100</v>
      </c>
      <c r="I433" s="11" t="n">
        <v>8</v>
      </c>
      <c r="J433" s="11" t="s">
        <v>40</v>
      </c>
      <c r="K433" s="11" t="n">
        <f aca="false">IF($J433="Y","",IF($F433="BW",$I433,$H433*$I433))</f>
        <v>800</v>
      </c>
      <c r="L433" s="11" t="str">
        <f aca="false">$D433&amp;"|"&amp;$H433</f>
        <v>Bench Press (Smith)|100</v>
      </c>
      <c r="M433" s="11" t="s">
        <v>139</v>
      </c>
    </row>
    <row r="434" customFormat="false" ht="15" hidden="false" customHeight="false" outlineLevel="0" collapsed="false">
      <c r="A434" s="12" t="n">
        <v>46177</v>
      </c>
      <c r="B434" s="13" t="s">
        <v>35</v>
      </c>
      <c r="C434" s="13" t="s">
        <v>36</v>
      </c>
      <c r="D434" s="13" t="s">
        <v>76</v>
      </c>
      <c r="E434" s="13" t="s">
        <v>72</v>
      </c>
      <c r="F434" s="13" t="s">
        <v>39</v>
      </c>
      <c r="G434" s="13" t="n">
        <v>1</v>
      </c>
      <c r="H434" s="13" t="n">
        <v>15</v>
      </c>
      <c r="I434" s="13" t="n">
        <v>8</v>
      </c>
      <c r="J434" s="13" t="s">
        <v>84</v>
      </c>
      <c r="K434" s="13" t="str">
        <f aca="false">IF($J434="Y","",IF($F434="BW",$I434,$H434*$I434))</f>
        <v/>
      </c>
      <c r="L434" s="13" t="str">
        <f aca="false">$D434&amp;"|"&amp;$H434</f>
        <v>Shoulder Press|15</v>
      </c>
      <c r="M434" s="13"/>
    </row>
    <row r="435" customFormat="false" ht="15" hidden="false" customHeight="false" outlineLevel="0" collapsed="false">
      <c r="A435" s="10" t="n">
        <v>46177</v>
      </c>
      <c r="B435" s="11" t="s">
        <v>35</v>
      </c>
      <c r="C435" s="11" t="s">
        <v>36</v>
      </c>
      <c r="D435" s="11" t="s">
        <v>76</v>
      </c>
      <c r="E435" s="11" t="s">
        <v>72</v>
      </c>
      <c r="F435" s="11" t="s">
        <v>39</v>
      </c>
      <c r="G435" s="11" t="n">
        <v>2</v>
      </c>
      <c r="H435" s="11" t="n">
        <v>30</v>
      </c>
      <c r="I435" s="11" t="n">
        <v>8</v>
      </c>
      <c r="J435" s="11" t="s">
        <v>40</v>
      </c>
      <c r="K435" s="11" t="n">
        <f aca="false">IF($J435="Y","",IF($F435="BW",$I435,$H435*$I435))</f>
        <v>240</v>
      </c>
      <c r="L435" s="11" t="str">
        <f aca="false">$D435&amp;"|"&amp;$H435</f>
        <v>Shoulder Press|30</v>
      </c>
      <c r="M435" s="11"/>
    </row>
    <row r="436" customFormat="false" ht="15" hidden="false" customHeight="false" outlineLevel="0" collapsed="false">
      <c r="A436" s="10" t="n">
        <v>46177</v>
      </c>
      <c r="B436" s="11" t="s">
        <v>35</v>
      </c>
      <c r="C436" s="11" t="s">
        <v>36</v>
      </c>
      <c r="D436" s="11" t="s">
        <v>76</v>
      </c>
      <c r="E436" s="11" t="s">
        <v>72</v>
      </c>
      <c r="F436" s="11" t="s">
        <v>39</v>
      </c>
      <c r="G436" s="11" t="n">
        <v>3</v>
      </c>
      <c r="H436" s="11" t="n">
        <v>30</v>
      </c>
      <c r="I436" s="11" t="n">
        <v>8</v>
      </c>
      <c r="J436" s="11" t="s">
        <v>40</v>
      </c>
      <c r="K436" s="11" t="n">
        <f aca="false">IF($J436="Y","",IF($F436="BW",$I436,$H436*$I436))</f>
        <v>240</v>
      </c>
      <c r="L436" s="11" t="str">
        <f aca="false">$D436&amp;"|"&amp;$H436</f>
        <v>Shoulder Press|30</v>
      </c>
      <c r="M436" s="11"/>
    </row>
    <row r="437" customFormat="false" ht="15" hidden="false" customHeight="false" outlineLevel="0" collapsed="false">
      <c r="A437" s="10" t="n">
        <v>46177</v>
      </c>
      <c r="B437" s="11" t="s">
        <v>35</v>
      </c>
      <c r="C437" s="11" t="s">
        <v>36</v>
      </c>
      <c r="D437" s="11" t="s">
        <v>76</v>
      </c>
      <c r="E437" s="11" t="s">
        <v>72</v>
      </c>
      <c r="F437" s="11" t="s">
        <v>39</v>
      </c>
      <c r="G437" s="11" t="n">
        <v>4</v>
      </c>
      <c r="H437" s="11" t="n">
        <v>30</v>
      </c>
      <c r="I437" s="11" t="n">
        <v>8</v>
      </c>
      <c r="J437" s="11" t="s">
        <v>40</v>
      </c>
      <c r="K437" s="11" t="n">
        <f aca="false">IF($J437="Y","",IF($F437="BW",$I437,$H437*$I437))</f>
        <v>240</v>
      </c>
      <c r="L437" s="11" t="str">
        <f aca="false">$D437&amp;"|"&amp;$H437</f>
        <v>Shoulder Press|30</v>
      </c>
      <c r="M437" s="11"/>
    </row>
    <row r="438" customFormat="false" ht="15" hidden="false" customHeight="false" outlineLevel="0" collapsed="false">
      <c r="A438" s="12" t="n">
        <v>46177</v>
      </c>
      <c r="B438" s="13" t="s">
        <v>35</v>
      </c>
      <c r="C438" s="13" t="s">
        <v>36</v>
      </c>
      <c r="D438" s="13" t="s">
        <v>134</v>
      </c>
      <c r="E438" s="13" t="s">
        <v>74</v>
      </c>
      <c r="F438" s="13" t="s">
        <v>75</v>
      </c>
      <c r="G438" s="13" t="n">
        <v>1</v>
      </c>
      <c r="H438" s="13" t="n">
        <v>12.5</v>
      </c>
      <c r="I438" s="13" t="n">
        <v>8</v>
      </c>
      <c r="J438" s="13" t="s">
        <v>84</v>
      </c>
      <c r="K438" s="13" t="str">
        <f aca="false">IF($J438="Y","",IF($F438="BW",$I438,$H438*$I438))</f>
        <v/>
      </c>
      <c r="L438" s="13" t="str">
        <f aca="false">$D438&amp;"|"&amp;$H438</f>
        <v>Tricep Pulldown|12.5</v>
      </c>
      <c r="M438" s="13"/>
    </row>
    <row r="439" customFormat="false" ht="15" hidden="false" customHeight="false" outlineLevel="0" collapsed="false">
      <c r="A439" s="10" t="n">
        <v>46177</v>
      </c>
      <c r="B439" s="11" t="s">
        <v>35</v>
      </c>
      <c r="C439" s="11" t="s">
        <v>36</v>
      </c>
      <c r="D439" s="11" t="s">
        <v>134</v>
      </c>
      <c r="E439" s="11" t="s">
        <v>74</v>
      </c>
      <c r="F439" s="11" t="s">
        <v>75</v>
      </c>
      <c r="G439" s="11" t="n">
        <v>2</v>
      </c>
      <c r="H439" s="11" t="n">
        <v>20</v>
      </c>
      <c r="I439" s="11" t="n">
        <v>8</v>
      </c>
      <c r="J439" s="11" t="s">
        <v>40</v>
      </c>
      <c r="K439" s="11" t="n">
        <f aca="false">IF($J439="Y","",IF($F439="BW",$I439,$H439*$I439))</f>
        <v>160</v>
      </c>
      <c r="L439" s="11" t="str">
        <f aca="false">$D439&amp;"|"&amp;$H439</f>
        <v>Tricep Pulldown|20</v>
      </c>
      <c r="M439" s="11"/>
    </row>
    <row r="440" customFormat="false" ht="15" hidden="false" customHeight="false" outlineLevel="0" collapsed="false">
      <c r="A440" s="10" t="n">
        <v>46177</v>
      </c>
      <c r="B440" s="11" t="s">
        <v>35</v>
      </c>
      <c r="C440" s="11" t="s">
        <v>36</v>
      </c>
      <c r="D440" s="11" t="s">
        <v>134</v>
      </c>
      <c r="E440" s="11" t="s">
        <v>74</v>
      </c>
      <c r="F440" s="11" t="s">
        <v>75</v>
      </c>
      <c r="G440" s="11" t="n">
        <v>3</v>
      </c>
      <c r="H440" s="11" t="n">
        <v>22.5</v>
      </c>
      <c r="I440" s="11" t="n">
        <v>8</v>
      </c>
      <c r="J440" s="11" t="s">
        <v>40</v>
      </c>
      <c r="K440" s="11" t="n">
        <f aca="false">IF($J440="Y","",IF($F440="BW",$I440,$H440*$I440))</f>
        <v>180</v>
      </c>
      <c r="L440" s="11" t="str">
        <f aca="false">$D440&amp;"|"&amp;$H440</f>
        <v>Tricep Pulldown|22.5</v>
      </c>
      <c r="M440" s="11"/>
    </row>
    <row r="441" customFormat="false" ht="15" hidden="false" customHeight="false" outlineLevel="0" collapsed="false">
      <c r="A441" s="10" t="n">
        <v>46177</v>
      </c>
      <c r="B441" s="11" t="s">
        <v>35</v>
      </c>
      <c r="C441" s="11" t="s">
        <v>36</v>
      </c>
      <c r="D441" s="11" t="s">
        <v>134</v>
      </c>
      <c r="E441" s="11" t="s">
        <v>74</v>
      </c>
      <c r="F441" s="11" t="s">
        <v>75</v>
      </c>
      <c r="G441" s="11" t="n">
        <v>4</v>
      </c>
      <c r="H441" s="11" t="n">
        <v>22.5</v>
      </c>
      <c r="I441" s="11" t="n">
        <v>8</v>
      </c>
      <c r="J441" s="11" t="s">
        <v>40</v>
      </c>
      <c r="K441" s="11" t="n">
        <f aca="false">IF($J441="Y","",IF($F441="BW",$I441,$H441*$I441))</f>
        <v>180</v>
      </c>
      <c r="L441" s="11" t="str">
        <f aca="false">$D441&amp;"|"&amp;$H441</f>
        <v>Tricep Pulldown|22.5</v>
      </c>
      <c r="M441" s="11"/>
    </row>
    <row r="442" customFormat="false" ht="15" hidden="false" customHeight="false" outlineLevel="0" collapsed="false">
      <c r="A442" s="10" t="n">
        <v>46177</v>
      </c>
      <c r="B442" s="11" t="s">
        <v>35</v>
      </c>
      <c r="C442" s="11" t="s">
        <v>36</v>
      </c>
      <c r="D442" s="11" t="s">
        <v>90</v>
      </c>
      <c r="E442" s="11" t="s">
        <v>72</v>
      </c>
      <c r="F442" s="11" t="s">
        <v>39</v>
      </c>
      <c r="G442" s="11" t="n">
        <v>1</v>
      </c>
      <c r="H442" s="11" t="n">
        <v>10</v>
      </c>
      <c r="I442" s="11" t="n">
        <v>12</v>
      </c>
      <c r="J442" s="11" t="s">
        <v>40</v>
      </c>
      <c r="K442" s="11" t="n">
        <f aca="false">IF($J442="Y","",IF($F442="BW",$I442,$H442*$I442))</f>
        <v>120</v>
      </c>
      <c r="L442" s="11" t="str">
        <f aca="false">$D442&amp;"|"&amp;$H442</f>
        <v>Lateral Raises|10</v>
      </c>
      <c r="M442" s="11"/>
    </row>
    <row r="443" customFormat="false" ht="15" hidden="false" customHeight="false" outlineLevel="0" collapsed="false">
      <c r="A443" s="10" t="n">
        <v>46177</v>
      </c>
      <c r="B443" s="11" t="s">
        <v>35</v>
      </c>
      <c r="C443" s="11" t="s">
        <v>36</v>
      </c>
      <c r="D443" s="11" t="s">
        <v>90</v>
      </c>
      <c r="E443" s="11" t="s">
        <v>72</v>
      </c>
      <c r="F443" s="11" t="s">
        <v>39</v>
      </c>
      <c r="G443" s="11" t="n">
        <v>2</v>
      </c>
      <c r="H443" s="11" t="n">
        <v>10</v>
      </c>
      <c r="I443" s="11" t="n">
        <v>12</v>
      </c>
      <c r="J443" s="11" t="s">
        <v>40</v>
      </c>
      <c r="K443" s="11" t="n">
        <f aca="false">IF($J443="Y","",IF($F443="BW",$I443,$H443*$I443))</f>
        <v>120</v>
      </c>
      <c r="L443" s="11" t="str">
        <f aca="false">$D443&amp;"|"&amp;$H443</f>
        <v>Lateral Raises|10</v>
      </c>
      <c r="M443" s="11"/>
    </row>
    <row r="444" customFormat="false" ht="15" hidden="false" customHeight="false" outlineLevel="0" collapsed="false">
      <c r="A444" s="10" t="n">
        <v>46177</v>
      </c>
      <c r="B444" s="11" t="s">
        <v>35</v>
      </c>
      <c r="C444" s="11" t="s">
        <v>36</v>
      </c>
      <c r="D444" s="11" t="s">
        <v>90</v>
      </c>
      <c r="E444" s="11" t="s">
        <v>72</v>
      </c>
      <c r="F444" s="11" t="s">
        <v>39</v>
      </c>
      <c r="G444" s="11" t="n">
        <v>3</v>
      </c>
      <c r="H444" s="11" t="n">
        <v>10</v>
      </c>
      <c r="I444" s="11" t="n">
        <v>12</v>
      </c>
      <c r="J444" s="11" t="s">
        <v>40</v>
      </c>
      <c r="K444" s="11" t="n">
        <f aca="false">IF($J444="Y","",IF($F444="BW",$I444,$H444*$I444))</f>
        <v>120</v>
      </c>
      <c r="L444" s="11" t="str">
        <f aca="false">$D444&amp;"|"&amp;$H444</f>
        <v>Lateral Raises|10</v>
      </c>
      <c r="M444" s="11"/>
    </row>
    <row r="445" customFormat="false" ht="15" hidden="false" customHeight="false" outlineLevel="0" collapsed="false">
      <c r="A445" s="12" t="n">
        <v>46180</v>
      </c>
      <c r="B445" s="13" t="s">
        <v>83</v>
      </c>
      <c r="C445" s="13" t="s">
        <v>140</v>
      </c>
      <c r="D445" s="13" t="s">
        <v>77</v>
      </c>
      <c r="E445" s="13" t="s">
        <v>72</v>
      </c>
      <c r="F445" s="13" t="s">
        <v>39</v>
      </c>
      <c r="G445" s="13" t="n">
        <v>1</v>
      </c>
      <c r="H445" s="13" t="n">
        <v>15</v>
      </c>
      <c r="I445" s="13" t="n">
        <v>8</v>
      </c>
      <c r="J445" s="13" t="s">
        <v>84</v>
      </c>
      <c r="K445" s="13" t="str">
        <f aca="false">IF($J445="Y","",IF($F445="BW",$I445,$H445*$I445))</f>
        <v/>
      </c>
      <c r="L445" s="13" t="str">
        <f aca="false">$D445&amp;"|"&amp;$H445</f>
        <v>Bicep Curls (DB)|15</v>
      </c>
      <c r="M445" s="13" t="s">
        <v>141</v>
      </c>
    </row>
    <row r="446" customFormat="false" ht="15" hidden="false" customHeight="false" outlineLevel="0" collapsed="false">
      <c r="A446" s="12" t="n">
        <v>46184</v>
      </c>
      <c r="B446" s="13" t="s">
        <v>35</v>
      </c>
      <c r="C446" s="13" t="s">
        <v>108</v>
      </c>
      <c r="D446" s="13" t="s">
        <v>73</v>
      </c>
      <c r="E446" s="13" t="s">
        <v>74</v>
      </c>
      <c r="F446" s="13" t="s">
        <v>75</v>
      </c>
      <c r="G446" s="13" t="n">
        <v>1</v>
      </c>
      <c r="H446" s="13" t="n">
        <v>12.5</v>
      </c>
      <c r="I446" s="13" t="n">
        <v>8</v>
      </c>
      <c r="J446" s="13" t="s">
        <v>84</v>
      </c>
      <c r="K446" s="13" t="str">
        <f aca="false">IF($J446="Y","",IF($F446="BW",$I446,$H446*$I446))</f>
        <v/>
      </c>
      <c r="L446" s="13" t="str">
        <f aca="false">$D446&amp;"|"&amp;$H446</f>
        <v>Single Arm Lat Pulldown|12.5</v>
      </c>
      <c r="M446" s="13"/>
    </row>
    <row r="447" customFormat="false" ht="15" hidden="false" customHeight="false" outlineLevel="0" collapsed="false">
      <c r="A447" s="10" t="n">
        <v>46184</v>
      </c>
      <c r="B447" s="11" t="s">
        <v>35</v>
      </c>
      <c r="C447" s="11" t="s">
        <v>108</v>
      </c>
      <c r="D447" s="11" t="s">
        <v>73</v>
      </c>
      <c r="E447" s="11" t="s">
        <v>74</v>
      </c>
      <c r="F447" s="11" t="s">
        <v>75</v>
      </c>
      <c r="G447" s="11" t="n">
        <v>2</v>
      </c>
      <c r="H447" s="11" t="n">
        <v>20</v>
      </c>
      <c r="I447" s="11" t="n">
        <v>8</v>
      </c>
      <c r="J447" s="11" t="s">
        <v>40</v>
      </c>
      <c r="K447" s="11" t="n">
        <f aca="false">IF($J447="Y","",IF($F447="BW",$I447,$H447*$I447))</f>
        <v>160</v>
      </c>
      <c r="L447" s="11" t="str">
        <f aca="false">$D447&amp;"|"&amp;$H447</f>
        <v>Single Arm Lat Pulldown|20</v>
      </c>
      <c r="M447" s="11"/>
    </row>
    <row r="448" customFormat="false" ht="15" hidden="false" customHeight="false" outlineLevel="0" collapsed="false">
      <c r="A448" s="10" t="n">
        <v>46184</v>
      </c>
      <c r="B448" s="11" t="s">
        <v>35</v>
      </c>
      <c r="C448" s="11" t="s">
        <v>108</v>
      </c>
      <c r="D448" s="11" t="s">
        <v>73</v>
      </c>
      <c r="E448" s="11" t="s">
        <v>74</v>
      </c>
      <c r="F448" s="11" t="s">
        <v>75</v>
      </c>
      <c r="G448" s="11" t="n">
        <v>3</v>
      </c>
      <c r="H448" s="11" t="n">
        <v>22.5</v>
      </c>
      <c r="I448" s="11" t="n">
        <v>8</v>
      </c>
      <c r="J448" s="11" t="s">
        <v>40</v>
      </c>
      <c r="K448" s="11" t="n">
        <f aca="false">IF($J448="Y","",IF($F448="BW",$I448,$H448*$I448))</f>
        <v>180</v>
      </c>
      <c r="L448" s="11" t="str">
        <f aca="false">$D448&amp;"|"&amp;$H448</f>
        <v>Single Arm Lat Pulldown|22.5</v>
      </c>
      <c r="M448" s="11"/>
    </row>
    <row r="449" customFormat="false" ht="15" hidden="false" customHeight="false" outlineLevel="0" collapsed="false">
      <c r="A449" s="10" t="n">
        <v>46184</v>
      </c>
      <c r="B449" s="11" t="s">
        <v>35</v>
      </c>
      <c r="C449" s="11" t="s">
        <v>108</v>
      </c>
      <c r="D449" s="11" t="s">
        <v>73</v>
      </c>
      <c r="E449" s="11" t="s">
        <v>74</v>
      </c>
      <c r="F449" s="11" t="s">
        <v>75</v>
      </c>
      <c r="G449" s="11" t="n">
        <v>4</v>
      </c>
      <c r="H449" s="11" t="n">
        <v>22.5</v>
      </c>
      <c r="I449" s="11" t="n">
        <v>8</v>
      </c>
      <c r="J449" s="11" t="s">
        <v>40</v>
      </c>
      <c r="K449" s="11" t="n">
        <f aca="false">IF($J449="Y","",IF($F449="BW",$I449,$H449*$I449))</f>
        <v>180</v>
      </c>
      <c r="L449" s="11" t="str">
        <f aca="false">$D449&amp;"|"&amp;$H449</f>
        <v>Single Arm Lat Pulldown|22.5</v>
      </c>
      <c r="M449" s="11"/>
    </row>
    <row r="450" customFormat="false" ht="15" hidden="false" customHeight="false" outlineLevel="0" collapsed="false">
      <c r="A450" s="12" t="n">
        <v>46184</v>
      </c>
      <c r="B450" s="13" t="s">
        <v>35</v>
      </c>
      <c r="C450" s="13" t="s">
        <v>108</v>
      </c>
      <c r="D450" s="13" t="s">
        <v>88</v>
      </c>
      <c r="E450" s="13" t="s">
        <v>38</v>
      </c>
      <c r="F450" s="13" t="s">
        <v>39</v>
      </c>
      <c r="G450" s="13" t="n">
        <v>1</v>
      </c>
      <c r="H450" s="13" t="n">
        <v>25</v>
      </c>
      <c r="I450" s="13" t="n">
        <v>8</v>
      </c>
      <c r="J450" s="13" t="s">
        <v>84</v>
      </c>
      <c r="K450" s="13" t="str">
        <f aca="false">IF($J450="Y","",IF($F450="BW",$I450,$H450*$I450))</f>
        <v/>
      </c>
      <c r="L450" s="13" t="str">
        <f aca="false">$D450&amp;"|"&amp;$H450</f>
        <v>Smith Rows|25</v>
      </c>
      <c r="M450" s="13"/>
    </row>
    <row r="451" customFormat="false" ht="15" hidden="false" customHeight="false" outlineLevel="0" collapsed="false">
      <c r="A451" s="10" t="n">
        <v>46184</v>
      </c>
      <c r="B451" s="11" t="s">
        <v>35</v>
      </c>
      <c r="C451" s="11" t="s">
        <v>108</v>
      </c>
      <c r="D451" s="11" t="s">
        <v>88</v>
      </c>
      <c r="E451" s="11" t="s">
        <v>38</v>
      </c>
      <c r="F451" s="11" t="s">
        <v>39</v>
      </c>
      <c r="G451" s="11" t="n">
        <v>2</v>
      </c>
      <c r="H451" s="11" t="n">
        <v>50</v>
      </c>
      <c r="I451" s="11" t="n">
        <v>8</v>
      </c>
      <c r="J451" s="11" t="s">
        <v>40</v>
      </c>
      <c r="K451" s="11" t="n">
        <f aca="false">IF($J451="Y","",IF($F451="BW",$I451,$H451*$I451))</f>
        <v>400</v>
      </c>
      <c r="L451" s="11" t="str">
        <f aca="false">$D451&amp;"|"&amp;$H451</f>
        <v>Smith Rows|50</v>
      </c>
      <c r="M451" s="11"/>
    </row>
    <row r="452" customFormat="false" ht="15" hidden="false" customHeight="false" outlineLevel="0" collapsed="false">
      <c r="A452" s="10" t="n">
        <v>46184</v>
      </c>
      <c r="B452" s="11" t="s">
        <v>35</v>
      </c>
      <c r="C452" s="11" t="s">
        <v>108</v>
      </c>
      <c r="D452" s="11" t="s">
        <v>88</v>
      </c>
      <c r="E452" s="11" t="s">
        <v>38</v>
      </c>
      <c r="F452" s="11" t="s">
        <v>39</v>
      </c>
      <c r="G452" s="11" t="n">
        <v>3</v>
      </c>
      <c r="H452" s="11" t="n">
        <v>65</v>
      </c>
      <c r="I452" s="11" t="n">
        <v>8</v>
      </c>
      <c r="J452" s="11" t="s">
        <v>40</v>
      </c>
      <c r="K452" s="11" t="n">
        <f aca="false">IF($J452="Y","",IF($F452="BW",$I452,$H452*$I452))</f>
        <v>520</v>
      </c>
      <c r="L452" s="11" t="str">
        <f aca="false">$D452&amp;"|"&amp;$H452</f>
        <v>Smith Rows|65</v>
      </c>
      <c r="M452" s="11"/>
    </row>
    <row r="453" customFormat="false" ht="15" hidden="false" customHeight="false" outlineLevel="0" collapsed="false">
      <c r="A453" s="10" t="n">
        <v>46184</v>
      </c>
      <c r="B453" s="11" t="s">
        <v>35</v>
      </c>
      <c r="C453" s="11" t="s">
        <v>108</v>
      </c>
      <c r="D453" s="11" t="s">
        <v>88</v>
      </c>
      <c r="E453" s="11" t="s">
        <v>38</v>
      </c>
      <c r="F453" s="11" t="s">
        <v>39</v>
      </c>
      <c r="G453" s="11" t="n">
        <v>4</v>
      </c>
      <c r="H453" s="11" t="n">
        <v>65</v>
      </c>
      <c r="I453" s="11" t="n">
        <v>8</v>
      </c>
      <c r="J453" s="11" t="s">
        <v>40</v>
      </c>
      <c r="K453" s="11" t="n">
        <f aca="false">IF($J453="Y","",IF($F453="BW",$I453,$H453*$I453))</f>
        <v>520</v>
      </c>
      <c r="L453" s="11" t="str">
        <f aca="false">$D453&amp;"|"&amp;$H453</f>
        <v>Smith Rows|65</v>
      </c>
      <c r="M453" s="11"/>
    </row>
    <row r="454" customFormat="false" ht="15" hidden="false" customHeight="false" outlineLevel="0" collapsed="false">
      <c r="A454" s="12" t="n">
        <v>46184</v>
      </c>
      <c r="B454" s="13" t="s">
        <v>35</v>
      </c>
      <c r="C454" s="13" t="s">
        <v>108</v>
      </c>
      <c r="D454" s="13" t="s">
        <v>91</v>
      </c>
      <c r="E454" s="13" t="s">
        <v>72</v>
      </c>
      <c r="F454" s="13" t="s">
        <v>39</v>
      </c>
      <c r="G454" s="13" t="n">
        <v>1</v>
      </c>
      <c r="H454" s="13" t="n">
        <v>25</v>
      </c>
      <c r="I454" s="13" t="n">
        <v>8</v>
      </c>
      <c r="J454" s="13" t="s">
        <v>84</v>
      </c>
      <c r="K454" s="13" t="str">
        <f aca="false">IF($J454="Y","",IF($F454="BW",$I454,$H454*$I454))</f>
        <v/>
      </c>
      <c r="L454" s="13" t="str">
        <f aca="false">$D454&amp;"|"&amp;$H454</f>
        <v>Shrugs|25</v>
      </c>
      <c r="M454" s="13"/>
    </row>
    <row r="455" customFormat="false" ht="15" hidden="false" customHeight="false" outlineLevel="0" collapsed="false">
      <c r="A455" s="10" t="n">
        <v>46184</v>
      </c>
      <c r="B455" s="11" t="s">
        <v>35</v>
      </c>
      <c r="C455" s="11" t="s">
        <v>108</v>
      </c>
      <c r="D455" s="11" t="s">
        <v>91</v>
      </c>
      <c r="E455" s="11" t="s">
        <v>72</v>
      </c>
      <c r="F455" s="11" t="s">
        <v>39</v>
      </c>
      <c r="G455" s="11" t="n">
        <v>2</v>
      </c>
      <c r="H455" s="11" t="n">
        <v>50</v>
      </c>
      <c r="I455" s="11" t="n">
        <v>8</v>
      </c>
      <c r="J455" s="11" t="s">
        <v>40</v>
      </c>
      <c r="K455" s="11" t="n">
        <f aca="false">IF($J455="Y","",IF($F455="BW",$I455,$H455*$I455))</f>
        <v>400</v>
      </c>
      <c r="L455" s="11" t="str">
        <f aca="false">$D455&amp;"|"&amp;$H455</f>
        <v>Shrugs|50</v>
      </c>
      <c r="M455" s="11"/>
    </row>
    <row r="456" customFormat="false" ht="15" hidden="false" customHeight="false" outlineLevel="0" collapsed="false">
      <c r="A456" s="10" t="n">
        <v>46184</v>
      </c>
      <c r="B456" s="11" t="s">
        <v>35</v>
      </c>
      <c r="C456" s="11" t="s">
        <v>108</v>
      </c>
      <c r="D456" s="11" t="s">
        <v>91</v>
      </c>
      <c r="E456" s="11" t="s">
        <v>72</v>
      </c>
      <c r="F456" s="11" t="s">
        <v>39</v>
      </c>
      <c r="G456" s="11" t="n">
        <v>3</v>
      </c>
      <c r="H456" s="11" t="n">
        <v>50</v>
      </c>
      <c r="I456" s="11" t="n">
        <v>8</v>
      </c>
      <c r="J456" s="11" t="s">
        <v>40</v>
      </c>
      <c r="K456" s="11" t="n">
        <f aca="false">IF($J456="Y","",IF($F456="BW",$I456,$H456*$I456))</f>
        <v>400</v>
      </c>
      <c r="L456" s="11" t="str">
        <f aca="false">$D456&amp;"|"&amp;$H456</f>
        <v>Shrugs|50</v>
      </c>
      <c r="M456" s="11"/>
    </row>
    <row r="457" customFormat="false" ht="15" hidden="false" customHeight="false" outlineLevel="0" collapsed="false">
      <c r="A457" s="10" t="n">
        <v>46184</v>
      </c>
      <c r="B457" s="11" t="s">
        <v>35</v>
      </c>
      <c r="C457" s="11" t="s">
        <v>108</v>
      </c>
      <c r="D457" s="11" t="s">
        <v>91</v>
      </c>
      <c r="E457" s="11" t="s">
        <v>72</v>
      </c>
      <c r="F457" s="11" t="s">
        <v>39</v>
      </c>
      <c r="G457" s="11" t="n">
        <v>4</v>
      </c>
      <c r="H457" s="11" t="n">
        <v>50</v>
      </c>
      <c r="I457" s="11" t="n">
        <v>8</v>
      </c>
      <c r="J457" s="11" t="s">
        <v>40</v>
      </c>
      <c r="K457" s="11" t="n">
        <f aca="false">IF($J457="Y","",IF($F457="BW",$I457,$H457*$I457))</f>
        <v>400</v>
      </c>
      <c r="L457" s="11" t="str">
        <f aca="false">$D457&amp;"|"&amp;$H457</f>
        <v>Shrugs|50</v>
      </c>
      <c r="M457" s="11"/>
    </row>
    <row r="458" customFormat="false" ht="15" hidden="false" customHeight="false" outlineLevel="0" collapsed="false">
      <c r="A458" s="12" t="n">
        <v>46185</v>
      </c>
      <c r="B458" s="13" t="s">
        <v>82</v>
      </c>
      <c r="C458" s="13" t="s">
        <v>142</v>
      </c>
      <c r="D458" s="13" t="s">
        <v>63</v>
      </c>
      <c r="E458" s="13" t="s">
        <v>38</v>
      </c>
      <c r="F458" s="13" t="s">
        <v>39</v>
      </c>
      <c r="G458" s="13" t="n">
        <v>1</v>
      </c>
      <c r="H458" s="13" t="n">
        <v>15</v>
      </c>
      <c r="I458" s="13" t="n">
        <v>8</v>
      </c>
      <c r="J458" s="13" t="s">
        <v>84</v>
      </c>
      <c r="K458" s="13" t="str">
        <f aca="false">IF($J458="Y","",IF($F458="BW",$I458,$H458*$I458))</f>
        <v/>
      </c>
      <c r="L458" s="13" t="str">
        <f aca="false">$D458&amp;"|"&amp;$H458</f>
        <v>RDLs|15</v>
      </c>
      <c r="M458" s="13" t="s">
        <v>143</v>
      </c>
    </row>
    <row r="459" customFormat="false" ht="15" hidden="false" customHeight="false" outlineLevel="0" collapsed="false">
      <c r="A459" s="10" t="n">
        <v>46185</v>
      </c>
      <c r="B459" s="11" t="s">
        <v>82</v>
      </c>
      <c r="C459" s="11" t="s">
        <v>142</v>
      </c>
      <c r="D459" s="11" t="s">
        <v>63</v>
      </c>
      <c r="E459" s="11" t="s">
        <v>38</v>
      </c>
      <c r="F459" s="11" t="s">
        <v>39</v>
      </c>
      <c r="G459" s="11" t="n">
        <v>2</v>
      </c>
      <c r="H459" s="11" t="n">
        <v>35</v>
      </c>
      <c r="I459" s="11" t="n">
        <v>8</v>
      </c>
      <c r="J459" s="11" t="s">
        <v>40</v>
      </c>
      <c r="K459" s="11" t="n">
        <f aca="false">IF($J459="Y","",IF($F459="BW",$I459,$H459*$I459))</f>
        <v>280</v>
      </c>
      <c r="L459" s="11" t="str">
        <f aca="false">$D459&amp;"|"&amp;$H459</f>
        <v>RDLs|35</v>
      </c>
      <c r="M459" s="11" t="s">
        <v>143</v>
      </c>
    </row>
    <row r="460" customFormat="false" ht="15" hidden="false" customHeight="false" outlineLevel="0" collapsed="false">
      <c r="A460" s="10" t="n">
        <v>46185</v>
      </c>
      <c r="B460" s="11" t="s">
        <v>82</v>
      </c>
      <c r="C460" s="11" t="s">
        <v>142</v>
      </c>
      <c r="D460" s="11" t="s">
        <v>63</v>
      </c>
      <c r="E460" s="11" t="s">
        <v>38</v>
      </c>
      <c r="F460" s="11" t="s">
        <v>39</v>
      </c>
      <c r="G460" s="11" t="n">
        <v>3</v>
      </c>
      <c r="H460" s="11" t="n">
        <v>40</v>
      </c>
      <c r="I460" s="11" t="n">
        <v>8</v>
      </c>
      <c r="J460" s="11" t="s">
        <v>40</v>
      </c>
      <c r="K460" s="11" t="n">
        <f aca="false">IF($J460="Y","",IF($F460="BW",$I460,$H460*$I460))</f>
        <v>320</v>
      </c>
      <c r="L460" s="11" t="str">
        <f aca="false">$D460&amp;"|"&amp;$H460</f>
        <v>RDLs|40</v>
      </c>
      <c r="M460" s="11" t="s">
        <v>143</v>
      </c>
    </row>
    <row r="461" customFormat="false" ht="15" hidden="false" customHeight="false" outlineLevel="0" collapsed="false">
      <c r="A461" s="10" t="n">
        <v>46185</v>
      </c>
      <c r="B461" s="11" t="s">
        <v>82</v>
      </c>
      <c r="C461" s="11" t="s">
        <v>142</v>
      </c>
      <c r="D461" s="11" t="s">
        <v>63</v>
      </c>
      <c r="E461" s="11" t="s">
        <v>38</v>
      </c>
      <c r="F461" s="11" t="s">
        <v>39</v>
      </c>
      <c r="G461" s="11" t="n">
        <v>4</v>
      </c>
      <c r="H461" s="11" t="n">
        <v>40</v>
      </c>
      <c r="I461" s="11" t="n">
        <v>8</v>
      </c>
      <c r="J461" s="11" t="s">
        <v>40</v>
      </c>
      <c r="K461" s="11" t="n">
        <f aca="false">IF($J461="Y","",IF($F461="BW",$I461,$H461*$I461))</f>
        <v>320</v>
      </c>
      <c r="L461" s="11" t="str">
        <f aca="false">$D461&amp;"|"&amp;$H461</f>
        <v>RDLs|40</v>
      </c>
      <c r="M461" s="11" t="s">
        <v>143</v>
      </c>
    </row>
    <row r="462" customFormat="false" ht="15" hidden="false" customHeight="false" outlineLevel="0" collapsed="false">
      <c r="A462" s="12" t="n">
        <v>46185</v>
      </c>
      <c r="B462" s="13" t="s">
        <v>82</v>
      </c>
      <c r="C462" s="13" t="s">
        <v>142</v>
      </c>
      <c r="D462" s="13" t="s">
        <v>110</v>
      </c>
      <c r="E462" s="13" t="s">
        <v>38</v>
      </c>
      <c r="F462" s="13" t="s">
        <v>39</v>
      </c>
      <c r="G462" s="13" t="n">
        <v>1</v>
      </c>
      <c r="H462" s="13" t="n">
        <v>25</v>
      </c>
      <c r="I462" s="13" t="n">
        <v>8</v>
      </c>
      <c r="J462" s="13" t="s">
        <v>84</v>
      </c>
      <c r="K462" s="13" t="str">
        <f aca="false">IF($J462="Y","",IF($F462="BW",$I462,$H462*$I462))</f>
        <v/>
      </c>
      <c r="L462" s="13" t="str">
        <f aca="false">$D462&amp;"|"&amp;$H462</f>
        <v>Bench Press (Smith)|25</v>
      </c>
      <c r="M462" s="13"/>
    </row>
    <row r="463" customFormat="false" ht="15" hidden="false" customHeight="false" outlineLevel="0" collapsed="false">
      <c r="A463" s="10" t="n">
        <v>46185</v>
      </c>
      <c r="B463" s="11" t="s">
        <v>82</v>
      </c>
      <c r="C463" s="11" t="s">
        <v>142</v>
      </c>
      <c r="D463" s="11" t="s">
        <v>110</v>
      </c>
      <c r="E463" s="11" t="s">
        <v>38</v>
      </c>
      <c r="F463" s="11" t="s">
        <v>39</v>
      </c>
      <c r="G463" s="11" t="n">
        <v>2</v>
      </c>
      <c r="H463" s="11" t="n">
        <v>50</v>
      </c>
      <c r="I463" s="11" t="n">
        <v>8</v>
      </c>
      <c r="J463" s="11" t="s">
        <v>40</v>
      </c>
      <c r="K463" s="11" t="n">
        <f aca="false">IF($J463="Y","",IF($F463="BW",$I463,$H463*$I463))</f>
        <v>400</v>
      </c>
      <c r="L463" s="11" t="str">
        <f aca="false">$D463&amp;"|"&amp;$H463</f>
        <v>Bench Press (Smith)|50</v>
      </c>
      <c r="M463" s="11"/>
    </row>
    <row r="464" customFormat="false" ht="15" hidden="false" customHeight="false" outlineLevel="0" collapsed="false">
      <c r="A464" s="10" t="n">
        <v>46185</v>
      </c>
      <c r="B464" s="11" t="s">
        <v>82</v>
      </c>
      <c r="C464" s="11" t="s">
        <v>142</v>
      </c>
      <c r="D464" s="11" t="s">
        <v>110</v>
      </c>
      <c r="E464" s="11" t="s">
        <v>38</v>
      </c>
      <c r="F464" s="11" t="s">
        <v>39</v>
      </c>
      <c r="G464" s="11" t="n">
        <v>3</v>
      </c>
      <c r="H464" s="11" t="n">
        <v>80</v>
      </c>
      <c r="I464" s="11" t="n">
        <v>8</v>
      </c>
      <c r="J464" s="11" t="s">
        <v>40</v>
      </c>
      <c r="K464" s="11" t="n">
        <f aca="false">IF($J464="Y","",IF($F464="BW",$I464,$H464*$I464))</f>
        <v>640</v>
      </c>
      <c r="L464" s="11" t="str">
        <f aca="false">$D464&amp;"|"&amp;$H464</f>
        <v>Bench Press (Smith)|80</v>
      </c>
      <c r="M464" s="11"/>
    </row>
    <row r="465" customFormat="false" ht="15" hidden="false" customHeight="false" outlineLevel="0" collapsed="false">
      <c r="A465" s="10" t="n">
        <v>46185</v>
      </c>
      <c r="B465" s="11" t="s">
        <v>82</v>
      </c>
      <c r="C465" s="11" t="s">
        <v>142</v>
      </c>
      <c r="D465" s="11" t="s">
        <v>110</v>
      </c>
      <c r="E465" s="11" t="s">
        <v>38</v>
      </c>
      <c r="F465" s="11" t="s">
        <v>39</v>
      </c>
      <c r="G465" s="11" t="n">
        <v>4</v>
      </c>
      <c r="H465" s="11" t="n">
        <v>100</v>
      </c>
      <c r="I465" s="11" t="n">
        <v>8</v>
      </c>
      <c r="J465" s="11" t="s">
        <v>40</v>
      </c>
      <c r="K465" s="11" t="n">
        <f aca="false">IF($J465="Y","",IF($F465="BW",$I465,$H465*$I465))</f>
        <v>800</v>
      </c>
      <c r="L465" s="11" t="str">
        <f aca="false">$D465&amp;"|"&amp;$H465</f>
        <v>Bench Press (Smith)|100</v>
      </c>
      <c r="M465" s="11"/>
    </row>
    <row r="466" customFormat="false" ht="15" hidden="false" customHeight="false" outlineLevel="0" collapsed="false">
      <c r="A466" s="12" t="n">
        <v>46185</v>
      </c>
      <c r="B466" s="13" t="s">
        <v>82</v>
      </c>
      <c r="C466" s="13" t="s">
        <v>142</v>
      </c>
      <c r="D466" s="13" t="s">
        <v>76</v>
      </c>
      <c r="E466" s="13" t="s">
        <v>72</v>
      </c>
      <c r="F466" s="13" t="s">
        <v>39</v>
      </c>
      <c r="G466" s="13" t="n">
        <v>1</v>
      </c>
      <c r="H466" s="13" t="n">
        <v>15</v>
      </c>
      <c r="I466" s="13" t="n">
        <v>8</v>
      </c>
      <c r="J466" s="13" t="s">
        <v>84</v>
      </c>
      <c r="K466" s="13" t="str">
        <f aca="false">IF($J466="Y","",IF($F466="BW",$I466,$H466*$I466))</f>
        <v/>
      </c>
      <c r="L466" s="13" t="str">
        <f aca="false">$D466&amp;"|"&amp;$H466</f>
        <v>Shoulder Press|15</v>
      </c>
      <c r="M466" s="13"/>
    </row>
    <row r="467" customFormat="false" ht="15" hidden="false" customHeight="false" outlineLevel="0" collapsed="false">
      <c r="A467" s="10" t="n">
        <v>46185</v>
      </c>
      <c r="B467" s="11" t="s">
        <v>82</v>
      </c>
      <c r="C467" s="11" t="s">
        <v>142</v>
      </c>
      <c r="D467" s="11" t="s">
        <v>76</v>
      </c>
      <c r="E467" s="11" t="s">
        <v>72</v>
      </c>
      <c r="F467" s="11" t="s">
        <v>39</v>
      </c>
      <c r="G467" s="11" t="n">
        <v>2</v>
      </c>
      <c r="H467" s="11" t="n">
        <v>30</v>
      </c>
      <c r="I467" s="11" t="n">
        <v>8</v>
      </c>
      <c r="J467" s="11" t="s">
        <v>40</v>
      </c>
      <c r="K467" s="11" t="n">
        <f aca="false">IF($J467="Y","",IF($F467="BW",$I467,$H467*$I467))</f>
        <v>240</v>
      </c>
      <c r="L467" s="11" t="str">
        <f aca="false">$D467&amp;"|"&amp;$H467</f>
        <v>Shoulder Press|30</v>
      </c>
      <c r="M467" s="11"/>
    </row>
    <row r="468" customFormat="false" ht="15" hidden="false" customHeight="false" outlineLevel="0" collapsed="false">
      <c r="A468" s="10" t="n">
        <v>46185</v>
      </c>
      <c r="B468" s="11" t="s">
        <v>82</v>
      </c>
      <c r="C468" s="11" t="s">
        <v>142</v>
      </c>
      <c r="D468" s="11" t="s">
        <v>76</v>
      </c>
      <c r="E468" s="11" t="s">
        <v>72</v>
      </c>
      <c r="F468" s="11" t="s">
        <v>39</v>
      </c>
      <c r="G468" s="11" t="n">
        <v>3</v>
      </c>
      <c r="H468" s="11" t="n">
        <v>35</v>
      </c>
      <c r="I468" s="11" t="n">
        <v>8</v>
      </c>
      <c r="J468" s="11" t="s">
        <v>40</v>
      </c>
      <c r="K468" s="11" t="n">
        <f aca="false">IF($J468="Y","",IF($F468="BW",$I468,$H468*$I468))</f>
        <v>280</v>
      </c>
      <c r="L468" s="11" t="str">
        <f aca="false">$D468&amp;"|"&amp;$H468</f>
        <v>Shoulder Press|35</v>
      </c>
      <c r="M468" s="11"/>
    </row>
    <row r="469" customFormat="false" ht="15" hidden="false" customHeight="false" outlineLevel="0" collapsed="false">
      <c r="A469" s="10" t="n">
        <v>46185</v>
      </c>
      <c r="B469" s="11" t="s">
        <v>82</v>
      </c>
      <c r="C469" s="11" t="s">
        <v>142</v>
      </c>
      <c r="D469" s="11" t="s">
        <v>76</v>
      </c>
      <c r="E469" s="11" t="s">
        <v>72</v>
      </c>
      <c r="F469" s="11" t="s">
        <v>39</v>
      </c>
      <c r="G469" s="11" t="n">
        <v>4</v>
      </c>
      <c r="H469" s="11" t="n">
        <v>35</v>
      </c>
      <c r="I469" s="11" t="n">
        <v>8</v>
      </c>
      <c r="J469" s="11" t="s">
        <v>40</v>
      </c>
      <c r="K469" s="11" t="n">
        <f aca="false">IF($J469="Y","",IF($F469="BW",$I469,$H469*$I469))</f>
        <v>280</v>
      </c>
      <c r="L469" s="11" t="str">
        <f aca="false">$D469&amp;"|"&amp;$H469</f>
        <v>Shoulder Press|35</v>
      </c>
      <c r="M469" s="11"/>
    </row>
    <row r="470" customFormat="false" ht="15" hidden="false" customHeight="false" outlineLevel="0" collapsed="false">
      <c r="A470" s="12" t="n">
        <v>46185</v>
      </c>
      <c r="B470" s="13" t="s">
        <v>82</v>
      </c>
      <c r="C470" s="13" t="s">
        <v>142</v>
      </c>
      <c r="D470" s="13" t="s">
        <v>80</v>
      </c>
      <c r="E470" s="13" t="s">
        <v>72</v>
      </c>
      <c r="F470" s="13" t="s">
        <v>39</v>
      </c>
      <c r="G470" s="13" t="n">
        <v>1</v>
      </c>
      <c r="H470" s="13" t="n">
        <v>25</v>
      </c>
      <c r="I470" s="13" t="n">
        <v>8</v>
      </c>
      <c r="J470" s="13" t="s">
        <v>84</v>
      </c>
      <c r="K470" s="13" t="str">
        <f aca="false">IF($J470="Y","",IF($F470="BW",$I470,$H470*$I470))</f>
        <v/>
      </c>
      <c r="L470" s="13" t="str">
        <f aca="false">$D470&amp;"|"&amp;$H470</f>
        <v>Tricep Ext Overhead|25</v>
      </c>
      <c r="M470" s="13"/>
    </row>
    <row r="471" customFormat="false" ht="15" hidden="false" customHeight="false" outlineLevel="0" collapsed="false">
      <c r="A471" s="10" t="n">
        <v>46185</v>
      </c>
      <c r="B471" s="11" t="s">
        <v>82</v>
      </c>
      <c r="C471" s="11" t="s">
        <v>142</v>
      </c>
      <c r="D471" s="11" t="s">
        <v>80</v>
      </c>
      <c r="E471" s="11" t="s">
        <v>72</v>
      </c>
      <c r="F471" s="11" t="s">
        <v>39</v>
      </c>
      <c r="G471" s="11" t="n">
        <v>2</v>
      </c>
      <c r="H471" s="11" t="n">
        <v>40</v>
      </c>
      <c r="I471" s="11" t="n">
        <v>8</v>
      </c>
      <c r="J471" s="11" t="s">
        <v>40</v>
      </c>
      <c r="K471" s="11" t="n">
        <f aca="false">IF($J471="Y","",IF($F471="BW",$I471,$H471*$I471))</f>
        <v>320</v>
      </c>
      <c r="L471" s="11" t="str">
        <f aca="false">$D471&amp;"|"&amp;$H471</f>
        <v>Tricep Ext Overhead|40</v>
      </c>
      <c r="M471" s="11"/>
    </row>
    <row r="472" customFormat="false" ht="15" hidden="false" customHeight="false" outlineLevel="0" collapsed="false">
      <c r="A472" s="10" t="n">
        <v>46185</v>
      </c>
      <c r="B472" s="11" t="s">
        <v>82</v>
      </c>
      <c r="C472" s="11" t="s">
        <v>142</v>
      </c>
      <c r="D472" s="11" t="s">
        <v>80</v>
      </c>
      <c r="E472" s="11" t="s">
        <v>72</v>
      </c>
      <c r="F472" s="11" t="s">
        <v>39</v>
      </c>
      <c r="G472" s="11" t="n">
        <v>3</v>
      </c>
      <c r="H472" s="11" t="n">
        <v>50</v>
      </c>
      <c r="I472" s="11" t="n">
        <v>8</v>
      </c>
      <c r="J472" s="11" t="s">
        <v>40</v>
      </c>
      <c r="K472" s="11" t="n">
        <f aca="false">IF($J472="Y","",IF($F472="BW",$I472,$H472*$I472))</f>
        <v>400</v>
      </c>
      <c r="L472" s="11" t="str">
        <f aca="false">$D472&amp;"|"&amp;$H472</f>
        <v>Tricep Ext Overhead|50</v>
      </c>
      <c r="M472" s="11"/>
    </row>
    <row r="473" customFormat="false" ht="15" hidden="false" customHeight="false" outlineLevel="0" collapsed="false">
      <c r="A473" s="10" t="n">
        <v>46185</v>
      </c>
      <c r="B473" s="11" t="s">
        <v>82</v>
      </c>
      <c r="C473" s="11" t="s">
        <v>142</v>
      </c>
      <c r="D473" s="11" t="s">
        <v>80</v>
      </c>
      <c r="E473" s="11" t="s">
        <v>72</v>
      </c>
      <c r="F473" s="11" t="s">
        <v>39</v>
      </c>
      <c r="G473" s="11" t="n">
        <v>4</v>
      </c>
      <c r="H473" s="11" t="n">
        <v>50</v>
      </c>
      <c r="I473" s="11" t="n">
        <v>8</v>
      </c>
      <c r="J473" s="11" t="s">
        <v>40</v>
      </c>
      <c r="K473" s="11" t="n">
        <f aca="false">IF($J473="Y","",IF($F473="BW",$I473,$H473*$I473))</f>
        <v>400</v>
      </c>
      <c r="L473" s="11" t="str">
        <f aca="false">$D473&amp;"|"&amp;$H473</f>
        <v>Tricep Ext Overhead|50</v>
      </c>
      <c r="M473" s="11"/>
    </row>
    <row r="474" customFormat="false" ht="15" hidden="false" customHeight="false" outlineLevel="0" collapsed="false">
      <c r="A474" s="12" t="n">
        <v>46189</v>
      </c>
      <c r="B474" s="13" t="s">
        <v>69</v>
      </c>
      <c r="C474" s="13" t="s">
        <v>36</v>
      </c>
      <c r="D474" s="13" t="s">
        <v>110</v>
      </c>
      <c r="E474" s="13" t="s">
        <v>38</v>
      </c>
      <c r="F474" s="13" t="s">
        <v>39</v>
      </c>
      <c r="G474" s="13" t="n">
        <v>1</v>
      </c>
      <c r="H474" s="13" t="n">
        <v>30</v>
      </c>
      <c r="I474" s="13" t="n">
        <v>8</v>
      </c>
      <c r="J474" s="13" t="s">
        <v>84</v>
      </c>
      <c r="K474" s="13" t="str">
        <f aca="false">IF($J474="Y","",IF($F474="BW",$I474,$H474*$I474))</f>
        <v/>
      </c>
      <c r="L474" s="13" t="str">
        <f aca="false">$D474&amp;"|"&amp;$H474</f>
        <v>Bench Press (Smith)|30</v>
      </c>
      <c r="M474" s="13" t="s">
        <v>144</v>
      </c>
    </row>
    <row r="475" customFormat="false" ht="15" hidden="false" customHeight="false" outlineLevel="0" collapsed="false">
      <c r="A475" s="10" t="n">
        <v>46189</v>
      </c>
      <c r="B475" s="11" t="s">
        <v>69</v>
      </c>
      <c r="C475" s="11" t="s">
        <v>36</v>
      </c>
      <c r="D475" s="11" t="s">
        <v>110</v>
      </c>
      <c r="E475" s="11" t="s">
        <v>38</v>
      </c>
      <c r="F475" s="11" t="s">
        <v>39</v>
      </c>
      <c r="G475" s="11" t="n">
        <v>2</v>
      </c>
      <c r="H475" s="11" t="n">
        <v>60</v>
      </c>
      <c r="I475" s="11" t="n">
        <v>8</v>
      </c>
      <c r="J475" s="11" t="s">
        <v>40</v>
      </c>
      <c r="K475" s="11" t="n">
        <f aca="false">IF($J475="Y","",IF($F475="BW",$I475,$H475*$I475))</f>
        <v>480</v>
      </c>
      <c r="L475" s="11" t="str">
        <f aca="false">$D475&amp;"|"&amp;$H475</f>
        <v>Bench Press (Smith)|60</v>
      </c>
      <c r="M475" s="11" t="s">
        <v>144</v>
      </c>
    </row>
    <row r="476" customFormat="false" ht="15" hidden="false" customHeight="false" outlineLevel="0" collapsed="false">
      <c r="A476" s="10" t="n">
        <v>46189</v>
      </c>
      <c r="B476" s="11" t="s">
        <v>69</v>
      </c>
      <c r="C476" s="11" t="s">
        <v>36</v>
      </c>
      <c r="D476" s="11" t="s">
        <v>110</v>
      </c>
      <c r="E476" s="11" t="s">
        <v>38</v>
      </c>
      <c r="F476" s="11" t="s">
        <v>39</v>
      </c>
      <c r="G476" s="11" t="n">
        <v>3</v>
      </c>
      <c r="H476" s="11" t="n">
        <v>90</v>
      </c>
      <c r="I476" s="11" t="n">
        <v>8</v>
      </c>
      <c r="J476" s="11" t="s">
        <v>40</v>
      </c>
      <c r="K476" s="11" t="n">
        <f aca="false">IF($J476="Y","",IF($F476="BW",$I476,$H476*$I476))</f>
        <v>720</v>
      </c>
      <c r="L476" s="11" t="str">
        <f aca="false">$D476&amp;"|"&amp;$H476</f>
        <v>Bench Press (Smith)|90</v>
      </c>
      <c r="M476" s="11" t="s">
        <v>144</v>
      </c>
    </row>
    <row r="477" customFormat="false" ht="15" hidden="false" customHeight="false" outlineLevel="0" collapsed="false">
      <c r="A477" s="10" t="n">
        <v>46189</v>
      </c>
      <c r="B477" s="11" t="s">
        <v>69</v>
      </c>
      <c r="C477" s="11" t="s">
        <v>36</v>
      </c>
      <c r="D477" s="11" t="s">
        <v>110</v>
      </c>
      <c r="E477" s="11" t="s">
        <v>38</v>
      </c>
      <c r="F477" s="11" t="s">
        <v>39</v>
      </c>
      <c r="G477" s="11" t="n">
        <v>4</v>
      </c>
      <c r="H477" s="11" t="n">
        <v>105</v>
      </c>
      <c r="I477" s="11" t="n">
        <v>8</v>
      </c>
      <c r="J477" s="11" t="s">
        <v>40</v>
      </c>
      <c r="K477" s="11" t="n">
        <f aca="false">IF($J477="Y","",IF($F477="BW",$I477,$H477*$I477))</f>
        <v>840</v>
      </c>
      <c r="L477" s="11" t="str">
        <f aca="false">$D477&amp;"|"&amp;$H477</f>
        <v>Bench Press (Smith)|105</v>
      </c>
      <c r="M477" s="11" t="s">
        <v>144</v>
      </c>
    </row>
    <row r="478" customFormat="false" ht="15" hidden="false" customHeight="false" outlineLevel="0" collapsed="false">
      <c r="A478" s="10" t="n">
        <v>46189</v>
      </c>
      <c r="B478" s="11" t="s">
        <v>69</v>
      </c>
      <c r="C478" s="11" t="s">
        <v>36</v>
      </c>
      <c r="D478" s="11" t="s">
        <v>110</v>
      </c>
      <c r="E478" s="11" t="s">
        <v>38</v>
      </c>
      <c r="F478" s="11" t="s">
        <v>39</v>
      </c>
      <c r="G478" s="11" t="n">
        <v>5</v>
      </c>
      <c r="H478" s="11" t="n">
        <v>105</v>
      </c>
      <c r="I478" s="11" t="n">
        <v>8</v>
      </c>
      <c r="J478" s="11" t="s">
        <v>40</v>
      </c>
      <c r="K478" s="11" t="n">
        <f aca="false">IF($J478="Y","",IF($F478="BW",$I478,$H478*$I478))</f>
        <v>840</v>
      </c>
      <c r="L478" s="11" t="str">
        <f aca="false">$D478&amp;"|"&amp;$H478</f>
        <v>Bench Press (Smith)|105</v>
      </c>
      <c r="M478" s="11" t="s">
        <v>144</v>
      </c>
    </row>
    <row r="479" customFormat="false" ht="15" hidden="false" customHeight="false" outlineLevel="0" collapsed="false">
      <c r="A479" s="12" t="n">
        <v>46189</v>
      </c>
      <c r="B479" s="13" t="s">
        <v>69</v>
      </c>
      <c r="C479" s="13" t="s">
        <v>36</v>
      </c>
      <c r="D479" s="13" t="s">
        <v>76</v>
      </c>
      <c r="E479" s="13" t="s">
        <v>72</v>
      </c>
      <c r="F479" s="13" t="s">
        <v>39</v>
      </c>
      <c r="G479" s="13" t="n">
        <v>1</v>
      </c>
      <c r="H479" s="13" t="n">
        <v>15</v>
      </c>
      <c r="I479" s="13" t="n">
        <v>8</v>
      </c>
      <c r="J479" s="13" t="s">
        <v>84</v>
      </c>
      <c r="K479" s="13" t="str">
        <f aca="false">IF($J479="Y","",IF($F479="BW",$I479,$H479*$I479))</f>
        <v/>
      </c>
      <c r="L479" s="13" t="str">
        <f aca="false">$D479&amp;"|"&amp;$H479</f>
        <v>Shoulder Press|15</v>
      </c>
      <c r="M479" s="13"/>
    </row>
    <row r="480" customFormat="false" ht="15" hidden="false" customHeight="false" outlineLevel="0" collapsed="false">
      <c r="A480" s="10" t="n">
        <v>46189</v>
      </c>
      <c r="B480" s="11" t="s">
        <v>69</v>
      </c>
      <c r="C480" s="11" t="s">
        <v>36</v>
      </c>
      <c r="D480" s="11" t="s">
        <v>76</v>
      </c>
      <c r="E480" s="11" t="s">
        <v>72</v>
      </c>
      <c r="F480" s="11" t="s">
        <v>39</v>
      </c>
      <c r="G480" s="11" t="n">
        <v>2</v>
      </c>
      <c r="H480" s="11" t="n">
        <v>25</v>
      </c>
      <c r="I480" s="11" t="n">
        <v>8</v>
      </c>
      <c r="J480" s="11" t="s">
        <v>40</v>
      </c>
      <c r="K480" s="11" t="n">
        <f aca="false">IF($J480="Y","",IF($F480="BW",$I480,$H480*$I480))</f>
        <v>200</v>
      </c>
      <c r="L480" s="11" t="str">
        <f aca="false">$D480&amp;"|"&amp;$H480</f>
        <v>Shoulder Press|25</v>
      </c>
      <c r="M480" s="11"/>
    </row>
    <row r="481" customFormat="false" ht="15" hidden="false" customHeight="false" outlineLevel="0" collapsed="false">
      <c r="A481" s="10" t="n">
        <v>46189</v>
      </c>
      <c r="B481" s="11" t="s">
        <v>69</v>
      </c>
      <c r="C481" s="11" t="s">
        <v>36</v>
      </c>
      <c r="D481" s="11" t="s">
        <v>76</v>
      </c>
      <c r="E481" s="11" t="s">
        <v>72</v>
      </c>
      <c r="F481" s="11" t="s">
        <v>39</v>
      </c>
      <c r="G481" s="11" t="n">
        <v>3</v>
      </c>
      <c r="H481" s="11" t="n">
        <v>25</v>
      </c>
      <c r="I481" s="11" t="n">
        <v>8</v>
      </c>
      <c r="J481" s="11" t="s">
        <v>40</v>
      </c>
      <c r="K481" s="11" t="n">
        <f aca="false">IF($J481="Y","",IF($F481="BW",$I481,$H481*$I481))</f>
        <v>200</v>
      </c>
      <c r="L481" s="11" t="str">
        <f aca="false">$D481&amp;"|"&amp;$H481</f>
        <v>Shoulder Press|25</v>
      </c>
      <c r="M481" s="11"/>
    </row>
    <row r="482" customFormat="false" ht="15" hidden="false" customHeight="false" outlineLevel="0" collapsed="false">
      <c r="A482" s="10" t="n">
        <v>46189</v>
      </c>
      <c r="B482" s="11" t="s">
        <v>69</v>
      </c>
      <c r="C482" s="11" t="s">
        <v>36</v>
      </c>
      <c r="D482" s="11" t="s">
        <v>76</v>
      </c>
      <c r="E482" s="11" t="s">
        <v>72</v>
      </c>
      <c r="F482" s="11" t="s">
        <v>39</v>
      </c>
      <c r="G482" s="11" t="n">
        <v>4</v>
      </c>
      <c r="H482" s="11" t="n">
        <v>25</v>
      </c>
      <c r="I482" s="11" t="n">
        <v>8</v>
      </c>
      <c r="J482" s="11" t="s">
        <v>40</v>
      </c>
      <c r="K482" s="11" t="n">
        <f aca="false">IF($J482="Y","",IF($F482="BW",$I482,$H482*$I482))</f>
        <v>200</v>
      </c>
      <c r="L482" s="11" t="str">
        <f aca="false">$D482&amp;"|"&amp;$H482</f>
        <v>Shoulder Press|25</v>
      </c>
      <c r="M482" s="11"/>
    </row>
    <row r="483" customFormat="false" ht="15" hidden="false" customHeight="false" outlineLevel="0" collapsed="false">
      <c r="A483" s="12" t="n">
        <v>46189</v>
      </c>
      <c r="B483" s="13" t="s">
        <v>69</v>
      </c>
      <c r="C483" s="13" t="s">
        <v>36</v>
      </c>
      <c r="D483" s="13" t="s">
        <v>80</v>
      </c>
      <c r="E483" s="13" t="s">
        <v>72</v>
      </c>
      <c r="F483" s="13" t="s">
        <v>39</v>
      </c>
      <c r="G483" s="13" t="n">
        <v>1</v>
      </c>
      <c r="H483" s="13" t="n">
        <v>25</v>
      </c>
      <c r="I483" s="13" t="n">
        <v>8</v>
      </c>
      <c r="J483" s="13" t="s">
        <v>84</v>
      </c>
      <c r="K483" s="13" t="str">
        <f aca="false">IF($J483="Y","",IF($F483="BW",$I483,$H483*$I483))</f>
        <v/>
      </c>
      <c r="L483" s="13" t="str">
        <f aca="false">$D483&amp;"|"&amp;$H483</f>
        <v>Tricep Ext Overhead|25</v>
      </c>
      <c r="M483" s="13"/>
    </row>
    <row r="484" customFormat="false" ht="15" hidden="false" customHeight="false" outlineLevel="0" collapsed="false">
      <c r="A484" s="10" t="n">
        <v>46189</v>
      </c>
      <c r="B484" s="11" t="s">
        <v>69</v>
      </c>
      <c r="C484" s="11" t="s">
        <v>36</v>
      </c>
      <c r="D484" s="11" t="s">
        <v>80</v>
      </c>
      <c r="E484" s="11" t="s">
        <v>72</v>
      </c>
      <c r="F484" s="11" t="s">
        <v>39</v>
      </c>
      <c r="G484" s="11" t="n">
        <v>2</v>
      </c>
      <c r="H484" s="11" t="n">
        <v>40</v>
      </c>
      <c r="I484" s="11" t="n">
        <v>8</v>
      </c>
      <c r="J484" s="11" t="s">
        <v>40</v>
      </c>
      <c r="K484" s="11" t="n">
        <f aca="false">IF($J484="Y","",IF($F484="BW",$I484,$H484*$I484))</f>
        <v>320</v>
      </c>
      <c r="L484" s="11" t="str">
        <f aca="false">$D484&amp;"|"&amp;$H484</f>
        <v>Tricep Ext Overhead|40</v>
      </c>
      <c r="M484" s="11"/>
    </row>
    <row r="485" customFormat="false" ht="15" hidden="false" customHeight="false" outlineLevel="0" collapsed="false">
      <c r="A485" s="10" t="n">
        <v>46189</v>
      </c>
      <c r="B485" s="11" t="s">
        <v>69</v>
      </c>
      <c r="C485" s="11" t="s">
        <v>36</v>
      </c>
      <c r="D485" s="11" t="s">
        <v>80</v>
      </c>
      <c r="E485" s="11" t="s">
        <v>72</v>
      </c>
      <c r="F485" s="11" t="s">
        <v>39</v>
      </c>
      <c r="G485" s="11" t="n">
        <v>3</v>
      </c>
      <c r="H485" s="11" t="n">
        <v>50</v>
      </c>
      <c r="I485" s="11" t="n">
        <v>8</v>
      </c>
      <c r="J485" s="11" t="s">
        <v>40</v>
      </c>
      <c r="K485" s="11" t="n">
        <f aca="false">IF($J485="Y","",IF($F485="BW",$I485,$H485*$I485))</f>
        <v>400</v>
      </c>
      <c r="L485" s="11" t="str">
        <f aca="false">$D485&amp;"|"&amp;$H485</f>
        <v>Tricep Ext Overhead|50</v>
      </c>
      <c r="M485" s="11"/>
    </row>
    <row r="486" customFormat="false" ht="15" hidden="false" customHeight="false" outlineLevel="0" collapsed="false">
      <c r="A486" s="10" t="n">
        <v>46189</v>
      </c>
      <c r="B486" s="11" t="s">
        <v>69</v>
      </c>
      <c r="C486" s="11" t="s">
        <v>36</v>
      </c>
      <c r="D486" s="11" t="s">
        <v>80</v>
      </c>
      <c r="E486" s="11" t="s">
        <v>72</v>
      </c>
      <c r="F486" s="11" t="s">
        <v>39</v>
      </c>
      <c r="G486" s="11" t="n">
        <v>4</v>
      </c>
      <c r="H486" s="11" t="n">
        <v>50</v>
      </c>
      <c r="I486" s="11" t="n">
        <v>8</v>
      </c>
      <c r="J486" s="11" t="s">
        <v>40</v>
      </c>
      <c r="K486" s="11" t="n">
        <f aca="false">IF($J486="Y","",IF($F486="BW",$I486,$H486*$I486))</f>
        <v>400</v>
      </c>
      <c r="L486" s="11" t="str">
        <f aca="false">$D486&amp;"|"&amp;$H486</f>
        <v>Tricep Ext Overhead|50</v>
      </c>
      <c r="M486" s="11"/>
    </row>
    <row r="487" customFormat="false" ht="15" hidden="false" customHeight="false" outlineLevel="0" collapsed="false">
      <c r="A487" s="12" t="n">
        <v>46191</v>
      </c>
      <c r="B487" s="13" t="s">
        <v>35</v>
      </c>
      <c r="C487" s="13" t="s">
        <v>145</v>
      </c>
      <c r="D487" s="13" t="s">
        <v>63</v>
      </c>
      <c r="E487" s="13" t="s">
        <v>38</v>
      </c>
      <c r="F487" s="13" t="s">
        <v>39</v>
      </c>
      <c r="G487" s="13" t="n">
        <v>1</v>
      </c>
      <c r="H487" s="13" t="n">
        <v>10</v>
      </c>
      <c r="I487" s="13" t="n">
        <v>8</v>
      </c>
      <c r="J487" s="13" t="s">
        <v>84</v>
      </c>
      <c r="K487" s="13" t="str">
        <f aca="false">IF($J487="Y","",IF($F487="BW",$I487,$H487*$I487))</f>
        <v/>
      </c>
      <c r="L487" s="13" t="str">
        <f aca="false">$D487&amp;"|"&amp;$H487</f>
        <v>RDLs|10</v>
      </c>
      <c r="M487" s="13" t="s">
        <v>146</v>
      </c>
    </row>
    <row r="488" customFormat="false" ht="15" hidden="false" customHeight="false" outlineLevel="0" collapsed="false">
      <c r="A488" s="10" t="n">
        <v>46191</v>
      </c>
      <c r="B488" s="11" t="s">
        <v>35</v>
      </c>
      <c r="C488" s="11" t="s">
        <v>145</v>
      </c>
      <c r="D488" s="11" t="s">
        <v>63</v>
      </c>
      <c r="E488" s="11" t="s">
        <v>38</v>
      </c>
      <c r="F488" s="11" t="s">
        <v>39</v>
      </c>
      <c r="G488" s="11" t="n">
        <v>2</v>
      </c>
      <c r="H488" s="11" t="n">
        <v>35</v>
      </c>
      <c r="I488" s="11" t="n">
        <v>8</v>
      </c>
      <c r="J488" s="11" t="s">
        <v>40</v>
      </c>
      <c r="K488" s="11" t="n">
        <f aca="false">IF($J488="Y","",IF($F488="BW",$I488,$H488*$I488))</f>
        <v>280</v>
      </c>
      <c r="L488" s="11" t="str">
        <f aca="false">$D488&amp;"|"&amp;$H488</f>
        <v>RDLs|35</v>
      </c>
      <c r="M488" s="11" t="s">
        <v>146</v>
      </c>
    </row>
    <row r="489" customFormat="false" ht="15" hidden="false" customHeight="false" outlineLevel="0" collapsed="false">
      <c r="A489" s="10" t="n">
        <v>46191</v>
      </c>
      <c r="B489" s="11" t="s">
        <v>35</v>
      </c>
      <c r="C489" s="11" t="s">
        <v>145</v>
      </c>
      <c r="D489" s="11" t="s">
        <v>63</v>
      </c>
      <c r="E489" s="11" t="s">
        <v>38</v>
      </c>
      <c r="F489" s="11" t="s">
        <v>39</v>
      </c>
      <c r="G489" s="11" t="n">
        <v>3</v>
      </c>
      <c r="H489" s="11" t="n">
        <v>35</v>
      </c>
      <c r="I489" s="11" t="n">
        <v>8</v>
      </c>
      <c r="J489" s="11" t="s">
        <v>40</v>
      </c>
      <c r="K489" s="11" t="n">
        <f aca="false">IF($J489="Y","",IF($F489="BW",$I489,$H489*$I489))</f>
        <v>280</v>
      </c>
      <c r="L489" s="11" t="str">
        <f aca="false">$D489&amp;"|"&amp;$H489</f>
        <v>RDLs|35</v>
      </c>
      <c r="M489" s="11" t="s">
        <v>146</v>
      </c>
    </row>
    <row r="490" customFormat="false" ht="15" hidden="false" customHeight="false" outlineLevel="0" collapsed="false">
      <c r="A490" s="12" t="n">
        <v>46191</v>
      </c>
      <c r="B490" s="13" t="s">
        <v>35</v>
      </c>
      <c r="C490" s="13" t="s">
        <v>145</v>
      </c>
      <c r="D490" s="13" t="s">
        <v>64</v>
      </c>
      <c r="E490" s="13" t="s">
        <v>38</v>
      </c>
      <c r="F490" s="13" t="s">
        <v>39</v>
      </c>
      <c r="G490" s="13" t="n">
        <v>1</v>
      </c>
      <c r="H490" s="13" t="n">
        <v>10</v>
      </c>
      <c r="I490" s="13" t="n">
        <v>8</v>
      </c>
      <c r="J490" s="13" t="s">
        <v>84</v>
      </c>
      <c r="K490" s="13" t="str">
        <f aca="false">IF($J490="Y","",IF($F490="BW",$I490,$H490*$I490))</f>
        <v/>
      </c>
      <c r="L490" s="13" t="str">
        <f aca="false">$D490&amp;"|"&amp;$H490</f>
        <v>Calf Raises (Smith)|10</v>
      </c>
      <c r="M490" s="13"/>
    </row>
    <row r="491" customFormat="false" ht="15" hidden="false" customHeight="false" outlineLevel="0" collapsed="false">
      <c r="A491" s="10" t="n">
        <v>46191</v>
      </c>
      <c r="B491" s="11" t="s">
        <v>35</v>
      </c>
      <c r="C491" s="11" t="s">
        <v>145</v>
      </c>
      <c r="D491" s="11" t="s">
        <v>64</v>
      </c>
      <c r="E491" s="11" t="s">
        <v>38</v>
      </c>
      <c r="F491" s="11" t="s">
        <v>39</v>
      </c>
      <c r="G491" s="11" t="n">
        <v>2</v>
      </c>
      <c r="H491" s="11" t="n">
        <v>35</v>
      </c>
      <c r="I491" s="11" t="n">
        <v>8</v>
      </c>
      <c r="J491" s="11" t="s">
        <v>40</v>
      </c>
      <c r="K491" s="11" t="n">
        <f aca="false">IF($J491="Y","",IF($F491="BW",$I491,$H491*$I491))</f>
        <v>280</v>
      </c>
      <c r="L491" s="11" t="str">
        <f aca="false">$D491&amp;"|"&amp;$H491</f>
        <v>Calf Raises (Smith)|35</v>
      </c>
      <c r="M491" s="11"/>
    </row>
    <row r="492" customFormat="false" ht="15" hidden="false" customHeight="false" outlineLevel="0" collapsed="false">
      <c r="A492" s="10" t="n">
        <v>46191</v>
      </c>
      <c r="B492" s="11" t="s">
        <v>35</v>
      </c>
      <c r="C492" s="11" t="s">
        <v>145</v>
      </c>
      <c r="D492" s="11" t="s">
        <v>64</v>
      </c>
      <c r="E492" s="11" t="s">
        <v>38</v>
      </c>
      <c r="F492" s="11" t="s">
        <v>39</v>
      </c>
      <c r="G492" s="11" t="n">
        <v>3</v>
      </c>
      <c r="H492" s="11" t="n">
        <v>35</v>
      </c>
      <c r="I492" s="11" t="n">
        <v>8</v>
      </c>
      <c r="J492" s="11" t="s">
        <v>40</v>
      </c>
      <c r="K492" s="11" t="n">
        <f aca="false">IF($J492="Y","",IF($F492="BW",$I492,$H492*$I492))</f>
        <v>280</v>
      </c>
      <c r="L492" s="11" t="str">
        <f aca="false">$D492&amp;"|"&amp;$H492</f>
        <v>Calf Raises (Smith)|35</v>
      </c>
      <c r="M492" s="11"/>
    </row>
    <row r="493" customFormat="false" ht="15" hidden="false" customHeight="false" outlineLevel="0" collapsed="false">
      <c r="A493" s="10" t="n">
        <v>46191</v>
      </c>
      <c r="B493" s="11" t="s">
        <v>35</v>
      </c>
      <c r="C493" s="11" t="s">
        <v>145</v>
      </c>
      <c r="D493" s="11" t="s">
        <v>64</v>
      </c>
      <c r="E493" s="11" t="s">
        <v>38</v>
      </c>
      <c r="F493" s="11" t="s">
        <v>39</v>
      </c>
      <c r="G493" s="11" t="n">
        <v>4</v>
      </c>
      <c r="H493" s="11" t="n">
        <v>35</v>
      </c>
      <c r="I493" s="11" t="n">
        <v>8</v>
      </c>
      <c r="J493" s="11" t="s">
        <v>40</v>
      </c>
      <c r="K493" s="11" t="n">
        <f aca="false">IF($J493="Y","",IF($F493="BW",$I493,$H493*$I493))</f>
        <v>280</v>
      </c>
      <c r="L493" s="11" t="str">
        <f aca="false">$D493&amp;"|"&amp;$H493</f>
        <v>Calf Raises (Smith)|35</v>
      </c>
      <c r="M493" s="11"/>
    </row>
    <row r="494" customFormat="false" ht="15" hidden="false" customHeight="false" outlineLevel="0" collapsed="false">
      <c r="A494" s="12" t="n">
        <v>46191</v>
      </c>
      <c r="B494" s="13" t="s">
        <v>35</v>
      </c>
      <c r="C494" s="13" t="s">
        <v>145</v>
      </c>
      <c r="D494" s="13" t="s">
        <v>73</v>
      </c>
      <c r="E494" s="13" t="s">
        <v>74</v>
      </c>
      <c r="F494" s="13" t="s">
        <v>75</v>
      </c>
      <c r="G494" s="13" t="n">
        <v>1</v>
      </c>
      <c r="H494" s="13" t="n">
        <v>12.5</v>
      </c>
      <c r="I494" s="13" t="n">
        <v>8</v>
      </c>
      <c r="J494" s="13" t="s">
        <v>84</v>
      </c>
      <c r="K494" s="13" t="str">
        <f aca="false">IF($J494="Y","",IF($F494="BW",$I494,$H494*$I494))</f>
        <v/>
      </c>
      <c r="L494" s="13" t="str">
        <f aca="false">$D494&amp;"|"&amp;$H494</f>
        <v>Single Arm Lat Pulldown|12.5</v>
      </c>
      <c r="M494" s="13"/>
    </row>
    <row r="495" customFormat="false" ht="15" hidden="false" customHeight="false" outlineLevel="0" collapsed="false">
      <c r="A495" s="10" t="n">
        <v>46191</v>
      </c>
      <c r="B495" s="11" t="s">
        <v>35</v>
      </c>
      <c r="C495" s="11" t="s">
        <v>145</v>
      </c>
      <c r="D495" s="11" t="s">
        <v>73</v>
      </c>
      <c r="E495" s="11" t="s">
        <v>74</v>
      </c>
      <c r="F495" s="11" t="s">
        <v>75</v>
      </c>
      <c r="G495" s="11" t="n">
        <v>2</v>
      </c>
      <c r="H495" s="11" t="n">
        <v>20</v>
      </c>
      <c r="I495" s="11" t="n">
        <v>8</v>
      </c>
      <c r="J495" s="11" t="s">
        <v>40</v>
      </c>
      <c r="K495" s="11" t="n">
        <f aca="false">IF($J495="Y","",IF($F495="BW",$I495,$H495*$I495))</f>
        <v>160</v>
      </c>
      <c r="L495" s="11" t="str">
        <f aca="false">$D495&amp;"|"&amp;$H495</f>
        <v>Single Arm Lat Pulldown|20</v>
      </c>
      <c r="M495" s="11"/>
    </row>
    <row r="496" customFormat="false" ht="15" hidden="false" customHeight="false" outlineLevel="0" collapsed="false">
      <c r="A496" s="10" t="n">
        <v>46191</v>
      </c>
      <c r="B496" s="11" t="s">
        <v>35</v>
      </c>
      <c r="C496" s="11" t="s">
        <v>145</v>
      </c>
      <c r="D496" s="11" t="s">
        <v>73</v>
      </c>
      <c r="E496" s="11" t="s">
        <v>74</v>
      </c>
      <c r="F496" s="11" t="s">
        <v>75</v>
      </c>
      <c r="G496" s="11" t="n">
        <v>3</v>
      </c>
      <c r="H496" s="11" t="n">
        <v>22.5</v>
      </c>
      <c r="I496" s="11" t="n">
        <v>8</v>
      </c>
      <c r="J496" s="11" t="s">
        <v>40</v>
      </c>
      <c r="K496" s="11" t="n">
        <f aca="false">IF($J496="Y","",IF($F496="BW",$I496,$H496*$I496))</f>
        <v>180</v>
      </c>
      <c r="L496" s="11" t="str">
        <f aca="false">$D496&amp;"|"&amp;$H496</f>
        <v>Single Arm Lat Pulldown|22.5</v>
      </c>
      <c r="M496" s="11"/>
    </row>
    <row r="497" customFormat="false" ht="15" hidden="false" customHeight="false" outlineLevel="0" collapsed="false">
      <c r="A497" s="10" t="n">
        <v>46191</v>
      </c>
      <c r="B497" s="11" t="s">
        <v>35</v>
      </c>
      <c r="C497" s="11" t="s">
        <v>145</v>
      </c>
      <c r="D497" s="11" t="s">
        <v>73</v>
      </c>
      <c r="E497" s="11" t="s">
        <v>74</v>
      </c>
      <c r="F497" s="11" t="s">
        <v>75</v>
      </c>
      <c r="G497" s="11" t="n">
        <v>4</v>
      </c>
      <c r="H497" s="11" t="n">
        <v>22.5</v>
      </c>
      <c r="I497" s="11" t="n">
        <v>8</v>
      </c>
      <c r="J497" s="11" t="s">
        <v>40</v>
      </c>
      <c r="K497" s="11" t="n">
        <f aca="false">IF($J497="Y","",IF($F497="BW",$I497,$H497*$I497))</f>
        <v>180</v>
      </c>
      <c r="L497" s="11" t="str">
        <f aca="false">$D497&amp;"|"&amp;$H497</f>
        <v>Single Arm Lat Pulldown|22.5</v>
      </c>
      <c r="M497" s="11"/>
    </row>
    <row r="498" customFormat="false" ht="15" hidden="false" customHeight="false" outlineLevel="0" collapsed="false">
      <c r="A498" s="12" t="n">
        <v>46191</v>
      </c>
      <c r="B498" s="13" t="s">
        <v>35</v>
      </c>
      <c r="C498" s="13" t="s">
        <v>145</v>
      </c>
      <c r="D498" s="13" t="s">
        <v>88</v>
      </c>
      <c r="E498" s="13" t="s">
        <v>38</v>
      </c>
      <c r="F498" s="13" t="s">
        <v>39</v>
      </c>
      <c r="G498" s="13" t="n">
        <v>1</v>
      </c>
      <c r="H498" s="13" t="n">
        <v>20</v>
      </c>
      <c r="I498" s="13" t="n">
        <v>8</v>
      </c>
      <c r="J498" s="13" t="s">
        <v>84</v>
      </c>
      <c r="K498" s="13" t="str">
        <f aca="false">IF($J498="Y","",IF($F498="BW",$I498,$H498*$I498))</f>
        <v/>
      </c>
      <c r="L498" s="13" t="str">
        <f aca="false">$D498&amp;"|"&amp;$H498</f>
        <v>Smith Rows|20</v>
      </c>
      <c r="M498" s="13"/>
    </row>
    <row r="499" customFormat="false" ht="15" hidden="false" customHeight="false" outlineLevel="0" collapsed="false">
      <c r="A499" s="10" t="n">
        <v>46191</v>
      </c>
      <c r="B499" s="11" t="s">
        <v>35</v>
      </c>
      <c r="C499" s="11" t="s">
        <v>145</v>
      </c>
      <c r="D499" s="11" t="s">
        <v>88</v>
      </c>
      <c r="E499" s="11" t="s">
        <v>38</v>
      </c>
      <c r="F499" s="11" t="s">
        <v>39</v>
      </c>
      <c r="G499" s="11" t="n">
        <v>2</v>
      </c>
      <c r="H499" s="11" t="n">
        <v>50</v>
      </c>
      <c r="I499" s="11" t="n">
        <v>8</v>
      </c>
      <c r="J499" s="11" t="s">
        <v>40</v>
      </c>
      <c r="K499" s="11" t="n">
        <f aca="false">IF($J499="Y","",IF($F499="BW",$I499,$H499*$I499))</f>
        <v>400</v>
      </c>
      <c r="L499" s="11" t="str">
        <f aca="false">$D499&amp;"|"&amp;$H499</f>
        <v>Smith Rows|50</v>
      </c>
      <c r="M499" s="11"/>
    </row>
    <row r="500" customFormat="false" ht="15" hidden="false" customHeight="false" outlineLevel="0" collapsed="false">
      <c r="A500" s="10" t="n">
        <v>46191</v>
      </c>
      <c r="B500" s="11" t="s">
        <v>35</v>
      </c>
      <c r="C500" s="11" t="s">
        <v>145</v>
      </c>
      <c r="D500" s="11" t="s">
        <v>88</v>
      </c>
      <c r="E500" s="11" t="s">
        <v>38</v>
      </c>
      <c r="F500" s="11" t="s">
        <v>39</v>
      </c>
      <c r="G500" s="11" t="n">
        <v>3</v>
      </c>
      <c r="H500" s="11" t="n">
        <v>55</v>
      </c>
      <c r="I500" s="11" t="n">
        <v>8</v>
      </c>
      <c r="J500" s="11" t="s">
        <v>40</v>
      </c>
      <c r="K500" s="11" t="n">
        <f aca="false">IF($J500="Y","",IF($F500="BW",$I500,$H500*$I500))</f>
        <v>440</v>
      </c>
      <c r="L500" s="11" t="str">
        <f aca="false">$D500&amp;"|"&amp;$H500</f>
        <v>Smith Rows|55</v>
      </c>
      <c r="M500" s="11"/>
    </row>
    <row r="501" customFormat="false" ht="15" hidden="false" customHeight="false" outlineLevel="0" collapsed="false">
      <c r="A501" s="10" t="n">
        <v>46191</v>
      </c>
      <c r="B501" s="11" t="s">
        <v>35</v>
      </c>
      <c r="C501" s="11" t="s">
        <v>145</v>
      </c>
      <c r="D501" s="11" t="s">
        <v>88</v>
      </c>
      <c r="E501" s="11" t="s">
        <v>38</v>
      </c>
      <c r="F501" s="11" t="s">
        <v>39</v>
      </c>
      <c r="G501" s="11" t="n">
        <v>4</v>
      </c>
      <c r="H501" s="11" t="n">
        <v>55</v>
      </c>
      <c r="I501" s="11" t="n">
        <v>8</v>
      </c>
      <c r="J501" s="11" t="s">
        <v>40</v>
      </c>
      <c r="K501" s="11" t="n">
        <f aca="false">IF($J501="Y","",IF($F501="BW",$I501,$H501*$I501))</f>
        <v>440</v>
      </c>
      <c r="L501" s="11" t="str">
        <f aca="false">$D501&amp;"|"&amp;$H501</f>
        <v>Smith Rows|55</v>
      </c>
      <c r="M501" s="11"/>
    </row>
    <row r="502" customFormat="false" ht="15" hidden="false" customHeight="false" outlineLevel="0" collapsed="false">
      <c r="A502" s="12" t="n">
        <v>46191</v>
      </c>
      <c r="B502" s="13" t="s">
        <v>35</v>
      </c>
      <c r="C502" s="13" t="s">
        <v>145</v>
      </c>
      <c r="D502" s="13" t="s">
        <v>91</v>
      </c>
      <c r="E502" s="13" t="s">
        <v>72</v>
      </c>
      <c r="F502" s="13" t="s">
        <v>39</v>
      </c>
      <c r="G502" s="13" t="n">
        <v>1</v>
      </c>
      <c r="H502" s="13" t="n">
        <v>25</v>
      </c>
      <c r="I502" s="13" t="n">
        <v>8</v>
      </c>
      <c r="J502" s="13" t="s">
        <v>84</v>
      </c>
      <c r="K502" s="13" t="str">
        <f aca="false">IF($J502="Y","",IF($F502="BW",$I502,$H502*$I502))</f>
        <v/>
      </c>
      <c r="L502" s="13" t="str">
        <f aca="false">$D502&amp;"|"&amp;$H502</f>
        <v>Shrugs|25</v>
      </c>
      <c r="M502" s="13"/>
    </row>
    <row r="503" customFormat="false" ht="15" hidden="false" customHeight="false" outlineLevel="0" collapsed="false">
      <c r="A503" s="10" t="n">
        <v>46191</v>
      </c>
      <c r="B503" s="11" t="s">
        <v>35</v>
      </c>
      <c r="C503" s="11" t="s">
        <v>145</v>
      </c>
      <c r="D503" s="11" t="s">
        <v>91</v>
      </c>
      <c r="E503" s="11" t="s">
        <v>72</v>
      </c>
      <c r="F503" s="11" t="s">
        <v>39</v>
      </c>
      <c r="G503" s="11" t="n">
        <v>2</v>
      </c>
      <c r="H503" s="11" t="n">
        <v>50</v>
      </c>
      <c r="I503" s="11" t="n">
        <v>8</v>
      </c>
      <c r="J503" s="11" t="s">
        <v>40</v>
      </c>
      <c r="K503" s="11" t="n">
        <f aca="false">IF($J503="Y","",IF($F503="BW",$I503,$H503*$I503))</f>
        <v>400</v>
      </c>
      <c r="L503" s="11" t="str">
        <f aca="false">$D503&amp;"|"&amp;$H503</f>
        <v>Shrugs|50</v>
      </c>
      <c r="M503" s="11"/>
    </row>
    <row r="504" customFormat="false" ht="15" hidden="false" customHeight="false" outlineLevel="0" collapsed="false">
      <c r="A504" s="10" t="n">
        <v>46191</v>
      </c>
      <c r="B504" s="11" t="s">
        <v>35</v>
      </c>
      <c r="C504" s="11" t="s">
        <v>145</v>
      </c>
      <c r="D504" s="11" t="s">
        <v>91</v>
      </c>
      <c r="E504" s="11" t="s">
        <v>72</v>
      </c>
      <c r="F504" s="11" t="s">
        <v>39</v>
      </c>
      <c r="G504" s="11" t="n">
        <v>3</v>
      </c>
      <c r="H504" s="11" t="n">
        <v>50</v>
      </c>
      <c r="I504" s="11" t="n">
        <v>8</v>
      </c>
      <c r="J504" s="11" t="s">
        <v>40</v>
      </c>
      <c r="K504" s="11" t="n">
        <f aca="false">IF($J504="Y","",IF($F504="BW",$I504,$H504*$I504))</f>
        <v>400</v>
      </c>
      <c r="L504" s="11" t="str">
        <f aca="false">$D504&amp;"|"&amp;$H504</f>
        <v>Shrugs|50</v>
      </c>
      <c r="M504" s="11"/>
    </row>
    <row r="505" customFormat="false" ht="15" hidden="false" customHeight="false" outlineLevel="0" collapsed="false">
      <c r="A505" s="10" t="n">
        <v>46191</v>
      </c>
      <c r="B505" s="11" t="s">
        <v>35</v>
      </c>
      <c r="C505" s="11" t="s">
        <v>145</v>
      </c>
      <c r="D505" s="11" t="s">
        <v>91</v>
      </c>
      <c r="E505" s="11" t="s">
        <v>72</v>
      </c>
      <c r="F505" s="11" t="s">
        <v>39</v>
      </c>
      <c r="G505" s="11" t="n">
        <v>4</v>
      </c>
      <c r="H505" s="11" t="n">
        <v>50</v>
      </c>
      <c r="I505" s="11" t="n">
        <v>8</v>
      </c>
      <c r="J505" s="11" t="s">
        <v>40</v>
      </c>
      <c r="K505" s="11" t="n">
        <f aca="false">IF($J505="Y","",IF($F505="BW",$I505,$H505*$I505))</f>
        <v>400</v>
      </c>
      <c r="L505" s="11" t="str">
        <f aca="false">$D505&amp;"|"&amp;$H505</f>
        <v>Shrugs|50</v>
      </c>
      <c r="M505" s="11"/>
    </row>
    <row r="506" customFormat="false" ht="15" hidden="false" customHeight="false" outlineLevel="0" collapsed="false">
      <c r="A506" s="12" t="n">
        <v>46196</v>
      </c>
      <c r="B506" s="13" t="s">
        <v>69</v>
      </c>
      <c r="C506" s="13" t="s">
        <v>108</v>
      </c>
      <c r="D506" s="13" t="s">
        <v>73</v>
      </c>
      <c r="E506" s="13" t="s">
        <v>74</v>
      </c>
      <c r="F506" s="13" t="s">
        <v>75</v>
      </c>
      <c r="G506" s="13" t="n">
        <v>1</v>
      </c>
      <c r="H506" s="13" t="n">
        <v>12.5</v>
      </c>
      <c r="I506" s="13" t="n">
        <v>8</v>
      </c>
      <c r="J506" s="13" t="s">
        <v>84</v>
      </c>
      <c r="K506" s="13" t="str">
        <f aca="false">IF($J506="Y","",IF($F506="BW",$I506,$H506*$I506))</f>
        <v/>
      </c>
      <c r="L506" s="13" t="str">
        <f aca="false">$D506&amp;"|"&amp;$H506</f>
        <v>Single Arm Lat Pulldown|12.5</v>
      </c>
      <c r="M506" s="13" t="s">
        <v>147</v>
      </c>
    </row>
    <row r="507" customFormat="false" ht="15" hidden="false" customHeight="false" outlineLevel="0" collapsed="false">
      <c r="A507" s="10" t="n">
        <v>46196</v>
      </c>
      <c r="B507" s="11" t="s">
        <v>69</v>
      </c>
      <c r="C507" s="11" t="s">
        <v>108</v>
      </c>
      <c r="D507" s="11" t="s">
        <v>73</v>
      </c>
      <c r="E507" s="11" t="s">
        <v>74</v>
      </c>
      <c r="F507" s="11" t="s">
        <v>75</v>
      </c>
      <c r="G507" s="11" t="n">
        <v>2</v>
      </c>
      <c r="H507" s="11" t="n">
        <v>20</v>
      </c>
      <c r="I507" s="11" t="n">
        <v>8</v>
      </c>
      <c r="J507" s="11" t="s">
        <v>40</v>
      </c>
      <c r="K507" s="11" t="n">
        <f aca="false">IF($J507="Y","",IF($F507="BW",$I507,$H507*$I507))</f>
        <v>160</v>
      </c>
      <c r="L507" s="11" t="str">
        <f aca="false">$D507&amp;"|"&amp;$H507</f>
        <v>Single Arm Lat Pulldown|20</v>
      </c>
      <c r="M507" s="11" t="s">
        <v>147</v>
      </c>
    </row>
    <row r="508" customFormat="false" ht="15" hidden="false" customHeight="false" outlineLevel="0" collapsed="false">
      <c r="A508" s="10" t="n">
        <v>46196</v>
      </c>
      <c r="B508" s="11" t="s">
        <v>69</v>
      </c>
      <c r="C508" s="11" t="s">
        <v>108</v>
      </c>
      <c r="D508" s="11" t="s">
        <v>73</v>
      </c>
      <c r="E508" s="11" t="s">
        <v>74</v>
      </c>
      <c r="F508" s="11" t="s">
        <v>75</v>
      </c>
      <c r="G508" s="11" t="n">
        <v>3</v>
      </c>
      <c r="H508" s="11" t="n">
        <v>25</v>
      </c>
      <c r="I508" s="11" t="n">
        <v>8</v>
      </c>
      <c r="J508" s="11" t="s">
        <v>40</v>
      </c>
      <c r="K508" s="11" t="n">
        <f aca="false">IF($J508="Y","",IF($F508="BW",$I508,$H508*$I508))</f>
        <v>200</v>
      </c>
      <c r="L508" s="11" t="str">
        <f aca="false">$D508&amp;"|"&amp;$H508</f>
        <v>Single Arm Lat Pulldown|25</v>
      </c>
      <c r="M508" s="11" t="s">
        <v>147</v>
      </c>
    </row>
    <row r="509" customFormat="false" ht="15" hidden="false" customHeight="false" outlineLevel="0" collapsed="false">
      <c r="A509" s="10" t="n">
        <v>46196</v>
      </c>
      <c r="B509" s="11" t="s">
        <v>69</v>
      </c>
      <c r="C509" s="11" t="s">
        <v>108</v>
      </c>
      <c r="D509" s="11" t="s">
        <v>73</v>
      </c>
      <c r="E509" s="11" t="s">
        <v>74</v>
      </c>
      <c r="F509" s="11" t="s">
        <v>75</v>
      </c>
      <c r="G509" s="11" t="n">
        <v>4</v>
      </c>
      <c r="H509" s="11" t="n">
        <v>25</v>
      </c>
      <c r="I509" s="11" t="n">
        <v>8</v>
      </c>
      <c r="J509" s="11" t="s">
        <v>40</v>
      </c>
      <c r="K509" s="11" t="n">
        <f aca="false">IF($J509="Y","",IF($F509="BW",$I509,$H509*$I509))</f>
        <v>200</v>
      </c>
      <c r="L509" s="11" t="str">
        <f aca="false">$D509&amp;"|"&amp;$H509</f>
        <v>Single Arm Lat Pulldown|25</v>
      </c>
      <c r="M509" s="11" t="s">
        <v>147</v>
      </c>
    </row>
    <row r="510" customFormat="false" ht="15" hidden="false" customHeight="false" outlineLevel="0" collapsed="false">
      <c r="A510" s="12" t="n">
        <v>46196</v>
      </c>
      <c r="B510" s="13" t="s">
        <v>69</v>
      </c>
      <c r="C510" s="13" t="s">
        <v>108</v>
      </c>
      <c r="D510" s="13" t="s">
        <v>88</v>
      </c>
      <c r="E510" s="13" t="s">
        <v>38</v>
      </c>
      <c r="F510" s="13" t="s">
        <v>39</v>
      </c>
      <c r="G510" s="13" t="n">
        <v>1</v>
      </c>
      <c r="H510" s="13" t="n">
        <v>20</v>
      </c>
      <c r="I510" s="13" t="n">
        <v>8</v>
      </c>
      <c r="J510" s="13" t="s">
        <v>84</v>
      </c>
      <c r="K510" s="13" t="str">
        <f aca="false">IF($J510="Y","",IF($F510="BW",$I510,$H510*$I510))</f>
        <v/>
      </c>
      <c r="L510" s="13" t="str">
        <f aca="false">$D510&amp;"|"&amp;$H510</f>
        <v>Smith Rows|20</v>
      </c>
      <c r="M510" s="13"/>
    </row>
    <row r="511" customFormat="false" ht="15" hidden="false" customHeight="false" outlineLevel="0" collapsed="false">
      <c r="A511" s="10" t="n">
        <v>46196</v>
      </c>
      <c r="B511" s="11" t="s">
        <v>69</v>
      </c>
      <c r="C511" s="11" t="s">
        <v>108</v>
      </c>
      <c r="D511" s="11" t="s">
        <v>88</v>
      </c>
      <c r="E511" s="11" t="s">
        <v>38</v>
      </c>
      <c r="F511" s="11" t="s">
        <v>39</v>
      </c>
      <c r="G511" s="11" t="n">
        <v>2</v>
      </c>
      <c r="H511" s="11" t="n">
        <v>50</v>
      </c>
      <c r="I511" s="11" t="n">
        <v>8</v>
      </c>
      <c r="J511" s="11" t="s">
        <v>40</v>
      </c>
      <c r="K511" s="11" t="n">
        <f aca="false">IF($J511="Y","",IF($F511="BW",$I511,$H511*$I511))</f>
        <v>400</v>
      </c>
      <c r="L511" s="11" t="str">
        <f aca="false">$D511&amp;"|"&amp;$H511</f>
        <v>Smith Rows|50</v>
      </c>
      <c r="M511" s="11"/>
    </row>
    <row r="512" customFormat="false" ht="15" hidden="false" customHeight="false" outlineLevel="0" collapsed="false">
      <c r="A512" s="10" t="n">
        <v>46196</v>
      </c>
      <c r="B512" s="11" t="s">
        <v>69</v>
      </c>
      <c r="C512" s="11" t="s">
        <v>108</v>
      </c>
      <c r="D512" s="11" t="s">
        <v>88</v>
      </c>
      <c r="E512" s="11" t="s">
        <v>38</v>
      </c>
      <c r="F512" s="11" t="s">
        <v>39</v>
      </c>
      <c r="G512" s="11" t="n">
        <v>3</v>
      </c>
      <c r="H512" s="11" t="n">
        <v>55</v>
      </c>
      <c r="I512" s="11" t="n">
        <v>8</v>
      </c>
      <c r="J512" s="11" t="s">
        <v>40</v>
      </c>
      <c r="K512" s="11" t="n">
        <f aca="false">IF($J512="Y","",IF($F512="BW",$I512,$H512*$I512))</f>
        <v>440</v>
      </c>
      <c r="L512" s="11" t="str">
        <f aca="false">$D512&amp;"|"&amp;$H512</f>
        <v>Smith Rows|55</v>
      </c>
      <c r="M512" s="11"/>
    </row>
    <row r="513" customFormat="false" ht="15" hidden="false" customHeight="false" outlineLevel="0" collapsed="false">
      <c r="A513" s="10" t="n">
        <v>46196</v>
      </c>
      <c r="B513" s="11" t="s">
        <v>69</v>
      </c>
      <c r="C513" s="11" t="s">
        <v>108</v>
      </c>
      <c r="D513" s="11" t="s">
        <v>88</v>
      </c>
      <c r="E513" s="11" t="s">
        <v>38</v>
      </c>
      <c r="F513" s="11" t="s">
        <v>39</v>
      </c>
      <c r="G513" s="11" t="n">
        <v>4</v>
      </c>
      <c r="H513" s="11" t="n">
        <v>55</v>
      </c>
      <c r="I513" s="11" t="n">
        <v>8</v>
      </c>
      <c r="J513" s="11" t="s">
        <v>40</v>
      </c>
      <c r="K513" s="11" t="n">
        <f aca="false">IF($J513="Y","",IF($F513="BW",$I513,$H513*$I513))</f>
        <v>440</v>
      </c>
      <c r="L513" s="11" t="str">
        <f aca="false">$D513&amp;"|"&amp;$H513</f>
        <v>Smith Rows|55</v>
      </c>
      <c r="M513" s="11"/>
    </row>
    <row r="514" customFormat="false" ht="15" hidden="false" customHeight="false" outlineLevel="0" collapsed="false">
      <c r="A514" s="10" t="n">
        <v>46196</v>
      </c>
      <c r="B514" s="11" t="s">
        <v>69</v>
      </c>
      <c r="C514" s="11" t="s">
        <v>108</v>
      </c>
      <c r="D514" s="11" t="s">
        <v>77</v>
      </c>
      <c r="E514" s="11" t="s">
        <v>72</v>
      </c>
      <c r="F514" s="11" t="s">
        <v>39</v>
      </c>
      <c r="G514" s="11" t="n">
        <v>1</v>
      </c>
      <c r="H514" s="11" t="n">
        <v>25</v>
      </c>
      <c r="I514" s="11" t="n">
        <v>8</v>
      </c>
      <c r="J514" s="11" t="s">
        <v>40</v>
      </c>
      <c r="K514" s="11" t="n">
        <f aca="false">IF($J514="Y","",IF($F514="BW",$I514,$H514*$I514))</f>
        <v>200</v>
      </c>
      <c r="L514" s="11" t="str">
        <f aca="false">$D514&amp;"|"&amp;$H514</f>
        <v>Bicep Curls (DB)|25</v>
      </c>
      <c r="M514" s="11" t="s">
        <v>148</v>
      </c>
    </row>
    <row r="515" customFormat="false" ht="15" hidden="false" customHeight="false" outlineLevel="0" collapsed="false">
      <c r="A515" s="12" t="n">
        <v>46198</v>
      </c>
      <c r="B515" s="13" t="s">
        <v>35</v>
      </c>
      <c r="C515" s="13" t="s">
        <v>36</v>
      </c>
      <c r="D515" s="13" t="s">
        <v>110</v>
      </c>
      <c r="E515" s="13" t="s">
        <v>38</v>
      </c>
      <c r="F515" s="13" t="s">
        <v>39</v>
      </c>
      <c r="G515" s="13" t="n">
        <v>1</v>
      </c>
      <c r="H515" s="13" t="n">
        <v>30</v>
      </c>
      <c r="I515" s="13" t="n">
        <v>8</v>
      </c>
      <c r="J515" s="13" t="s">
        <v>84</v>
      </c>
      <c r="K515" s="13" t="str">
        <f aca="false">IF($J515="Y","",IF($F515="BW",$I515,$H515*$I515))</f>
        <v/>
      </c>
      <c r="L515" s="13" t="str">
        <f aca="false">$D515&amp;"|"&amp;$H515</f>
        <v>Bench Press (Smith)|30</v>
      </c>
      <c r="M515" s="13"/>
    </row>
    <row r="516" customFormat="false" ht="15" hidden="false" customHeight="false" outlineLevel="0" collapsed="false">
      <c r="A516" s="10" t="n">
        <v>46198</v>
      </c>
      <c r="B516" s="11" t="s">
        <v>35</v>
      </c>
      <c r="C516" s="11" t="s">
        <v>36</v>
      </c>
      <c r="D516" s="11" t="s">
        <v>110</v>
      </c>
      <c r="E516" s="11" t="s">
        <v>38</v>
      </c>
      <c r="F516" s="11" t="s">
        <v>39</v>
      </c>
      <c r="G516" s="11" t="n">
        <v>2</v>
      </c>
      <c r="H516" s="11" t="n">
        <v>70</v>
      </c>
      <c r="I516" s="11" t="n">
        <v>8</v>
      </c>
      <c r="J516" s="11" t="s">
        <v>40</v>
      </c>
      <c r="K516" s="11" t="n">
        <f aca="false">IF($J516="Y","",IF($F516="BW",$I516,$H516*$I516))</f>
        <v>560</v>
      </c>
      <c r="L516" s="11" t="str">
        <f aca="false">$D516&amp;"|"&amp;$H516</f>
        <v>Bench Press (Smith)|70</v>
      </c>
      <c r="M516" s="11"/>
    </row>
    <row r="517" customFormat="false" ht="15" hidden="false" customHeight="false" outlineLevel="0" collapsed="false">
      <c r="A517" s="10" t="n">
        <v>46198</v>
      </c>
      <c r="B517" s="11" t="s">
        <v>35</v>
      </c>
      <c r="C517" s="11" t="s">
        <v>36</v>
      </c>
      <c r="D517" s="11" t="s">
        <v>110</v>
      </c>
      <c r="E517" s="11" t="s">
        <v>38</v>
      </c>
      <c r="F517" s="11" t="s">
        <v>39</v>
      </c>
      <c r="G517" s="11" t="n">
        <v>3</v>
      </c>
      <c r="H517" s="11" t="n">
        <v>100</v>
      </c>
      <c r="I517" s="11" t="n">
        <v>8</v>
      </c>
      <c r="J517" s="11" t="s">
        <v>40</v>
      </c>
      <c r="K517" s="11" t="n">
        <f aca="false">IF($J517="Y","",IF($F517="BW",$I517,$H517*$I517))</f>
        <v>800</v>
      </c>
      <c r="L517" s="11" t="str">
        <f aca="false">$D517&amp;"|"&amp;$H517</f>
        <v>Bench Press (Smith)|100</v>
      </c>
      <c r="M517" s="11"/>
    </row>
    <row r="518" customFormat="false" ht="15" hidden="false" customHeight="false" outlineLevel="0" collapsed="false">
      <c r="A518" s="10" t="n">
        <v>46198</v>
      </c>
      <c r="B518" s="11" t="s">
        <v>35</v>
      </c>
      <c r="C518" s="11" t="s">
        <v>36</v>
      </c>
      <c r="D518" s="11" t="s">
        <v>110</v>
      </c>
      <c r="E518" s="11" t="s">
        <v>38</v>
      </c>
      <c r="F518" s="11" t="s">
        <v>39</v>
      </c>
      <c r="G518" s="11" t="n">
        <v>4</v>
      </c>
      <c r="H518" s="11" t="n">
        <v>105</v>
      </c>
      <c r="I518" s="11" t="n">
        <v>8</v>
      </c>
      <c r="J518" s="11" t="s">
        <v>40</v>
      </c>
      <c r="K518" s="11" t="n">
        <f aca="false">IF($J518="Y","",IF($F518="BW",$I518,$H518*$I518))</f>
        <v>840</v>
      </c>
      <c r="L518" s="11" t="str">
        <f aca="false">$D518&amp;"|"&amp;$H518</f>
        <v>Bench Press (Smith)|105</v>
      </c>
      <c r="M518" s="11"/>
    </row>
    <row r="519" customFormat="false" ht="15" hidden="false" customHeight="false" outlineLevel="0" collapsed="false">
      <c r="A519" s="12" t="n">
        <v>46198</v>
      </c>
      <c r="B519" s="13" t="s">
        <v>35</v>
      </c>
      <c r="C519" s="13" t="s">
        <v>36</v>
      </c>
      <c r="D519" s="13" t="s">
        <v>76</v>
      </c>
      <c r="E519" s="13" t="s">
        <v>72</v>
      </c>
      <c r="F519" s="13" t="s">
        <v>39</v>
      </c>
      <c r="G519" s="13" t="n">
        <v>1</v>
      </c>
      <c r="H519" s="13" t="n">
        <v>15</v>
      </c>
      <c r="I519" s="13" t="n">
        <v>8</v>
      </c>
      <c r="J519" s="13" t="s">
        <v>84</v>
      </c>
      <c r="K519" s="13" t="str">
        <f aca="false">IF($J519="Y","",IF($F519="BW",$I519,$H519*$I519))</f>
        <v/>
      </c>
      <c r="L519" s="13" t="str">
        <f aca="false">$D519&amp;"|"&amp;$H519</f>
        <v>Shoulder Press|15</v>
      </c>
      <c r="M519" s="13"/>
    </row>
    <row r="520" customFormat="false" ht="15" hidden="false" customHeight="false" outlineLevel="0" collapsed="false">
      <c r="A520" s="10" t="n">
        <v>46198</v>
      </c>
      <c r="B520" s="11" t="s">
        <v>35</v>
      </c>
      <c r="C520" s="11" t="s">
        <v>36</v>
      </c>
      <c r="D520" s="11" t="s">
        <v>76</v>
      </c>
      <c r="E520" s="11" t="s">
        <v>72</v>
      </c>
      <c r="F520" s="11" t="s">
        <v>39</v>
      </c>
      <c r="G520" s="11" t="n">
        <v>2</v>
      </c>
      <c r="H520" s="11" t="n">
        <v>30</v>
      </c>
      <c r="I520" s="11" t="n">
        <v>8</v>
      </c>
      <c r="J520" s="11" t="s">
        <v>40</v>
      </c>
      <c r="K520" s="11" t="n">
        <f aca="false">IF($J520="Y","",IF($F520="BW",$I520,$H520*$I520))</f>
        <v>240</v>
      </c>
      <c r="L520" s="11" t="str">
        <f aca="false">$D520&amp;"|"&amp;$H520</f>
        <v>Shoulder Press|30</v>
      </c>
      <c r="M520" s="11"/>
    </row>
    <row r="521" customFormat="false" ht="15" hidden="false" customHeight="false" outlineLevel="0" collapsed="false">
      <c r="A521" s="10" t="n">
        <v>46198</v>
      </c>
      <c r="B521" s="11" t="s">
        <v>35</v>
      </c>
      <c r="C521" s="11" t="s">
        <v>36</v>
      </c>
      <c r="D521" s="11" t="s">
        <v>76</v>
      </c>
      <c r="E521" s="11" t="s">
        <v>72</v>
      </c>
      <c r="F521" s="11" t="s">
        <v>39</v>
      </c>
      <c r="G521" s="11" t="n">
        <v>3</v>
      </c>
      <c r="H521" s="11" t="n">
        <v>30</v>
      </c>
      <c r="I521" s="11" t="n">
        <v>8</v>
      </c>
      <c r="J521" s="11" t="s">
        <v>40</v>
      </c>
      <c r="K521" s="11" t="n">
        <f aca="false">IF($J521="Y","",IF($F521="BW",$I521,$H521*$I521))</f>
        <v>240</v>
      </c>
      <c r="L521" s="11" t="str">
        <f aca="false">$D521&amp;"|"&amp;$H521</f>
        <v>Shoulder Press|30</v>
      </c>
      <c r="M521" s="11"/>
    </row>
    <row r="522" customFormat="false" ht="15" hidden="false" customHeight="false" outlineLevel="0" collapsed="false">
      <c r="A522" s="10" t="n">
        <v>46198</v>
      </c>
      <c r="B522" s="11" t="s">
        <v>35</v>
      </c>
      <c r="C522" s="11" t="s">
        <v>36</v>
      </c>
      <c r="D522" s="11" t="s">
        <v>76</v>
      </c>
      <c r="E522" s="11" t="s">
        <v>72</v>
      </c>
      <c r="F522" s="11" t="s">
        <v>39</v>
      </c>
      <c r="G522" s="11" t="n">
        <v>4</v>
      </c>
      <c r="H522" s="11" t="n">
        <v>35</v>
      </c>
      <c r="I522" s="11" t="n">
        <v>8</v>
      </c>
      <c r="J522" s="11" t="s">
        <v>40</v>
      </c>
      <c r="K522" s="11" t="n">
        <f aca="false">IF($J522="Y","",IF($F522="BW",$I522,$H522*$I522))</f>
        <v>280</v>
      </c>
      <c r="L522" s="11" t="str">
        <f aca="false">$D522&amp;"|"&amp;$H522</f>
        <v>Shoulder Press|35</v>
      </c>
      <c r="M522" s="11"/>
    </row>
    <row r="523" customFormat="false" ht="15" hidden="false" customHeight="false" outlineLevel="0" collapsed="false">
      <c r="A523" s="12" t="n">
        <v>46198</v>
      </c>
      <c r="B523" s="13" t="s">
        <v>35</v>
      </c>
      <c r="C523" s="13" t="s">
        <v>36</v>
      </c>
      <c r="D523" s="13" t="s">
        <v>80</v>
      </c>
      <c r="E523" s="13" t="s">
        <v>72</v>
      </c>
      <c r="F523" s="13" t="s">
        <v>39</v>
      </c>
      <c r="G523" s="13" t="n">
        <v>1</v>
      </c>
      <c r="H523" s="13" t="n">
        <v>25</v>
      </c>
      <c r="I523" s="13" t="n">
        <v>8</v>
      </c>
      <c r="J523" s="13" t="s">
        <v>84</v>
      </c>
      <c r="K523" s="13" t="str">
        <f aca="false">IF($J523="Y","",IF($F523="BW",$I523,$H523*$I523))</f>
        <v/>
      </c>
      <c r="L523" s="13" t="str">
        <f aca="false">$D523&amp;"|"&amp;$H523</f>
        <v>Tricep Ext Overhead|25</v>
      </c>
      <c r="M523" s="13"/>
    </row>
    <row r="524" customFormat="false" ht="15" hidden="false" customHeight="false" outlineLevel="0" collapsed="false">
      <c r="A524" s="10" t="n">
        <v>46198</v>
      </c>
      <c r="B524" s="11" t="s">
        <v>35</v>
      </c>
      <c r="C524" s="11" t="s">
        <v>36</v>
      </c>
      <c r="D524" s="11" t="s">
        <v>80</v>
      </c>
      <c r="E524" s="11" t="s">
        <v>72</v>
      </c>
      <c r="F524" s="11" t="s">
        <v>39</v>
      </c>
      <c r="G524" s="11" t="n">
        <v>2</v>
      </c>
      <c r="H524" s="11" t="n">
        <v>40</v>
      </c>
      <c r="I524" s="11" t="n">
        <v>8</v>
      </c>
      <c r="J524" s="11" t="s">
        <v>40</v>
      </c>
      <c r="K524" s="11" t="n">
        <f aca="false">IF($J524="Y","",IF($F524="BW",$I524,$H524*$I524))</f>
        <v>320</v>
      </c>
      <c r="L524" s="11" t="str">
        <f aca="false">$D524&amp;"|"&amp;$H524</f>
        <v>Tricep Ext Overhead|40</v>
      </c>
      <c r="M524" s="11"/>
    </row>
    <row r="525" customFormat="false" ht="15" hidden="false" customHeight="false" outlineLevel="0" collapsed="false">
      <c r="A525" s="10" t="n">
        <v>46198</v>
      </c>
      <c r="B525" s="11" t="s">
        <v>35</v>
      </c>
      <c r="C525" s="11" t="s">
        <v>36</v>
      </c>
      <c r="D525" s="11" t="s">
        <v>80</v>
      </c>
      <c r="E525" s="11" t="s">
        <v>72</v>
      </c>
      <c r="F525" s="11" t="s">
        <v>39</v>
      </c>
      <c r="G525" s="11" t="n">
        <v>3</v>
      </c>
      <c r="H525" s="11" t="n">
        <v>45</v>
      </c>
      <c r="I525" s="11" t="n">
        <v>8</v>
      </c>
      <c r="J525" s="11" t="s">
        <v>40</v>
      </c>
      <c r="K525" s="11" t="n">
        <f aca="false">IF($J525="Y","",IF($F525="BW",$I525,$H525*$I525))</f>
        <v>360</v>
      </c>
      <c r="L525" s="11" t="str">
        <f aca="false">$D525&amp;"|"&amp;$H525</f>
        <v>Tricep Ext Overhead|45</v>
      </c>
      <c r="M525" s="11"/>
    </row>
    <row r="526" customFormat="false" ht="15" hidden="false" customHeight="false" outlineLevel="0" collapsed="false">
      <c r="A526" s="10" t="n">
        <v>46201</v>
      </c>
      <c r="B526" s="11" t="s">
        <v>83</v>
      </c>
      <c r="C526" s="11" t="s">
        <v>61</v>
      </c>
      <c r="D526" s="11" t="s">
        <v>149</v>
      </c>
      <c r="E526" s="11" t="s">
        <v>72</v>
      </c>
      <c r="F526" s="11" t="s">
        <v>39</v>
      </c>
      <c r="G526" s="11" t="n">
        <v>1</v>
      </c>
      <c r="H526" s="11" t="n">
        <v>15</v>
      </c>
      <c r="I526" s="11" t="n">
        <v>8</v>
      </c>
      <c r="J526" s="11" t="s">
        <v>40</v>
      </c>
      <c r="K526" s="11" t="n">
        <f aca="false">IF($J526="Y","",IF($F526="BW",$I526,$H526*$I526))</f>
        <v>120</v>
      </c>
      <c r="L526" s="11" t="str">
        <f aca="false">$D526&amp;"|"&amp;$H526</f>
        <v>Goblet Squats|15</v>
      </c>
      <c r="M526" s="11" t="s">
        <v>150</v>
      </c>
    </row>
    <row r="527" customFormat="false" ht="15" hidden="false" customHeight="false" outlineLevel="0" collapsed="false">
      <c r="A527" s="12" t="n">
        <v>46201</v>
      </c>
      <c r="B527" s="13" t="s">
        <v>83</v>
      </c>
      <c r="C527" s="13" t="s">
        <v>61</v>
      </c>
      <c r="D527" s="13" t="s">
        <v>63</v>
      </c>
      <c r="E527" s="13" t="s">
        <v>38</v>
      </c>
      <c r="F527" s="13" t="s">
        <v>39</v>
      </c>
      <c r="G527" s="13" t="n">
        <v>1</v>
      </c>
      <c r="H527" s="13" t="n">
        <v>10</v>
      </c>
      <c r="I527" s="13" t="n">
        <v>8</v>
      </c>
      <c r="J527" s="13" t="s">
        <v>84</v>
      </c>
      <c r="K527" s="13" t="str">
        <f aca="false">IF($J527="Y","",IF($F527="BW",$I527,$H527*$I527))</f>
        <v/>
      </c>
      <c r="L527" s="13" t="str">
        <f aca="false">$D527&amp;"|"&amp;$H527</f>
        <v>RDLs|10</v>
      </c>
      <c r="M527" s="13"/>
    </row>
    <row r="528" customFormat="false" ht="15" hidden="false" customHeight="false" outlineLevel="0" collapsed="false">
      <c r="A528" s="10" t="n">
        <v>46201</v>
      </c>
      <c r="B528" s="11" t="s">
        <v>83</v>
      </c>
      <c r="C528" s="11" t="s">
        <v>61</v>
      </c>
      <c r="D528" s="11" t="s">
        <v>63</v>
      </c>
      <c r="E528" s="11" t="s">
        <v>38</v>
      </c>
      <c r="F528" s="11" t="s">
        <v>39</v>
      </c>
      <c r="G528" s="11" t="n">
        <v>2</v>
      </c>
      <c r="H528" s="11" t="n">
        <v>40</v>
      </c>
      <c r="I528" s="11" t="n">
        <v>8</v>
      </c>
      <c r="J528" s="11" t="s">
        <v>40</v>
      </c>
      <c r="K528" s="11" t="n">
        <f aca="false">IF($J528="Y","",IF($F528="BW",$I528,$H528*$I528))</f>
        <v>320</v>
      </c>
      <c r="L528" s="11" t="str">
        <f aca="false">$D528&amp;"|"&amp;$H528</f>
        <v>RDLs|40</v>
      </c>
      <c r="M528" s="11"/>
    </row>
    <row r="529" customFormat="false" ht="15" hidden="false" customHeight="false" outlineLevel="0" collapsed="false">
      <c r="A529" s="10" t="n">
        <v>46201</v>
      </c>
      <c r="B529" s="11" t="s">
        <v>83</v>
      </c>
      <c r="C529" s="11" t="s">
        <v>61</v>
      </c>
      <c r="D529" s="11" t="s">
        <v>63</v>
      </c>
      <c r="E529" s="11" t="s">
        <v>38</v>
      </c>
      <c r="F529" s="11" t="s">
        <v>39</v>
      </c>
      <c r="G529" s="11" t="n">
        <v>3</v>
      </c>
      <c r="H529" s="11" t="n">
        <v>50</v>
      </c>
      <c r="I529" s="11" t="n">
        <v>8</v>
      </c>
      <c r="J529" s="11" t="s">
        <v>40</v>
      </c>
      <c r="K529" s="11" t="n">
        <f aca="false">IF($J529="Y","",IF($F529="BW",$I529,$H529*$I529))</f>
        <v>400</v>
      </c>
      <c r="L529" s="11" t="str">
        <f aca="false">$D529&amp;"|"&amp;$H529</f>
        <v>RDLs|50</v>
      </c>
      <c r="M529" s="11"/>
    </row>
    <row r="530" customFormat="false" ht="15" hidden="false" customHeight="false" outlineLevel="0" collapsed="false">
      <c r="A530" s="10" t="n">
        <v>46201</v>
      </c>
      <c r="B530" s="11" t="s">
        <v>83</v>
      </c>
      <c r="C530" s="11" t="s">
        <v>61</v>
      </c>
      <c r="D530" s="11" t="s">
        <v>63</v>
      </c>
      <c r="E530" s="11" t="s">
        <v>38</v>
      </c>
      <c r="F530" s="11" t="s">
        <v>39</v>
      </c>
      <c r="G530" s="11" t="n">
        <v>4</v>
      </c>
      <c r="H530" s="11" t="n">
        <v>50</v>
      </c>
      <c r="I530" s="11" t="n">
        <v>8</v>
      </c>
      <c r="J530" s="11" t="s">
        <v>40</v>
      </c>
      <c r="K530" s="11" t="n">
        <f aca="false">IF($J530="Y","",IF($F530="BW",$I530,$H530*$I530))</f>
        <v>400</v>
      </c>
      <c r="L530" s="11" t="str">
        <f aca="false">$D530&amp;"|"&amp;$H530</f>
        <v>RDLs|50</v>
      </c>
      <c r="M530" s="11"/>
    </row>
    <row r="531" customFormat="false" ht="15" hidden="false" customHeight="false" outlineLevel="0" collapsed="false">
      <c r="A531" s="10" t="n">
        <v>46201</v>
      </c>
      <c r="B531" s="11" t="s">
        <v>83</v>
      </c>
      <c r="C531" s="11" t="s">
        <v>61</v>
      </c>
      <c r="D531" s="11" t="s">
        <v>151</v>
      </c>
      <c r="E531" s="11" t="s">
        <v>72</v>
      </c>
      <c r="F531" s="11" t="s">
        <v>39</v>
      </c>
      <c r="G531" s="11" t="n">
        <v>1</v>
      </c>
      <c r="H531" s="11" t="n">
        <v>20</v>
      </c>
      <c r="I531" s="11" t="n">
        <v>12</v>
      </c>
      <c r="J531" s="11" t="s">
        <v>40</v>
      </c>
      <c r="K531" s="11" t="n">
        <f aca="false">IF($J531="Y","",IF($F531="BW",$I531,$H531*$I531))</f>
        <v>240</v>
      </c>
      <c r="L531" s="11" t="str">
        <f aca="false">$D531&amp;"|"&amp;$H531</f>
        <v>Calf Raises (DB)|20</v>
      </c>
      <c r="M531" s="11"/>
    </row>
    <row r="532" customFormat="false" ht="15" hidden="false" customHeight="false" outlineLevel="0" collapsed="false">
      <c r="A532" s="10" t="n">
        <v>46201</v>
      </c>
      <c r="B532" s="11" t="s">
        <v>83</v>
      </c>
      <c r="C532" s="11" t="s">
        <v>61</v>
      </c>
      <c r="D532" s="11" t="s">
        <v>151</v>
      </c>
      <c r="E532" s="11" t="s">
        <v>72</v>
      </c>
      <c r="F532" s="11" t="s">
        <v>39</v>
      </c>
      <c r="G532" s="11" t="n">
        <v>2</v>
      </c>
      <c r="H532" s="11" t="n">
        <v>20</v>
      </c>
      <c r="I532" s="11" t="n">
        <v>15</v>
      </c>
      <c r="J532" s="11" t="s">
        <v>40</v>
      </c>
      <c r="K532" s="11" t="n">
        <f aca="false">IF($J532="Y","",IF($F532="BW",$I532,$H532*$I532))</f>
        <v>300</v>
      </c>
      <c r="L532" s="11" t="str">
        <f aca="false">$D532&amp;"|"&amp;$H532</f>
        <v>Calf Raises (DB)|20</v>
      </c>
      <c r="M532" s="11"/>
    </row>
    <row r="533" customFormat="false" ht="15" hidden="false" customHeight="false" outlineLevel="0" collapsed="false">
      <c r="A533" s="10" t="n">
        <v>46201</v>
      </c>
      <c r="B533" s="11" t="s">
        <v>83</v>
      </c>
      <c r="C533" s="11" t="s">
        <v>61</v>
      </c>
      <c r="D533" s="11" t="s">
        <v>151</v>
      </c>
      <c r="E533" s="11" t="s">
        <v>72</v>
      </c>
      <c r="F533" s="11" t="s">
        <v>39</v>
      </c>
      <c r="G533" s="11" t="n">
        <v>3</v>
      </c>
      <c r="H533" s="11" t="n">
        <v>20</v>
      </c>
      <c r="I533" s="11" t="n">
        <v>15</v>
      </c>
      <c r="J533" s="11" t="s">
        <v>40</v>
      </c>
      <c r="K533" s="11" t="n">
        <f aca="false">IF($J533="Y","",IF($F533="BW",$I533,$H533*$I533))</f>
        <v>300</v>
      </c>
      <c r="L533" s="11" t="str">
        <f aca="false">$D533&amp;"|"&amp;$H533</f>
        <v>Calf Raises (DB)|20</v>
      </c>
      <c r="M533" s="11"/>
    </row>
    <row r="534" customFormat="false" ht="15" hidden="false" customHeight="false" outlineLevel="0" collapsed="false">
      <c r="A534" s="12" t="n">
        <v>46212</v>
      </c>
      <c r="B534" s="13" t="s">
        <v>35</v>
      </c>
      <c r="C534" s="13" t="s">
        <v>36</v>
      </c>
      <c r="D534" s="13" t="s">
        <v>110</v>
      </c>
      <c r="E534" s="13" t="s">
        <v>38</v>
      </c>
      <c r="F534" s="13" t="s">
        <v>39</v>
      </c>
      <c r="G534" s="13" t="n">
        <v>1</v>
      </c>
      <c r="H534" s="13" t="n">
        <v>20</v>
      </c>
      <c r="I534" s="13" t="n">
        <v>8</v>
      </c>
      <c r="J534" s="13" t="s">
        <v>84</v>
      </c>
      <c r="K534" s="13" t="str">
        <f aca="false">IF($J534="Y","",IF($F534="BW",$I534,$H534*$I534))</f>
        <v/>
      </c>
      <c r="L534" s="13" t="str">
        <f aca="false">$D534&amp;"|"&amp;$H534</f>
        <v>Bench Press (Smith)|20</v>
      </c>
      <c r="M534" s="13"/>
    </row>
    <row r="535" customFormat="false" ht="15" hidden="false" customHeight="false" outlineLevel="0" collapsed="false">
      <c r="A535" s="12" t="n">
        <v>46212</v>
      </c>
      <c r="B535" s="13" t="s">
        <v>35</v>
      </c>
      <c r="C535" s="13" t="s">
        <v>36</v>
      </c>
      <c r="D535" s="13" t="s">
        <v>110</v>
      </c>
      <c r="E535" s="13" t="s">
        <v>38</v>
      </c>
      <c r="F535" s="13" t="s">
        <v>39</v>
      </c>
      <c r="G535" s="13" t="n">
        <v>2</v>
      </c>
      <c r="H535" s="13" t="n">
        <v>60</v>
      </c>
      <c r="I535" s="13" t="n">
        <v>8</v>
      </c>
      <c r="J535" s="13" t="s">
        <v>84</v>
      </c>
      <c r="K535" s="13" t="str">
        <f aca="false">IF($J535="Y","",IF($F535="BW",$I535,$H535*$I535))</f>
        <v/>
      </c>
      <c r="L535" s="13" t="str">
        <f aca="false">$D535&amp;"|"&amp;$H535</f>
        <v>Bench Press (Smith)|60</v>
      </c>
      <c r="M535" s="13"/>
    </row>
    <row r="536" customFormat="false" ht="15" hidden="false" customHeight="false" outlineLevel="0" collapsed="false">
      <c r="A536" s="10" t="n">
        <v>46212</v>
      </c>
      <c r="B536" s="11" t="s">
        <v>35</v>
      </c>
      <c r="C536" s="11" t="s">
        <v>36</v>
      </c>
      <c r="D536" s="11" t="s">
        <v>110</v>
      </c>
      <c r="E536" s="11" t="s">
        <v>38</v>
      </c>
      <c r="F536" s="11" t="s">
        <v>39</v>
      </c>
      <c r="G536" s="11" t="n">
        <v>3</v>
      </c>
      <c r="H536" s="11" t="n">
        <v>90</v>
      </c>
      <c r="I536" s="11" t="n">
        <v>8</v>
      </c>
      <c r="J536" s="11" t="s">
        <v>40</v>
      </c>
      <c r="K536" s="11" t="n">
        <f aca="false">IF($J536="Y","",IF($F536="BW",$I536,$H536*$I536))</f>
        <v>720</v>
      </c>
      <c r="L536" s="11" t="str">
        <f aca="false">$D536&amp;"|"&amp;$H536</f>
        <v>Bench Press (Smith)|90</v>
      </c>
      <c r="M536" s="11"/>
    </row>
    <row r="537" customFormat="false" ht="15" hidden="false" customHeight="false" outlineLevel="0" collapsed="false">
      <c r="A537" s="10" t="n">
        <v>46212</v>
      </c>
      <c r="B537" s="11" t="s">
        <v>35</v>
      </c>
      <c r="C537" s="11" t="s">
        <v>36</v>
      </c>
      <c r="D537" s="11" t="s">
        <v>110</v>
      </c>
      <c r="E537" s="11" t="s">
        <v>38</v>
      </c>
      <c r="F537" s="11" t="s">
        <v>39</v>
      </c>
      <c r="G537" s="11" t="n">
        <v>4</v>
      </c>
      <c r="H537" s="11" t="n">
        <v>95</v>
      </c>
      <c r="I537" s="11" t="n">
        <v>8</v>
      </c>
      <c r="J537" s="11" t="s">
        <v>40</v>
      </c>
      <c r="K537" s="11" t="n">
        <f aca="false">IF($J537="Y","",IF($F537="BW",$I537,$H537*$I537))</f>
        <v>760</v>
      </c>
      <c r="L537" s="11" t="str">
        <f aca="false">$D537&amp;"|"&amp;$H537</f>
        <v>Bench Press (Smith)|95</v>
      </c>
      <c r="M537" s="11"/>
    </row>
    <row r="538" customFormat="false" ht="15" hidden="false" customHeight="false" outlineLevel="0" collapsed="false">
      <c r="A538" s="10" t="n">
        <v>46212</v>
      </c>
      <c r="B538" s="11" t="s">
        <v>35</v>
      </c>
      <c r="C538" s="11" t="s">
        <v>36</v>
      </c>
      <c r="D538" s="11" t="s">
        <v>110</v>
      </c>
      <c r="E538" s="11" t="s">
        <v>38</v>
      </c>
      <c r="F538" s="11" t="s">
        <v>39</v>
      </c>
      <c r="G538" s="11" t="n">
        <v>5</v>
      </c>
      <c r="H538" s="11" t="n">
        <v>95</v>
      </c>
      <c r="I538" s="11" t="n">
        <v>8</v>
      </c>
      <c r="J538" s="11" t="s">
        <v>40</v>
      </c>
      <c r="K538" s="11" t="n">
        <f aca="false">IF($J538="Y","",IF($F538="BW",$I538,$H538*$I538))</f>
        <v>760</v>
      </c>
      <c r="L538" s="11" t="str">
        <f aca="false">$D538&amp;"|"&amp;$H538</f>
        <v>Bench Press (Smith)|95</v>
      </c>
      <c r="M538" s="11"/>
    </row>
    <row r="539" customFormat="false" ht="15" hidden="false" customHeight="false" outlineLevel="0" collapsed="false">
      <c r="A539" s="12" t="n">
        <v>46212</v>
      </c>
      <c r="B539" s="13" t="s">
        <v>35</v>
      </c>
      <c r="C539" s="13" t="s">
        <v>36</v>
      </c>
      <c r="D539" s="13" t="s">
        <v>76</v>
      </c>
      <c r="E539" s="13" t="s">
        <v>72</v>
      </c>
      <c r="F539" s="13" t="s">
        <v>39</v>
      </c>
      <c r="G539" s="13" t="n">
        <v>1</v>
      </c>
      <c r="H539" s="13" t="n">
        <v>15</v>
      </c>
      <c r="I539" s="13" t="n">
        <v>8</v>
      </c>
      <c r="J539" s="13" t="s">
        <v>84</v>
      </c>
      <c r="K539" s="13" t="str">
        <f aca="false">IF($J539="Y","",IF($F539="BW",$I539,$H539*$I539))</f>
        <v/>
      </c>
      <c r="L539" s="13" t="str">
        <f aca="false">$D539&amp;"|"&amp;$H539</f>
        <v>Shoulder Press|15</v>
      </c>
      <c r="M539" s="13"/>
    </row>
    <row r="540" customFormat="false" ht="15" hidden="false" customHeight="false" outlineLevel="0" collapsed="false">
      <c r="A540" s="10" t="n">
        <v>46212</v>
      </c>
      <c r="B540" s="11" t="s">
        <v>35</v>
      </c>
      <c r="C540" s="11" t="s">
        <v>36</v>
      </c>
      <c r="D540" s="11" t="s">
        <v>76</v>
      </c>
      <c r="E540" s="11" t="s">
        <v>72</v>
      </c>
      <c r="F540" s="11" t="s">
        <v>39</v>
      </c>
      <c r="G540" s="11" t="n">
        <v>2</v>
      </c>
      <c r="H540" s="11" t="n">
        <v>25</v>
      </c>
      <c r="I540" s="11" t="n">
        <v>8</v>
      </c>
      <c r="J540" s="11" t="s">
        <v>40</v>
      </c>
      <c r="K540" s="11" t="n">
        <f aca="false">IF($J540="Y","",IF($F540="BW",$I540,$H540*$I540))</f>
        <v>200</v>
      </c>
      <c r="L540" s="11" t="str">
        <f aca="false">$D540&amp;"|"&amp;$H540</f>
        <v>Shoulder Press|25</v>
      </c>
      <c r="M540" s="11"/>
    </row>
    <row r="541" customFormat="false" ht="15" hidden="false" customHeight="false" outlineLevel="0" collapsed="false">
      <c r="A541" s="10" t="n">
        <v>46212</v>
      </c>
      <c r="B541" s="11" t="s">
        <v>35</v>
      </c>
      <c r="C541" s="11" t="s">
        <v>36</v>
      </c>
      <c r="D541" s="11" t="s">
        <v>76</v>
      </c>
      <c r="E541" s="11" t="s">
        <v>72</v>
      </c>
      <c r="F541" s="11" t="s">
        <v>39</v>
      </c>
      <c r="G541" s="11" t="n">
        <v>3</v>
      </c>
      <c r="H541" s="11" t="n">
        <v>30</v>
      </c>
      <c r="I541" s="11" t="n">
        <v>8</v>
      </c>
      <c r="J541" s="11" t="s">
        <v>40</v>
      </c>
      <c r="K541" s="11" t="n">
        <f aca="false">IF($J541="Y","",IF($F541="BW",$I541,$H541*$I541))</f>
        <v>240</v>
      </c>
      <c r="L541" s="11" t="str">
        <f aca="false">$D541&amp;"|"&amp;$H541</f>
        <v>Shoulder Press|30</v>
      </c>
      <c r="M541" s="11"/>
    </row>
    <row r="542" customFormat="false" ht="15" hidden="false" customHeight="false" outlineLevel="0" collapsed="false">
      <c r="A542" s="10" t="n">
        <v>46212</v>
      </c>
      <c r="B542" s="11" t="s">
        <v>35</v>
      </c>
      <c r="C542" s="11" t="s">
        <v>36</v>
      </c>
      <c r="D542" s="11" t="s">
        <v>76</v>
      </c>
      <c r="E542" s="11" t="s">
        <v>72</v>
      </c>
      <c r="F542" s="11" t="s">
        <v>39</v>
      </c>
      <c r="G542" s="11" t="n">
        <v>4</v>
      </c>
      <c r="H542" s="11" t="n">
        <v>30</v>
      </c>
      <c r="I542" s="11" t="n">
        <v>8</v>
      </c>
      <c r="J542" s="11" t="s">
        <v>40</v>
      </c>
      <c r="K542" s="11" t="n">
        <f aca="false">IF($J542="Y","",IF($F542="BW",$I542,$H542*$I542))</f>
        <v>240</v>
      </c>
      <c r="L542" s="11" t="str">
        <f aca="false">$D542&amp;"|"&amp;$H542</f>
        <v>Shoulder Press|30</v>
      </c>
      <c r="M542" s="11"/>
    </row>
    <row r="543" customFormat="false" ht="15" hidden="false" customHeight="false" outlineLevel="0" collapsed="false">
      <c r="A543" s="12" t="n">
        <v>46212</v>
      </c>
      <c r="B543" s="13" t="s">
        <v>35</v>
      </c>
      <c r="C543" s="13" t="s">
        <v>36</v>
      </c>
      <c r="D543" s="13" t="s">
        <v>80</v>
      </c>
      <c r="E543" s="13" t="s">
        <v>72</v>
      </c>
      <c r="F543" s="13" t="s">
        <v>39</v>
      </c>
      <c r="G543" s="13" t="n">
        <v>1</v>
      </c>
      <c r="H543" s="13" t="n">
        <v>25</v>
      </c>
      <c r="I543" s="13" t="n">
        <v>8</v>
      </c>
      <c r="J543" s="13" t="s">
        <v>84</v>
      </c>
      <c r="K543" s="13" t="str">
        <f aca="false">IF($J543="Y","",IF($F543="BW",$I543,$H543*$I543))</f>
        <v/>
      </c>
      <c r="L543" s="13" t="str">
        <f aca="false">$D543&amp;"|"&amp;$H543</f>
        <v>Tricep Ext Overhead|25</v>
      </c>
      <c r="M543" s="13"/>
    </row>
    <row r="544" customFormat="false" ht="15" hidden="false" customHeight="false" outlineLevel="0" collapsed="false">
      <c r="A544" s="10" t="n">
        <v>46212</v>
      </c>
      <c r="B544" s="11" t="s">
        <v>35</v>
      </c>
      <c r="C544" s="11" t="s">
        <v>36</v>
      </c>
      <c r="D544" s="11" t="s">
        <v>80</v>
      </c>
      <c r="E544" s="11" t="s">
        <v>72</v>
      </c>
      <c r="F544" s="11" t="s">
        <v>39</v>
      </c>
      <c r="G544" s="11" t="n">
        <v>2</v>
      </c>
      <c r="H544" s="11" t="n">
        <v>40</v>
      </c>
      <c r="I544" s="11" t="n">
        <v>8</v>
      </c>
      <c r="J544" s="11" t="s">
        <v>40</v>
      </c>
      <c r="K544" s="11" t="n">
        <f aca="false">IF($J544="Y","",IF($F544="BW",$I544,$H544*$I544))</f>
        <v>320</v>
      </c>
      <c r="L544" s="11" t="str">
        <f aca="false">$D544&amp;"|"&amp;$H544</f>
        <v>Tricep Ext Overhead|40</v>
      </c>
      <c r="M544" s="11"/>
    </row>
    <row r="545" customFormat="false" ht="15" hidden="false" customHeight="false" outlineLevel="0" collapsed="false">
      <c r="A545" s="10" t="n">
        <v>46212</v>
      </c>
      <c r="B545" s="11" t="s">
        <v>35</v>
      </c>
      <c r="C545" s="11" t="s">
        <v>36</v>
      </c>
      <c r="D545" s="11" t="s">
        <v>80</v>
      </c>
      <c r="E545" s="11" t="s">
        <v>72</v>
      </c>
      <c r="F545" s="11" t="s">
        <v>39</v>
      </c>
      <c r="G545" s="11" t="n">
        <v>3</v>
      </c>
      <c r="H545" s="11" t="n">
        <v>40</v>
      </c>
      <c r="I545" s="11" t="n">
        <v>8</v>
      </c>
      <c r="J545" s="11" t="s">
        <v>40</v>
      </c>
      <c r="K545" s="11" t="n">
        <f aca="false">IF($J545="Y","",IF($F545="BW",$I545,$H545*$I545))</f>
        <v>320</v>
      </c>
      <c r="L545" s="11" t="str">
        <f aca="false">$D545&amp;"|"&amp;$H545</f>
        <v>Tricep Ext Overhead|40</v>
      </c>
      <c r="M545" s="11"/>
    </row>
    <row r="546" customFormat="false" ht="15" hidden="false" customHeight="false" outlineLevel="0" collapsed="false">
      <c r="A546" s="12" t="n">
        <v>46213</v>
      </c>
      <c r="B546" s="13" t="s">
        <v>82</v>
      </c>
      <c r="C546" s="13" t="s">
        <v>152</v>
      </c>
      <c r="D546" s="13" t="s">
        <v>63</v>
      </c>
      <c r="E546" s="13" t="s">
        <v>38</v>
      </c>
      <c r="F546" s="13" t="s">
        <v>39</v>
      </c>
      <c r="G546" s="13" t="n">
        <v>1</v>
      </c>
      <c r="H546" s="13" t="n">
        <v>15</v>
      </c>
      <c r="I546" s="13" t="n">
        <v>8</v>
      </c>
      <c r="J546" s="13" t="s">
        <v>84</v>
      </c>
      <c r="K546" s="13" t="str">
        <f aca="false">IF($J546="Y","",IF($F546="BW",$I546,$H546*$I546))</f>
        <v/>
      </c>
      <c r="L546" s="13" t="str">
        <f aca="false">$D546&amp;"|"&amp;$H546</f>
        <v>RDLs|15</v>
      </c>
      <c r="M546" s="13"/>
    </row>
    <row r="547" customFormat="false" ht="15" hidden="false" customHeight="false" outlineLevel="0" collapsed="false">
      <c r="A547" s="10" t="n">
        <v>46213</v>
      </c>
      <c r="B547" s="11" t="s">
        <v>82</v>
      </c>
      <c r="C547" s="11" t="s">
        <v>152</v>
      </c>
      <c r="D547" s="11" t="s">
        <v>63</v>
      </c>
      <c r="E547" s="11" t="s">
        <v>38</v>
      </c>
      <c r="F547" s="11" t="s">
        <v>39</v>
      </c>
      <c r="G547" s="11" t="n">
        <v>2</v>
      </c>
      <c r="H547" s="11" t="n">
        <v>40</v>
      </c>
      <c r="I547" s="11" t="n">
        <v>8</v>
      </c>
      <c r="J547" s="11" t="s">
        <v>40</v>
      </c>
      <c r="K547" s="11" t="n">
        <f aca="false">IF($J547="Y","",IF($F547="BW",$I547,$H547*$I547))</f>
        <v>320</v>
      </c>
      <c r="L547" s="11" t="str">
        <f aca="false">$D547&amp;"|"&amp;$H547</f>
        <v>RDLs|40</v>
      </c>
      <c r="M547" s="11"/>
    </row>
    <row r="548" customFormat="false" ht="15" hidden="false" customHeight="false" outlineLevel="0" collapsed="false">
      <c r="A548" s="10" t="n">
        <v>46213</v>
      </c>
      <c r="B548" s="11" t="s">
        <v>82</v>
      </c>
      <c r="C548" s="11" t="s">
        <v>152</v>
      </c>
      <c r="D548" s="11" t="s">
        <v>63</v>
      </c>
      <c r="E548" s="11" t="s">
        <v>38</v>
      </c>
      <c r="F548" s="11" t="s">
        <v>39</v>
      </c>
      <c r="G548" s="11" t="n">
        <v>3</v>
      </c>
      <c r="H548" s="11" t="n">
        <v>50</v>
      </c>
      <c r="I548" s="11" t="n">
        <v>8</v>
      </c>
      <c r="J548" s="11" t="s">
        <v>40</v>
      </c>
      <c r="K548" s="11" t="n">
        <f aca="false">IF($J548="Y","",IF($F548="BW",$I548,$H548*$I548))</f>
        <v>400</v>
      </c>
      <c r="L548" s="11" t="str">
        <f aca="false">$D548&amp;"|"&amp;$H548</f>
        <v>RDLs|50</v>
      </c>
      <c r="M548" s="11"/>
    </row>
    <row r="549" customFormat="false" ht="15" hidden="false" customHeight="false" outlineLevel="0" collapsed="false">
      <c r="A549" s="10" t="n">
        <v>46213</v>
      </c>
      <c r="B549" s="11" t="s">
        <v>82</v>
      </c>
      <c r="C549" s="11" t="s">
        <v>152</v>
      </c>
      <c r="D549" s="11" t="s">
        <v>63</v>
      </c>
      <c r="E549" s="11" t="s">
        <v>38</v>
      </c>
      <c r="F549" s="11" t="s">
        <v>39</v>
      </c>
      <c r="G549" s="11" t="n">
        <v>4</v>
      </c>
      <c r="H549" s="11" t="n">
        <v>50</v>
      </c>
      <c r="I549" s="11" t="n">
        <v>8</v>
      </c>
      <c r="J549" s="11" t="s">
        <v>40</v>
      </c>
      <c r="K549" s="11" t="n">
        <f aca="false">IF($J549="Y","",IF($F549="BW",$I549,$H549*$I549))</f>
        <v>400</v>
      </c>
      <c r="L549" s="11" t="str">
        <f aca="false">$D549&amp;"|"&amp;$H549</f>
        <v>RDLs|50</v>
      </c>
      <c r="M549" s="11"/>
    </row>
    <row r="550" customFormat="false" ht="15" hidden="false" customHeight="false" outlineLevel="0" collapsed="false">
      <c r="A550" s="10" t="n">
        <v>46213</v>
      </c>
      <c r="B550" s="11" t="s">
        <v>82</v>
      </c>
      <c r="C550" s="11" t="s">
        <v>152</v>
      </c>
      <c r="D550" s="11" t="s">
        <v>151</v>
      </c>
      <c r="E550" s="11" t="s">
        <v>72</v>
      </c>
      <c r="F550" s="11" t="s">
        <v>39</v>
      </c>
      <c r="G550" s="11" t="n">
        <v>1</v>
      </c>
      <c r="H550" s="11" t="n">
        <v>20</v>
      </c>
      <c r="I550" s="11" t="n">
        <v>15</v>
      </c>
      <c r="J550" s="11" t="s">
        <v>40</v>
      </c>
      <c r="K550" s="11" t="n">
        <f aca="false">IF($J550="Y","",IF($F550="BW",$I550,$H550*$I550))</f>
        <v>300</v>
      </c>
      <c r="L550" s="11" t="str">
        <f aca="false">$D550&amp;"|"&amp;$H550</f>
        <v>Calf Raises (DB)|20</v>
      </c>
      <c r="M550" s="11"/>
    </row>
    <row r="551" customFormat="false" ht="15" hidden="false" customHeight="false" outlineLevel="0" collapsed="false">
      <c r="A551" s="10" t="n">
        <v>46213</v>
      </c>
      <c r="B551" s="11" t="s">
        <v>82</v>
      </c>
      <c r="C551" s="11" t="s">
        <v>152</v>
      </c>
      <c r="D551" s="11" t="s">
        <v>151</v>
      </c>
      <c r="E551" s="11" t="s">
        <v>72</v>
      </c>
      <c r="F551" s="11" t="s">
        <v>39</v>
      </c>
      <c r="G551" s="11" t="n">
        <v>2</v>
      </c>
      <c r="H551" s="11" t="n">
        <v>25</v>
      </c>
      <c r="I551" s="11" t="n">
        <v>15</v>
      </c>
      <c r="J551" s="11" t="s">
        <v>40</v>
      </c>
      <c r="K551" s="11" t="n">
        <f aca="false">IF($J551="Y","",IF($F551="BW",$I551,$H551*$I551))</f>
        <v>375</v>
      </c>
      <c r="L551" s="11" t="str">
        <f aca="false">$D551&amp;"|"&amp;$H551</f>
        <v>Calf Raises (DB)|25</v>
      </c>
      <c r="M551" s="11"/>
    </row>
    <row r="552" customFormat="false" ht="15" hidden="false" customHeight="false" outlineLevel="0" collapsed="false">
      <c r="A552" s="10" t="n">
        <v>46213</v>
      </c>
      <c r="B552" s="11" t="s">
        <v>82</v>
      </c>
      <c r="C552" s="11" t="s">
        <v>152</v>
      </c>
      <c r="D552" s="11" t="s">
        <v>151</v>
      </c>
      <c r="E552" s="11" t="s">
        <v>72</v>
      </c>
      <c r="F552" s="11" t="s">
        <v>39</v>
      </c>
      <c r="G552" s="11" t="n">
        <v>3</v>
      </c>
      <c r="H552" s="11" t="n">
        <v>25</v>
      </c>
      <c r="I552" s="11" t="n">
        <v>15</v>
      </c>
      <c r="J552" s="11" t="s">
        <v>40</v>
      </c>
      <c r="K552" s="11" t="n">
        <f aca="false">IF($J552="Y","",IF($F552="BW",$I552,$H552*$I552))</f>
        <v>375</v>
      </c>
      <c r="L552" s="11" t="str">
        <f aca="false">$D552&amp;"|"&amp;$H552</f>
        <v>Calf Raises (DB)|25</v>
      </c>
      <c r="M552" s="11"/>
    </row>
    <row r="553" customFormat="false" ht="15" hidden="false" customHeight="false" outlineLevel="0" collapsed="false">
      <c r="A553" s="10" t="n">
        <v>46213</v>
      </c>
      <c r="B553" s="11" t="s">
        <v>82</v>
      </c>
      <c r="C553" s="11" t="s">
        <v>152</v>
      </c>
      <c r="D553" s="11" t="s">
        <v>77</v>
      </c>
      <c r="E553" s="11" t="s">
        <v>72</v>
      </c>
      <c r="F553" s="11" t="s">
        <v>39</v>
      </c>
      <c r="G553" s="11" t="n">
        <v>1</v>
      </c>
      <c r="H553" s="11" t="n">
        <v>20</v>
      </c>
      <c r="I553" s="11" t="n">
        <v>8</v>
      </c>
      <c r="J553" s="11" t="s">
        <v>40</v>
      </c>
      <c r="K553" s="11" t="n">
        <f aca="false">IF($J553="Y","",IF($F553="BW",$I553,$H553*$I553))</f>
        <v>160</v>
      </c>
      <c r="L553" s="11" t="str">
        <f aca="false">$D553&amp;"|"&amp;$H553</f>
        <v>Bicep Curls (DB)|20</v>
      </c>
      <c r="M553" s="11" t="s">
        <v>153</v>
      </c>
    </row>
    <row r="554" customFormat="false" ht="15" hidden="false" customHeight="false" outlineLevel="0" collapsed="false">
      <c r="A554" s="10" t="n">
        <v>46213</v>
      </c>
      <c r="B554" s="11" t="s">
        <v>82</v>
      </c>
      <c r="C554" s="11" t="s">
        <v>152</v>
      </c>
      <c r="D554" s="11" t="s">
        <v>77</v>
      </c>
      <c r="E554" s="11" t="s">
        <v>72</v>
      </c>
      <c r="F554" s="11" t="s">
        <v>39</v>
      </c>
      <c r="G554" s="11" t="n">
        <v>2</v>
      </c>
      <c r="H554" s="11" t="n">
        <v>25</v>
      </c>
      <c r="I554" s="11" t="n">
        <v>8</v>
      </c>
      <c r="J554" s="11" t="s">
        <v>40</v>
      </c>
      <c r="K554" s="11" t="n">
        <f aca="false">IF($J554="Y","",IF($F554="BW",$I554,$H554*$I554))</f>
        <v>200</v>
      </c>
      <c r="L554" s="11" t="str">
        <f aca="false">$D554&amp;"|"&amp;$H554</f>
        <v>Bicep Curls (DB)|25</v>
      </c>
      <c r="M554" s="11" t="s">
        <v>153</v>
      </c>
    </row>
    <row r="555" customFormat="false" ht="15" hidden="false" customHeight="false" outlineLevel="0" collapsed="false">
      <c r="A555" s="10" t="n">
        <v>46213</v>
      </c>
      <c r="B555" s="11" t="s">
        <v>82</v>
      </c>
      <c r="C555" s="11" t="s">
        <v>152</v>
      </c>
      <c r="D555" s="11" t="s">
        <v>77</v>
      </c>
      <c r="E555" s="11" t="s">
        <v>72</v>
      </c>
      <c r="F555" s="11" t="s">
        <v>39</v>
      </c>
      <c r="G555" s="11" t="n">
        <v>3</v>
      </c>
      <c r="H555" s="11" t="n">
        <v>25</v>
      </c>
      <c r="I555" s="11" t="n">
        <v>8</v>
      </c>
      <c r="J555" s="11" t="s">
        <v>40</v>
      </c>
      <c r="K555" s="11" t="n">
        <f aca="false">IF($J555="Y","",IF($F555="BW",$I555,$H555*$I555))</f>
        <v>200</v>
      </c>
      <c r="L555" s="11" t="str">
        <f aca="false">$D555&amp;"|"&amp;$H555</f>
        <v>Bicep Curls (DB)|25</v>
      </c>
      <c r="M555" s="11" t="s">
        <v>153</v>
      </c>
    </row>
    <row r="556" customFormat="false" ht="15" hidden="false" customHeight="false" outlineLevel="0" collapsed="false">
      <c r="A556" s="12" t="n">
        <v>46217</v>
      </c>
      <c r="B556" s="13" t="s">
        <v>69</v>
      </c>
      <c r="C556" s="13" t="s">
        <v>108</v>
      </c>
      <c r="D556" s="13" t="s">
        <v>73</v>
      </c>
      <c r="E556" s="13" t="s">
        <v>74</v>
      </c>
      <c r="F556" s="13" t="s">
        <v>75</v>
      </c>
      <c r="G556" s="13" t="n">
        <v>1</v>
      </c>
      <c r="H556" s="13" t="n">
        <v>12.5</v>
      </c>
      <c r="I556" s="13" t="n">
        <v>8</v>
      </c>
      <c r="J556" s="13" t="s">
        <v>84</v>
      </c>
      <c r="K556" s="13" t="str">
        <f aca="false">IF($J556="Y","",IF($F556="BW",$I556,$H556*$I556))</f>
        <v/>
      </c>
      <c r="L556" s="13" t="str">
        <f aca="false">$D556&amp;"|"&amp;$H556</f>
        <v>Single Arm Lat Pulldown|12.5</v>
      </c>
      <c r="M556" s="13"/>
    </row>
    <row r="557" customFormat="false" ht="15" hidden="false" customHeight="false" outlineLevel="0" collapsed="false">
      <c r="A557" s="10" t="n">
        <v>46217</v>
      </c>
      <c r="B557" s="11" t="s">
        <v>69</v>
      </c>
      <c r="C557" s="11" t="s">
        <v>108</v>
      </c>
      <c r="D557" s="11" t="s">
        <v>73</v>
      </c>
      <c r="E557" s="11" t="s">
        <v>74</v>
      </c>
      <c r="F557" s="11" t="s">
        <v>75</v>
      </c>
      <c r="G557" s="11" t="n">
        <v>2</v>
      </c>
      <c r="H557" s="11" t="n">
        <v>20</v>
      </c>
      <c r="I557" s="11" t="n">
        <v>8</v>
      </c>
      <c r="J557" s="11" t="s">
        <v>40</v>
      </c>
      <c r="K557" s="11" t="n">
        <f aca="false">IF($J557="Y","",IF($F557="BW",$I557,$H557*$I557))</f>
        <v>160</v>
      </c>
      <c r="L557" s="11" t="str">
        <f aca="false">$D557&amp;"|"&amp;$H557</f>
        <v>Single Arm Lat Pulldown|20</v>
      </c>
      <c r="M557" s="11"/>
    </row>
    <row r="558" customFormat="false" ht="15" hidden="false" customHeight="false" outlineLevel="0" collapsed="false">
      <c r="A558" s="10" t="n">
        <v>46217</v>
      </c>
      <c r="B558" s="11" t="s">
        <v>69</v>
      </c>
      <c r="C558" s="11" t="s">
        <v>108</v>
      </c>
      <c r="D558" s="11" t="s">
        <v>73</v>
      </c>
      <c r="E558" s="11" t="s">
        <v>74</v>
      </c>
      <c r="F558" s="11" t="s">
        <v>75</v>
      </c>
      <c r="G558" s="11" t="n">
        <v>3</v>
      </c>
      <c r="H558" s="11" t="n">
        <v>25</v>
      </c>
      <c r="I558" s="11" t="n">
        <v>8</v>
      </c>
      <c r="J558" s="11" t="s">
        <v>40</v>
      </c>
      <c r="K558" s="11" t="n">
        <f aca="false">IF($J558="Y","",IF($F558="BW",$I558,$H558*$I558))</f>
        <v>200</v>
      </c>
      <c r="L558" s="11" t="str">
        <f aca="false">$D558&amp;"|"&amp;$H558</f>
        <v>Single Arm Lat Pulldown|25</v>
      </c>
      <c r="M558" s="11"/>
    </row>
    <row r="559" customFormat="false" ht="15" hidden="false" customHeight="false" outlineLevel="0" collapsed="false">
      <c r="A559" s="10" t="n">
        <v>46217</v>
      </c>
      <c r="B559" s="11" t="s">
        <v>69</v>
      </c>
      <c r="C559" s="11" t="s">
        <v>108</v>
      </c>
      <c r="D559" s="11" t="s">
        <v>73</v>
      </c>
      <c r="E559" s="11" t="s">
        <v>74</v>
      </c>
      <c r="F559" s="11" t="s">
        <v>75</v>
      </c>
      <c r="G559" s="11" t="n">
        <v>4</v>
      </c>
      <c r="H559" s="11" t="n">
        <v>25</v>
      </c>
      <c r="I559" s="11" t="n">
        <v>8</v>
      </c>
      <c r="J559" s="11" t="s">
        <v>40</v>
      </c>
      <c r="K559" s="11" t="n">
        <f aca="false">IF($J559="Y","",IF($F559="BW",$I559,$H559*$I559))</f>
        <v>200</v>
      </c>
      <c r="L559" s="11" t="str">
        <f aca="false">$D559&amp;"|"&amp;$H559</f>
        <v>Single Arm Lat Pulldown|25</v>
      </c>
      <c r="M559" s="11"/>
    </row>
    <row r="560" customFormat="false" ht="15" hidden="false" customHeight="false" outlineLevel="0" collapsed="false">
      <c r="A560" s="12" t="n">
        <v>46217</v>
      </c>
      <c r="B560" s="13" t="s">
        <v>69</v>
      </c>
      <c r="C560" s="13" t="s">
        <v>108</v>
      </c>
      <c r="D560" s="13" t="s">
        <v>88</v>
      </c>
      <c r="E560" s="13" t="s">
        <v>38</v>
      </c>
      <c r="F560" s="13" t="s">
        <v>39</v>
      </c>
      <c r="G560" s="13" t="n">
        <v>1</v>
      </c>
      <c r="H560" s="13" t="n">
        <v>20</v>
      </c>
      <c r="I560" s="13" t="n">
        <v>8</v>
      </c>
      <c r="J560" s="13" t="s">
        <v>84</v>
      </c>
      <c r="K560" s="13" t="str">
        <f aca="false">IF($J560="Y","",IF($F560="BW",$I560,$H560*$I560))</f>
        <v/>
      </c>
      <c r="L560" s="13" t="str">
        <f aca="false">$D560&amp;"|"&amp;$H560</f>
        <v>Smith Rows|20</v>
      </c>
      <c r="M560" s="13"/>
    </row>
    <row r="561" customFormat="false" ht="15" hidden="false" customHeight="false" outlineLevel="0" collapsed="false">
      <c r="A561" s="10" t="n">
        <v>46217</v>
      </c>
      <c r="B561" s="11" t="s">
        <v>69</v>
      </c>
      <c r="C561" s="11" t="s">
        <v>108</v>
      </c>
      <c r="D561" s="11" t="s">
        <v>88</v>
      </c>
      <c r="E561" s="11" t="s">
        <v>38</v>
      </c>
      <c r="F561" s="11" t="s">
        <v>39</v>
      </c>
      <c r="G561" s="11" t="n">
        <v>2</v>
      </c>
      <c r="H561" s="11" t="n">
        <v>50</v>
      </c>
      <c r="I561" s="11" t="n">
        <v>8</v>
      </c>
      <c r="J561" s="11" t="s">
        <v>40</v>
      </c>
      <c r="K561" s="11" t="n">
        <f aca="false">IF($J561="Y","",IF($F561="BW",$I561,$H561*$I561))</f>
        <v>400</v>
      </c>
      <c r="L561" s="11" t="str">
        <f aca="false">$D561&amp;"|"&amp;$H561</f>
        <v>Smith Rows|50</v>
      </c>
      <c r="M561" s="11"/>
    </row>
    <row r="562" customFormat="false" ht="15" hidden="false" customHeight="false" outlineLevel="0" collapsed="false">
      <c r="A562" s="10" t="n">
        <v>46217</v>
      </c>
      <c r="B562" s="11" t="s">
        <v>69</v>
      </c>
      <c r="C562" s="11" t="s">
        <v>108</v>
      </c>
      <c r="D562" s="11" t="s">
        <v>88</v>
      </c>
      <c r="E562" s="11" t="s">
        <v>38</v>
      </c>
      <c r="F562" s="11" t="s">
        <v>39</v>
      </c>
      <c r="G562" s="11" t="n">
        <v>3</v>
      </c>
      <c r="H562" s="11" t="n">
        <v>60</v>
      </c>
      <c r="I562" s="11" t="n">
        <v>8</v>
      </c>
      <c r="J562" s="11" t="s">
        <v>40</v>
      </c>
      <c r="K562" s="11" t="n">
        <f aca="false">IF($J562="Y","",IF($F562="BW",$I562,$H562*$I562))</f>
        <v>480</v>
      </c>
      <c r="L562" s="11" t="str">
        <f aca="false">$D562&amp;"|"&amp;$H562</f>
        <v>Smith Rows|60</v>
      </c>
      <c r="M562" s="11"/>
    </row>
    <row r="563" customFormat="false" ht="15" hidden="false" customHeight="false" outlineLevel="0" collapsed="false">
      <c r="A563" s="10" t="n">
        <v>46217</v>
      </c>
      <c r="B563" s="11" t="s">
        <v>69</v>
      </c>
      <c r="C563" s="11" t="s">
        <v>108</v>
      </c>
      <c r="D563" s="11" t="s">
        <v>88</v>
      </c>
      <c r="E563" s="11" t="s">
        <v>38</v>
      </c>
      <c r="F563" s="11" t="s">
        <v>39</v>
      </c>
      <c r="G563" s="11" t="n">
        <v>4</v>
      </c>
      <c r="H563" s="11" t="n">
        <v>65</v>
      </c>
      <c r="I563" s="11" t="n">
        <v>8</v>
      </c>
      <c r="J563" s="11" t="s">
        <v>40</v>
      </c>
      <c r="K563" s="11" t="n">
        <f aca="false">IF($J563="Y","",IF($F563="BW",$I563,$H563*$I563))</f>
        <v>520</v>
      </c>
      <c r="L563" s="11" t="str">
        <f aca="false">$D563&amp;"|"&amp;$H563</f>
        <v>Smith Rows|65</v>
      </c>
      <c r="M563" s="11"/>
    </row>
    <row r="564" customFormat="false" ht="15" hidden="false" customHeight="false" outlineLevel="0" collapsed="false">
      <c r="A564" s="12" t="n">
        <v>46217</v>
      </c>
      <c r="B564" s="13" t="s">
        <v>69</v>
      </c>
      <c r="C564" s="13" t="s">
        <v>108</v>
      </c>
      <c r="D564" s="13" t="s">
        <v>77</v>
      </c>
      <c r="E564" s="13" t="s">
        <v>72</v>
      </c>
      <c r="F564" s="13" t="s">
        <v>39</v>
      </c>
      <c r="G564" s="13" t="n">
        <v>1</v>
      </c>
      <c r="H564" s="13" t="n">
        <v>20</v>
      </c>
      <c r="I564" s="13" t="n">
        <v>8</v>
      </c>
      <c r="J564" s="13" t="s">
        <v>84</v>
      </c>
      <c r="K564" s="13" t="str">
        <f aca="false">IF($J564="Y","",IF($F564="BW",$I564,$H564*$I564))</f>
        <v/>
      </c>
      <c r="L564" s="13" t="str">
        <f aca="false">$D564&amp;"|"&amp;$H564</f>
        <v>Bicep Curls (DB)|20</v>
      </c>
      <c r="M564" s="13"/>
    </row>
    <row r="565" customFormat="false" ht="15" hidden="false" customHeight="false" outlineLevel="0" collapsed="false">
      <c r="A565" s="10" t="n">
        <v>46217</v>
      </c>
      <c r="B565" s="11" t="s">
        <v>69</v>
      </c>
      <c r="C565" s="11" t="s">
        <v>108</v>
      </c>
      <c r="D565" s="11" t="s">
        <v>77</v>
      </c>
      <c r="E565" s="11" t="s">
        <v>72</v>
      </c>
      <c r="F565" s="11" t="s">
        <v>39</v>
      </c>
      <c r="G565" s="11" t="n">
        <v>2</v>
      </c>
      <c r="H565" s="11" t="n">
        <v>30</v>
      </c>
      <c r="I565" s="11" t="n">
        <v>5</v>
      </c>
      <c r="J565" s="11" t="s">
        <v>40</v>
      </c>
      <c r="K565" s="11" t="n">
        <f aca="false">IF($J565="Y","",IF($F565="BW",$I565,$H565*$I565))</f>
        <v>150</v>
      </c>
      <c r="L565" s="11" t="str">
        <f aca="false">$D565&amp;"|"&amp;$H565</f>
        <v>Bicep Curls (DB)|30</v>
      </c>
      <c r="M565" s="11"/>
    </row>
    <row r="566" customFormat="false" ht="15" hidden="false" customHeight="false" outlineLevel="0" collapsed="false">
      <c r="A566" s="10" t="n">
        <v>46217</v>
      </c>
      <c r="B566" s="11" t="s">
        <v>69</v>
      </c>
      <c r="C566" s="11" t="s">
        <v>108</v>
      </c>
      <c r="D566" s="11" t="s">
        <v>77</v>
      </c>
      <c r="E566" s="11" t="s">
        <v>72</v>
      </c>
      <c r="F566" s="11" t="s">
        <v>39</v>
      </c>
      <c r="G566" s="11" t="n">
        <v>3</v>
      </c>
      <c r="H566" s="11" t="n">
        <v>25</v>
      </c>
      <c r="I566" s="11" t="n">
        <v>8</v>
      </c>
      <c r="J566" s="11" t="s">
        <v>40</v>
      </c>
      <c r="K566" s="11" t="n">
        <f aca="false">IF($J566="Y","",IF($F566="BW",$I566,$H566*$I566))</f>
        <v>200</v>
      </c>
      <c r="L566" s="11" t="str">
        <f aca="false">$D566&amp;"|"&amp;$H566</f>
        <v>Bicep Curls (DB)|25</v>
      </c>
      <c r="M566" s="11"/>
    </row>
    <row r="567" customFormat="false" ht="15" hidden="false" customHeight="false" outlineLevel="0" collapsed="false">
      <c r="A567" s="10" t="n">
        <v>46217</v>
      </c>
      <c r="B567" s="11" t="s">
        <v>69</v>
      </c>
      <c r="C567" s="11" t="s">
        <v>108</v>
      </c>
      <c r="D567" s="11" t="s">
        <v>77</v>
      </c>
      <c r="E567" s="11" t="s">
        <v>72</v>
      </c>
      <c r="F567" s="11" t="s">
        <v>39</v>
      </c>
      <c r="G567" s="11" t="n">
        <v>4</v>
      </c>
      <c r="H567" s="11" t="n">
        <v>25</v>
      </c>
      <c r="I567" s="11" t="n">
        <v>8</v>
      </c>
      <c r="J567" s="11" t="s">
        <v>40</v>
      </c>
      <c r="K567" s="11" t="n">
        <f aca="false">IF($J567="Y","",IF($F567="BW",$I567,$H567*$I567))</f>
        <v>200</v>
      </c>
      <c r="L567" s="11" t="str">
        <f aca="false">$D567&amp;"|"&amp;$H567</f>
        <v>Bicep Curls (DB)|25</v>
      </c>
      <c r="M567" s="11"/>
    </row>
    <row r="568" customFormat="false" ht="15" hidden="false" customHeight="false" outlineLevel="0" collapsed="false">
      <c r="A568" s="12" t="n">
        <v>46219</v>
      </c>
      <c r="B568" s="13" t="s">
        <v>35</v>
      </c>
      <c r="C568" s="13" t="s">
        <v>36</v>
      </c>
      <c r="D568" s="13" t="s">
        <v>110</v>
      </c>
      <c r="E568" s="13" t="s">
        <v>38</v>
      </c>
      <c r="F568" s="13" t="s">
        <v>39</v>
      </c>
      <c r="G568" s="13" t="n">
        <v>1</v>
      </c>
      <c r="H568" s="13" t="n">
        <v>25</v>
      </c>
      <c r="I568" s="13" t="n">
        <v>8</v>
      </c>
      <c r="J568" s="13" t="s">
        <v>84</v>
      </c>
      <c r="K568" s="13" t="str">
        <f aca="false">IF($J568="Y","",IF($F568="BW",$I568,$H568*$I568))</f>
        <v/>
      </c>
      <c r="L568" s="13" t="str">
        <f aca="false">$D568&amp;"|"&amp;$H568</f>
        <v>Bench Press (Smith)|25</v>
      </c>
      <c r="M568" s="13"/>
    </row>
    <row r="569" customFormat="false" ht="15" hidden="false" customHeight="false" outlineLevel="0" collapsed="false">
      <c r="A569" s="10" t="n">
        <v>46219</v>
      </c>
      <c r="B569" s="11" t="s">
        <v>35</v>
      </c>
      <c r="C569" s="11" t="s">
        <v>36</v>
      </c>
      <c r="D569" s="11" t="s">
        <v>110</v>
      </c>
      <c r="E569" s="11" t="s">
        <v>38</v>
      </c>
      <c r="F569" s="11" t="s">
        <v>39</v>
      </c>
      <c r="G569" s="11" t="n">
        <v>2</v>
      </c>
      <c r="H569" s="11" t="n">
        <v>70</v>
      </c>
      <c r="I569" s="11" t="n">
        <v>8</v>
      </c>
      <c r="J569" s="11" t="s">
        <v>40</v>
      </c>
      <c r="K569" s="11" t="n">
        <f aca="false">IF($J569="Y","",IF($F569="BW",$I569,$H569*$I569))</f>
        <v>560</v>
      </c>
      <c r="L569" s="11" t="str">
        <f aca="false">$D569&amp;"|"&amp;$H569</f>
        <v>Bench Press (Smith)|70</v>
      </c>
      <c r="M569" s="11"/>
    </row>
    <row r="570" customFormat="false" ht="15" hidden="false" customHeight="false" outlineLevel="0" collapsed="false">
      <c r="A570" s="10" t="n">
        <v>46219</v>
      </c>
      <c r="B570" s="11" t="s">
        <v>35</v>
      </c>
      <c r="C570" s="11" t="s">
        <v>36</v>
      </c>
      <c r="D570" s="11" t="s">
        <v>110</v>
      </c>
      <c r="E570" s="11" t="s">
        <v>38</v>
      </c>
      <c r="F570" s="11" t="s">
        <v>39</v>
      </c>
      <c r="G570" s="11" t="n">
        <v>3</v>
      </c>
      <c r="H570" s="11" t="n">
        <v>100</v>
      </c>
      <c r="I570" s="11" t="n">
        <v>8</v>
      </c>
      <c r="J570" s="11" t="s">
        <v>40</v>
      </c>
      <c r="K570" s="11" t="n">
        <f aca="false">IF($J570="Y","",IF($F570="BW",$I570,$H570*$I570))</f>
        <v>800</v>
      </c>
      <c r="L570" s="11" t="str">
        <f aca="false">$D570&amp;"|"&amp;$H570</f>
        <v>Bench Press (Smith)|100</v>
      </c>
      <c r="M570" s="11"/>
    </row>
    <row r="571" customFormat="false" ht="15" hidden="false" customHeight="false" outlineLevel="0" collapsed="false">
      <c r="A571" s="10" t="n">
        <v>46219</v>
      </c>
      <c r="B571" s="11" t="s">
        <v>35</v>
      </c>
      <c r="C571" s="11" t="s">
        <v>36</v>
      </c>
      <c r="D571" s="11" t="s">
        <v>110</v>
      </c>
      <c r="E571" s="11" t="s">
        <v>38</v>
      </c>
      <c r="F571" s="11" t="s">
        <v>39</v>
      </c>
      <c r="G571" s="11" t="n">
        <v>4</v>
      </c>
      <c r="H571" s="11" t="n">
        <v>105</v>
      </c>
      <c r="I571" s="11" t="n">
        <v>8</v>
      </c>
      <c r="J571" s="11" t="s">
        <v>40</v>
      </c>
      <c r="K571" s="11" t="n">
        <f aca="false">IF($J571="Y","",IF($F571="BW",$I571,$H571*$I571))</f>
        <v>840</v>
      </c>
      <c r="L571" s="11" t="str">
        <f aca="false">$D571&amp;"|"&amp;$H571</f>
        <v>Bench Press (Smith)|105</v>
      </c>
      <c r="M571" s="11"/>
    </row>
    <row r="572" customFormat="false" ht="15" hidden="false" customHeight="false" outlineLevel="0" collapsed="false">
      <c r="A572" s="12" t="n">
        <v>46219</v>
      </c>
      <c r="B572" s="13" t="s">
        <v>35</v>
      </c>
      <c r="C572" s="13" t="s">
        <v>36</v>
      </c>
      <c r="D572" s="13" t="s">
        <v>76</v>
      </c>
      <c r="E572" s="13" t="s">
        <v>72</v>
      </c>
      <c r="F572" s="13" t="s">
        <v>39</v>
      </c>
      <c r="G572" s="13" t="n">
        <v>1</v>
      </c>
      <c r="H572" s="13" t="n">
        <v>15</v>
      </c>
      <c r="I572" s="13" t="n">
        <v>8</v>
      </c>
      <c r="J572" s="13" t="s">
        <v>84</v>
      </c>
      <c r="K572" s="13" t="str">
        <f aca="false">IF($J572="Y","",IF($F572="BW",$I572,$H572*$I572))</f>
        <v/>
      </c>
      <c r="L572" s="13" t="str">
        <f aca="false">$D572&amp;"|"&amp;$H572</f>
        <v>Shoulder Press|15</v>
      </c>
      <c r="M572" s="13"/>
    </row>
    <row r="573" customFormat="false" ht="15" hidden="false" customHeight="false" outlineLevel="0" collapsed="false">
      <c r="A573" s="10" t="n">
        <v>46219</v>
      </c>
      <c r="B573" s="11" t="s">
        <v>35</v>
      </c>
      <c r="C573" s="11" t="s">
        <v>36</v>
      </c>
      <c r="D573" s="11" t="s">
        <v>76</v>
      </c>
      <c r="E573" s="11" t="s">
        <v>72</v>
      </c>
      <c r="F573" s="11" t="s">
        <v>39</v>
      </c>
      <c r="G573" s="11" t="n">
        <v>2</v>
      </c>
      <c r="H573" s="11" t="n">
        <v>25</v>
      </c>
      <c r="I573" s="11" t="n">
        <v>8</v>
      </c>
      <c r="J573" s="11" t="s">
        <v>40</v>
      </c>
      <c r="K573" s="11" t="n">
        <f aca="false">IF($J573="Y","",IF($F573="BW",$I573,$H573*$I573))</f>
        <v>200</v>
      </c>
      <c r="L573" s="11" t="str">
        <f aca="false">$D573&amp;"|"&amp;$H573</f>
        <v>Shoulder Press|25</v>
      </c>
      <c r="M573" s="11"/>
    </row>
    <row r="574" customFormat="false" ht="15" hidden="false" customHeight="false" outlineLevel="0" collapsed="false">
      <c r="A574" s="10" t="n">
        <v>46219</v>
      </c>
      <c r="B574" s="11" t="s">
        <v>35</v>
      </c>
      <c r="C574" s="11" t="s">
        <v>36</v>
      </c>
      <c r="D574" s="11" t="s">
        <v>76</v>
      </c>
      <c r="E574" s="11" t="s">
        <v>72</v>
      </c>
      <c r="F574" s="11" t="s">
        <v>39</v>
      </c>
      <c r="G574" s="11" t="n">
        <v>3</v>
      </c>
      <c r="H574" s="11" t="n">
        <v>30</v>
      </c>
      <c r="I574" s="11" t="n">
        <v>8</v>
      </c>
      <c r="J574" s="11" t="s">
        <v>40</v>
      </c>
      <c r="K574" s="11" t="n">
        <f aca="false">IF($J574="Y","",IF($F574="BW",$I574,$H574*$I574))</f>
        <v>240</v>
      </c>
      <c r="L574" s="11" t="str">
        <f aca="false">$D574&amp;"|"&amp;$H574</f>
        <v>Shoulder Press|30</v>
      </c>
      <c r="M574" s="11"/>
    </row>
    <row r="575" customFormat="false" ht="15" hidden="false" customHeight="false" outlineLevel="0" collapsed="false">
      <c r="A575" s="10" t="n">
        <v>46219</v>
      </c>
      <c r="B575" s="11" t="s">
        <v>35</v>
      </c>
      <c r="C575" s="11" t="s">
        <v>36</v>
      </c>
      <c r="D575" s="11" t="s">
        <v>76</v>
      </c>
      <c r="E575" s="11" t="s">
        <v>72</v>
      </c>
      <c r="F575" s="11" t="s">
        <v>39</v>
      </c>
      <c r="G575" s="11" t="n">
        <v>4</v>
      </c>
      <c r="H575" s="11" t="n">
        <v>30</v>
      </c>
      <c r="I575" s="11" t="n">
        <v>8</v>
      </c>
      <c r="J575" s="11" t="s">
        <v>40</v>
      </c>
      <c r="K575" s="11" t="n">
        <f aca="false">IF($J575="Y","",IF($F575="BW",$I575,$H575*$I575))</f>
        <v>240</v>
      </c>
      <c r="L575" s="11" t="str">
        <f aca="false">$D575&amp;"|"&amp;$H575</f>
        <v>Shoulder Press|30</v>
      </c>
      <c r="M575" s="11"/>
    </row>
    <row r="576" customFormat="false" ht="15" hidden="false" customHeight="false" outlineLevel="0" collapsed="false">
      <c r="A576" s="12" t="n">
        <v>46219</v>
      </c>
      <c r="B576" s="13" t="s">
        <v>35</v>
      </c>
      <c r="C576" s="13" t="s">
        <v>36</v>
      </c>
      <c r="D576" s="13" t="s">
        <v>80</v>
      </c>
      <c r="E576" s="13" t="s">
        <v>72</v>
      </c>
      <c r="F576" s="13" t="s">
        <v>39</v>
      </c>
      <c r="G576" s="13" t="n">
        <v>1</v>
      </c>
      <c r="H576" s="13" t="n">
        <v>25</v>
      </c>
      <c r="I576" s="13" t="n">
        <v>8</v>
      </c>
      <c r="J576" s="13" t="s">
        <v>84</v>
      </c>
      <c r="K576" s="13" t="str">
        <f aca="false">IF($J576="Y","",IF($F576="BW",$I576,$H576*$I576))</f>
        <v/>
      </c>
      <c r="L576" s="13" t="str">
        <f aca="false">$D576&amp;"|"&amp;$H576</f>
        <v>Tricep Ext Overhead|25</v>
      </c>
      <c r="M576" s="13"/>
    </row>
    <row r="577" customFormat="false" ht="15" hidden="false" customHeight="false" outlineLevel="0" collapsed="false">
      <c r="A577" s="10" t="n">
        <v>46219</v>
      </c>
      <c r="B577" s="11" t="s">
        <v>35</v>
      </c>
      <c r="C577" s="11" t="s">
        <v>36</v>
      </c>
      <c r="D577" s="11" t="s">
        <v>80</v>
      </c>
      <c r="E577" s="11" t="s">
        <v>72</v>
      </c>
      <c r="F577" s="11" t="s">
        <v>39</v>
      </c>
      <c r="G577" s="11" t="n">
        <v>2</v>
      </c>
      <c r="H577" s="11" t="n">
        <v>40</v>
      </c>
      <c r="I577" s="11" t="n">
        <v>8</v>
      </c>
      <c r="J577" s="11" t="s">
        <v>40</v>
      </c>
      <c r="K577" s="11" t="n">
        <f aca="false">IF($J577="Y","",IF($F577="BW",$I577,$H577*$I577))</f>
        <v>320</v>
      </c>
      <c r="L577" s="11" t="str">
        <f aca="false">$D577&amp;"|"&amp;$H577</f>
        <v>Tricep Ext Overhead|40</v>
      </c>
      <c r="M577" s="11"/>
    </row>
    <row r="578" customFormat="false" ht="15" hidden="false" customHeight="false" outlineLevel="0" collapsed="false">
      <c r="A578" s="10" t="n">
        <v>46219</v>
      </c>
      <c r="B578" s="11" t="s">
        <v>35</v>
      </c>
      <c r="C578" s="11" t="s">
        <v>36</v>
      </c>
      <c r="D578" s="11" t="s">
        <v>80</v>
      </c>
      <c r="E578" s="11" t="s">
        <v>72</v>
      </c>
      <c r="F578" s="11" t="s">
        <v>39</v>
      </c>
      <c r="G578" s="11" t="n">
        <v>3</v>
      </c>
      <c r="H578" s="11" t="n">
        <v>50</v>
      </c>
      <c r="I578" s="11" t="n">
        <v>8</v>
      </c>
      <c r="J578" s="11" t="s">
        <v>40</v>
      </c>
      <c r="K578" s="11" t="n">
        <f aca="false">IF($J578="Y","",IF($F578="BW",$I578,$H578*$I578))</f>
        <v>400</v>
      </c>
      <c r="L578" s="11" t="str">
        <f aca="false">$D578&amp;"|"&amp;$H578</f>
        <v>Tricep Ext Overhead|50</v>
      </c>
      <c r="M578" s="11"/>
    </row>
    <row r="579" customFormat="false" ht="15" hidden="false" customHeight="false" outlineLevel="0" collapsed="false">
      <c r="A579" s="10" t="n">
        <v>46219</v>
      </c>
      <c r="B579" s="11" t="s">
        <v>35</v>
      </c>
      <c r="C579" s="11" t="s">
        <v>36</v>
      </c>
      <c r="D579" s="11" t="s">
        <v>80</v>
      </c>
      <c r="E579" s="11" t="s">
        <v>72</v>
      </c>
      <c r="F579" s="11" t="s">
        <v>39</v>
      </c>
      <c r="G579" s="11" t="n">
        <v>4</v>
      </c>
      <c r="H579" s="11" t="n">
        <v>50</v>
      </c>
      <c r="I579" s="11" t="n">
        <v>8</v>
      </c>
      <c r="J579" s="11" t="s">
        <v>40</v>
      </c>
      <c r="K579" s="11" t="n">
        <f aca="false">IF($J579="Y","",IF($F579="BW",$I579,$H579*$I579))</f>
        <v>400</v>
      </c>
      <c r="L579" s="11" t="str">
        <f aca="false">$D579&amp;"|"&amp;$H579</f>
        <v>Tricep Ext Overhead|50</v>
      </c>
      <c r="M579" s="11"/>
    </row>
    <row r="580" customFormat="false" ht="15" hidden="false" customHeight="false" outlineLevel="0" collapsed="false">
      <c r="A580" s="12" t="n">
        <v>46219</v>
      </c>
      <c r="B580" s="13" t="s">
        <v>35</v>
      </c>
      <c r="C580" s="13" t="s">
        <v>36</v>
      </c>
      <c r="D580" s="13" t="s">
        <v>113</v>
      </c>
      <c r="E580" s="13" t="s">
        <v>72</v>
      </c>
      <c r="F580" s="13" t="s">
        <v>39</v>
      </c>
      <c r="G580" s="13" t="n">
        <v>1</v>
      </c>
      <c r="H580" s="13" t="n">
        <v>25</v>
      </c>
      <c r="I580" s="13" t="n">
        <v>8</v>
      </c>
      <c r="J580" s="13" t="s">
        <v>84</v>
      </c>
      <c r="K580" s="13" t="str">
        <f aca="false">IF($J580="Y","",IF($F580="BW",$I580,$H580*$I580))</f>
        <v/>
      </c>
      <c r="L580" s="13" t="str">
        <f aca="false">$D580&amp;"|"&amp;$H580</f>
        <v>Incline Bench (DB)|25</v>
      </c>
      <c r="M580" s="13"/>
    </row>
    <row r="581" customFormat="false" ht="15" hidden="false" customHeight="false" outlineLevel="0" collapsed="false">
      <c r="A581" s="10" t="n">
        <v>46219</v>
      </c>
      <c r="B581" s="11" t="s">
        <v>35</v>
      </c>
      <c r="C581" s="11" t="s">
        <v>36</v>
      </c>
      <c r="D581" s="11" t="s">
        <v>113</v>
      </c>
      <c r="E581" s="11" t="s">
        <v>72</v>
      </c>
      <c r="F581" s="11" t="s">
        <v>39</v>
      </c>
      <c r="G581" s="11" t="n">
        <v>2</v>
      </c>
      <c r="H581" s="11" t="n">
        <v>35</v>
      </c>
      <c r="I581" s="11" t="n">
        <v>8</v>
      </c>
      <c r="J581" s="11" t="s">
        <v>40</v>
      </c>
      <c r="K581" s="11" t="n">
        <f aca="false">IF($J581="Y","",IF($F581="BW",$I581,$H581*$I581))</f>
        <v>280</v>
      </c>
      <c r="L581" s="11" t="str">
        <f aca="false">$D581&amp;"|"&amp;$H581</f>
        <v>Incline Bench (DB)|35</v>
      </c>
      <c r="M581" s="11"/>
    </row>
    <row r="582" customFormat="false" ht="15" hidden="false" customHeight="false" outlineLevel="0" collapsed="false">
      <c r="A582" s="10" t="n">
        <v>46219</v>
      </c>
      <c r="B582" s="11" t="s">
        <v>35</v>
      </c>
      <c r="C582" s="11" t="s">
        <v>36</v>
      </c>
      <c r="D582" s="11" t="s">
        <v>113</v>
      </c>
      <c r="E582" s="11" t="s">
        <v>72</v>
      </c>
      <c r="F582" s="11" t="s">
        <v>39</v>
      </c>
      <c r="G582" s="11" t="n">
        <v>3</v>
      </c>
      <c r="H582" s="11" t="n">
        <v>40</v>
      </c>
      <c r="I582" s="11" t="n">
        <v>8</v>
      </c>
      <c r="J582" s="11" t="s">
        <v>40</v>
      </c>
      <c r="K582" s="11" t="n">
        <f aca="false">IF($J582="Y","",IF($F582="BW",$I582,$H582*$I582))</f>
        <v>320</v>
      </c>
      <c r="L582" s="11" t="str">
        <f aca="false">$D582&amp;"|"&amp;$H582</f>
        <v>Incline Bench (DB)|40</v>
      </c>
      <c r="M582" s="11"/>
    </row>
    <row r="583" customFormat="false" ht="15" hidden="false" customHeight="false" outlineLevel="0" collapsed="false">
      <c r="A583" s="10" t="n">
        <v>46219</v>
      </c>
      <c r="B583" s="11" t="s">
        <v>35</v>
      </c>
      <c r="C583" s="11" t="s">
        <v>36</v>
      </c>
      <c r="D583" s="11" t="s">
        <v>113</v>
      </c>
      <c r="E583" s="11" t="s">
        <v>72</v>
      </c>
      <c r="F583" s="11" t="s">
        <v>39</v>
      </c>
      <c r="G583" s="11" t="n">
        <v>4</v>
      </c>
      <c r="H583" s="11" t="n">
        <v>40</v>
      </c>
      <c r="I583" s="11" t="n">
        <v>8</v>
      </c>
      <c r="J583" s="11" t="s">
        <v>40</v>
      </c>
      <c r="K583" s="11" t="n">
        <f aca="false">IF($J583="Y","",IF($F583="BW",$I583,$H583*$I583))</f>
        <v>320</v>
      </c>
      <c r="L583" s="11" t="str">
        <f aca="false">$D583&amp;"|"&amp;$H583</f>
        <v>Incline Bench (DB)|40</v>
      </c>
      <c r="M583" s="11"/>
    </row>
    <row r="584" customFormat="false" ht="15" hidden="false" customHeight="false" outlineLevel="0" collapsed="false">
      <c r="A584" s="12" t="n">
        <v>46221</v>
      </c>
      <c r="B584" s="13" t="s">
        <v>60</v>
      </c>
      <c r="C584" s="13" t="s">
        <v>61</v>
      </c>
      <c r="D584" s="13" t="s">
        <v>63</v>
      </c>
      <c r="E584" s="13" t="s">
        <v>38</v>
      </c>
      <c r="F584" s="13" t="s">
        <v>39</v>
      </c>
      <c r="G584" s="13" t="n">
        <v>1</v>
      </c>
      <c r="H584" s="13" t="n">
        <v>20</v>
      </c>
      <c r="I584" s="13" t="n">
        <v>8</v>
      </c>
      <c r="J584" s="13" t="s">
        <v>84</v>
      </c>
      <c r="K584" s="13" t="str">
        <f aca="false">IF($J584="Y","",IF($F584="BW",$I584,$H584*$I584))</f>
        <v/>
      </c>
      <c r="L584" s="13" t="str">
        <f aca="false">$D584&amp;"|"&amp;$H584</f>
        <v>RDLs|20</v>
      </c>
      <c r="M584" s="13" t="s">
        <v>154</v>
      </c>
    </row>
    <row r="585" customFormat="false" ht="15" hidden="false" customHeight="false" outlineLevel="0" collapsed="false">
      <c r="A585" s="10" t="n">
        <v>46221</v>
      </c>
      <c r="B585" s="11" t="s">
        <v>60</v>
      </c>
      <c r="C585" s="11" t="s">
        <v>61</v>
      </c>
      <c r="D585" s="11" t="s">
        <v>63</v>
      </c>
      <c r="E585" s="11" t="s">
        <v>38</v>
      </c>
      <c r="F585" s="11" t="s">
        <v>39</v>
      </c>
      <c r="G585" s="11" t="n">
        <v>2</v>
      </c>
      <c r="H585" s="11" t="n">
        <v>40</v>
      </c>
      <c r="I585" s="11" t="n">
        <v>8</v>
      </c>
      <c r="J585" s="11" t="s">
        <v>40</v>
      </c>
      <c r="K585" s="11" t="n">
        <f aca="false">IF($J585="Y","",IF($F585="BW",$I585,$H585*$I585))</f>
        <v>320</v>
      </c>
      <c r="L585" s="11" t="str">
        <f aca="false">$D585&amp;"|"&amp;$H585</f>
        <v>RDLs|40</v>
      </c>
      <c r="M585" s="11" t="s">
        <v>154</v>
      </c>
    </row>
    <row r="586" customFormat="false" ht="15" hidden="false" customHeight="false" outlineLevel="0" collapsed="false">
      <c r="A586" s="10" t="n">
        <v>46221</v>
      </c>
      <c r="B586" s="11" t="s">
        <v>60</v>
      </c>
      <c r="C586" s="11" t="s">
        <v>61</v>
      </c>
      <c r="D586" s="11" t="s">
        <v>63</v>
      </c>
      <c r="E586" s="11" t="s">
        <v>38</v>
      </c>
      <c r="F586" s="11" t="s">
        <v>39</v>
      </c>
      <c r="G586" s="11" t="n">
        <v>3</v>
      </c>
      <c r="H586" s="11" t="n">
        <v>50</v>
      </c>
      <c r="I586" s="11" t="n">
        <v>8</v>
      </c>
      <c r="J586" s="11" t="s">
        <v>40</v>
      </c>
      <c r="K586" s="11" t="n">
        <f aca="false">IF($J586="Y","",IF($F586="BW",$I586,$H586*$I586))</f>
        <v>400</v>
      </c>
      <c r="L586" s="11" t="str">
        <f aca="false">$D586&amp;"|"&amp;$H586</f>
        <v>RDLs|50</v>
      </c>
      <c r="M586" s="11" t="s">
        <v>154</v>
      </c>
    </row>
    <row r="587" customFormat="false" ht="15" hidden="false" customHeight="false" outlineLevel="0" collapsed="false">
      <c r="A587" s="10" t="n">
        <v>46221</v>
      </c>
      <c r="B587" s="11" t="s">
        <v>60</v>
      </c>
      <c r="C587" s="11" t="s">
        <v>61</v>
      </c>
      <c r="D587" s="11" t="s">
        <v>63</v>
      </c>
      <c r="E587" s="11" t="s">
        <v>38</v>
      </c>
      <c r="F587" s="11" t="s">
        <v>39</v>
      </c>
      <c r="G587" s="11" t="n">
        <v>4</v>
      </c>
      <c r="H587" s="11" t="n">
        <v>55</v>
      </c>
      <c r="I587" s="11" t="n">
        <v>8</v>
      </c>
      <c r="J587" s="11" t="s">
        <v>40</v>
      </c>
      <c r="K587" s="11" t="n">
        <f aca="false">IF($J587="Y","",IF($F587="BW",$I587,$H587*$I587))</f>
        <v>440</v>
      </c>
      <c r="L587" s="11" t="str">
        <f aca="false">$D587&amp;"|"&amp;$H587</f>
        <v>RDLs|55</v>
      </c>
      <c r="M587" s="11" t="s">
        <v>154</v>
      </c>
    </row>
    <row r="588" customFormat="false" ht="15" hidden="false" customHeight="false" outlineLevel="0" collapsed="false">
      <c r="A588" s="12" t="n">
        <v>46221</v>
      </c>
      <c r="B588" s="13" t="s">
        <v>60</v>
      </c>
      <c r="C588" s="13" t="s">
        <v>61</v>
      </c>
      <c r="D588" s="13" t="s">
        <v>151</v>
      </c>
      <c r="E588" s="13" t="s">
        <v>72</v>
      </c>
      <c r="F588" s="13" t="s">
        <v>39</v>
      </c>
      <c r="G588" s="13" t="n">
        <v>1</v>
      </c>
      <c r="H588" s="13" t="n">
        <v>15</v>
      </c>
      <c r="I588" s="13" t="n">
        <v>8</v>
      </c>
      <c r="J588" s="13" t="s">
        <v>84</v>
      </c>
      <c r="K588" s="13" t="str">
        <f aca="false">IF($J588="Y","",IF($F588="BW",$I588,$H588*$I588))</f>
        <v/>
      </c>
      <c r="L588" s="13" t="str">
        <f aca="false">$D588&amp;"|"&amp;$H588</f>
        <v>Calf Raises (DB)|15</v>
      </c>
      <c r="M588" s="13"/>
    </row>
    <row r="589" customFormat="false" ht="15" hidden="false" customHeight="false" outlineLevel="0" collapsed="false">
      <c r="A589" s="10" t="n">
        <v>46221</v>
      </c>
      <c r="B589" s="11" t="s">
        <v>60</v>
      </c>
      <c r="C589" s="11" t="s">
        <v>61</v>
      </c>
      <c r="D589" s="11" t="s">
        <v>151</v>
      </c>
      <c r="E589" s="11" t="s">
        <v>72</v>
      </c>
      <c r="F589" s="11" t="s">
        <v>39</v>
      </c>
      <c r="G589" s="11" t="n">
        <v>2</v>
      </c>
      <c r="H589" s="11" t="n">
        <v>25</v>
      </c>
      <c r="I589" s="11" t="n">
        <v>15</v>
      </c>
      <c r="J589" s="11" t="s">
        <v>40</v>
      </c>
      <c r="K589" s="11" t="n">
        <f aca="false">IF($J589="Y","",IF($F589="BW",$I589,$H589*$I589))</f>
        <v>375</v>
      </c>
      <c r="L589" s="11" t="str">
        <f aca="false">$D589&amp;"|"&amp;$H589</f>
        <v>Calf Raises (DB)|25</v>
      </c>
      <c r="M589" s="11"/>
    </row>
    <row r="590" customFormat="false" ht="15" hidden="false" customHeight="false" outlineLevel="0" collapsed="false">
      <c r="A590" s="10" t="n">
        <v>46221</v>
      </c>
      <c r="B590" s="11" t="s">
        <v>60</v>
      </c>
      <c r="C590" s="11" t="s">
        <v>61</v>
      </c>
      <c r="D590" s="11" t="s">
        <v>151</v>
      </c>
      <c r="E590" s="11" t="s">
        <v>72</v>
      </c>
      <c r="F590" s="11" t="s">
        <v>39</v>
      </c>
      <c r="G590" s="11" t="n">
        <v>3</v>
      </c>
      <c r="H590" s="11" t="n">
        <v>25</v>
      </c>
      <c r="I590" s="11" t="n">
        <v>15</v>
      </c>
      <c r="J590" s="11" t="s">
        <v>40</v>
      </c>
      <c r="K590" s="11" t="n">
        <f aca="false">IF($J590="Y","",IF($F590="BW",$I590,$H590*$I590))</f>
        <v>375</v>
      </c>
      <c r="L590" s="11" t="str">
        <f aca="false">$D590&amp;"|"&amp;$H590</f>
        <v>Calf Raises (DB)|25</v>
      </c>
      <c r="M590" s="11"/>
    </row>
    <row r="591" customFormat="false" ht="15" hidden="false" customHeight="false" outlineLevel="0" collapsed="false">
      <c r="A591" s="10" t="n">
        <v>46221</v>
      </c>
      <c r="B591" s="11" t="s">
        <v>60</v>
      </c>
      <c r="C591" s="11" t="s">
        <v>61</v>
      </c>
      <c r="D591" s="11" t="s">
        <v>155</v>
      </c>
      <c r="E591" s="11" t="s">
        <v>66</v>
      </c>
      <c r="F591" s="11" t="s">
        <v>67</v>
      </c>
      <c r="G591" s="11" t="n">
        <v>1</v>
      </c>
      <c r="H591" s="11" t="n">
        <v>0</v>
      </c>
      <c r="I591" s="11" t="n">
        <v>8</v>
      </c>
      <c r="J591" s="11" t="s">
        <v>40</v>
      </c>
      <c r="K591" s="11" t="n">
        <f aca="false">IF($J591="Y","",IF($F591="BW",$I591,$H591*$I591))</f>
        <v>8</v>
      </c>
      <c r="L591" s="11" t="str">
        <f aca="false">$D591&amp;"|"&amp;$H591</f>
        <v>Bodyweight Squats|0</v>
      </c>
      <c r="M591" s="11" t="s">
        <v>156</v>
      </c>
    </row>
    <row r="592" customFormat="false" ht="15" hidden="false" customHeight="false" outlineLevel="0" collapsed="false">
      <c r="A592" s="10" t="n">
        <v>46221</v>
      </c>
      <c r="B592" s="11" t="s">
        <v>60</v>
      </c>
      <c r="C592" s="11" t="s">
        <v>61</v>
      </c>
      <c r="D592" s="11" t="s">
        <v>155</v>
      </c>
      <c r="E592" s="11" t="s">
        <v>66</v>
      </c>
      <c r="F592" s="11" t="s">
        <v>67</v>
      </c>
      <c r="G592" s="11" t="n">
        <v>2</v>
      </c>
      <c r="H592" s="11" t="n">
        <v>0</v>
      </c>
      <c r="I592" s="11" t="n">
        <v>8</v>
      </c>
      <c r="J592" s="11" t="s">
        <v>40</v>
      </c>
      <c r="K592" s="11" t="n">
        <f aca="false">IF($J592="Y","",IF($F592="BW",$I592,$H592*$I592))</f>
        <v>8</v>
      </c>
      <c r="L592" s="11" t="str">
        <f aca="false">$D592&amp;"|"&amp;$H592</f>
        <v>Bodyweight Squats|0</v>
      </c>
      <c r="M592" s="11" t="s">
        <v>156</v>
      </c>
    </row>
    <row r="593" customFormat="false" ht="15" hidden="false" customHeight="false" outlineLevel="0" collapsed="false">
      <c r="A593" s="10" t="n">
        <v>46221</v>
      </c>
      <c r="B593" s="11" t="s">
        <v>60</v>
      </c>
      <c r="C593" s="11" t="s">
        <v>61</v>
      </c>
      <c r="D593" s="11" t="s">
        <v>155</v>
      </c>
      <c r="E593" s="11" t="s">
        <v>66</v>
      </c>
      <c r="F593" s="11" t="s">
        <v>67</v>
      </c>
      <c r="G593" s="11" t="n">
        <v>3</v>
      </c>
      <c r="H593" s="11" t="n">
        <v>0</v>
      </c>
      <c r="I593" s="11" t="n">
        <v>8</v>
      </c>
      <c r="J593" s="11" t="s">
        <v>40</v>
      </c>
      <c r="K593" s="11" t="n">
        <f aca="false">IF($J593="Y","",IF($F593="BW",$I593,$H593*$I593))</f>
        <v>8</v>
      </c>
      <c r="L593" s="11" t="str">
        <f aca="false">$D593&amp;"|"&amp;$H593</f>
        <v>Bodyweight Squats|0</v>
      </c>
      <c r="M593" s="11" t="s">
        <v>156</v>
      </c>
    </row>
    <row r="594" customFormat="false" ht="15" hidden="false" customHeight="false" outlineLevel="0" collapsed="false">
      <c r="A594" s="12" t="n">
        <v>46222</v>
      </c>
      <c r="B594" s="13" t="s">
        <v>83</v>
      </c>
      <c r="C594" s="13" t="s">
        <v>157</v>
      </c>
      <c r="D594" s="13" t="s">
        <v>73</v>
      </c>
      <c r="E594" s="13" t="s">
        <v>74</v>
      </c>
      <c r="F594" s="13" t="s">
        <v>75</v>
      </c>
      <c r="G594" s="13" t="n">
        <v>1</v>
      </c>
      <c r="H594" s="13" t="n">
        <v>12.5</v>
      </c>
      <c r="I594" s="13" t="n">
        <v>8</v>
      </c>
      <c r="J594" s="13" t="s">
        <v>84</v>
      </c>
      <c r="K594" s="13" t="str">
        <f aca="false">IF($J594="Y","",IF($F594="BW",$I594,$H594*$I594))</f>
        <v/>
      </c>
      <c r="L594" s="13" t="str">
        <f aca="false">$D594&amp;"|"&amp;$H594</f>
        <v>Single Arm Lat Pulldown|12.5</v>
      </c>
      <c r="M594" s="13"/>
    </row>
    <row r="595" customFormat="false" ht="15" hidden="false" customHeight="false" outlineLevel="0" collapsed="false">
      <c r="A595" s="10" t="n">
        <v>46222</v>
      </c>
      <c r="B595" s="11" t="s">
        <v>83</v>
      </c>
      <c r="C595" s="11" t="s">
        <v>157</v>
      </c>
      <c r="D595" s="11" t="s">
        <v>73</v>
      </c>
      <c r="E595" s="11" t="s">
        <v>74</v>
      </c>
      <c r="F595" s="11" t="s">
        <v>75</v>
      </c>
      <c r="G595" s="11" t="n">
        <v>2</v>
      </c>
      <c r="H595" s="11" t="n">
        <v>20</v>
      </c>
      <c r="I595" s="11" t="n">
        <v>8</v>
      </c>
      <c r="J595" s="11" t="s">
        <v>40</v>
      </c>
      <c r="K595" s="11" t="n">
        <f aca="false">IF($J595="Y","",IF($F595="BW",$I595,$H595*$I595))</f>
        <v>160</v>
      </c>
      <c r="L595" s="11" t="str">
        <f aca="false">$D595&amp;"|"&amp;$H595</f>
        <v>Single Arm Lat Pulldown|20</v>
      </c>
      <c r="M595" s="11"/>
    </row>
    <row r="596" customFormat="false" ht="15" hidden="false" customHeight="false" outlineLevel="0" collapsed="false">
      <c r="A596" s="10" t="n">
        <v>46222</v>
      </c>
      <c r="B596" s="11" t="s">
        <v>83</v>
      </c>
      <c r="C596" s="11" t="s">
        <v>157</v>
      </c>
      <c r="D596" s="11" t="s">
        <v>73</v>
      </c>
      <c r="E596" s="11" t="s">
        <v>74</v>
      </c>
      <c r="F596" s="11" t="s">
        <v>75</v>
      </c>
      <c r="G596" s="11" t="n">
        <v>3</v>
      </c>
      <c r="H596" s="11" t="n">
        <v>20</v>
      </c>
      <c r="I596" s="11" t="n">
        <v>8</v>
      </c>
      <c r="J596" s="11" t="s">
        <v>40</v>
      </c>
      <c r="K596" s="11" t="n">
        <f aca="false">IF($J596="Y","",IF($F596="BW",$I596,$H596*$I596))</f>
        <v>160</v>
      </c>
      <c r="L596" s="11" t="str">
        <f aca="false">$D596&amp;"|"&amp;$H596</f>
        <v>Single Arm Lat Pulldown|20</v>
      </c>
      <c r="M596" s="11"/>
    </row>
    <row r="597" customFormat="false" ht="15" hidden="false" customHeight="false" outlineLevel="0" collapsed="false">
      <c r="A597" s="10" t="n">
        <v>46222</v>
      </c>
      <c r="B597" s="11" t="s">
        <v>83</v>
      </c>
      <c r="C597" s="11" t="s">
        <v>157</v>
      </c>
      <c r="D597" s="11" t="s">
        <v>73</v>
      </c>
      <c r="E597" s="11" t="s">
        <v>74</v>
      </c>
      <c r="F597" s="11" t="s">
        <v>75</v>
      </c>
      <c r="G597" s="11" t="n">
        <v>4</v>
      </c>
      <c r="H597" s="11" t="n">
        <v>20</v>
      </c>
      <c r="I597" s="11" t="n">
        <v>8</v>
      </c>
      <c r="J597" s="11" t="s">
        <v>40</v>
      </c>
      <c r="K597" s="11" t="n">
        <f aca="false">IF($J597="Y","",IF($F597="BW",$I597,$H597*$I597))</f>
        <v>160</v>
      </c>
      <c r="L597" s="11" t="str">
        <f aca="false">$D597&amp;"|"&amp;$H597</f>
        <v>Single Arm Lat Pulldown|20</v>
      </c>
      <c r="M597" s="11"/>
    </row>
    <row r="598" customFormat="false" ht="15" hidden="false" customHeight="false" outlineLevel="0" collapsed="false">
      <c r="A598" s="12" t="n">
        <v>46222</v>
      </c>
      <c r="B598" s="13" t="s">
        <v>83</v>
      </c>
      <c r="C598" s="13" t="s">
        <v>157</v>
      </c>
      <c r="D598" s="13" t="s">
        <v>88</v>
      </c>
      <c r="E598" s="13" t="s">
        <v>38</v>
      </c>
      <c r="F598" s="13" t="s">
        <v>39</v>
      </c>
      <c r="G598" s="13" t="n">
        <v>1</v>
      </c>
      <c r="H598" s="13" t="n">
        <v>20</v>
      </c>
      <c r="I598" s="13" t="n">
        <v>8</v>
      </c>
      <c r="J598" s="13" t="s">
        <v>84</v>
      </c>
      <c r="K598" s="13" t="str">
        <f aca="false">IF($J598="Y","",IF($F598="BW",$I598,$H598*$I598))</f>
        <v/>
      </c>
      <c r="L598" s="13" t="str">
        <f aca="false">$D598&amp;"|"&amp;$H598</f>
        <v>Smith Rows|20</v>
      </c>
      <c r="M598" s="13"/>
    </row>
    <row r="599" customFormat="false" ht="15" hidden="false" customHeight="false" outlineLevel="0" collapsed="false">
      <c r="A599" s="10" t="n">
        <v>46222</v>
      </c>
      <c r="B599" s="11" t="s">
        <v>83</v>
      </c>
      <c r="C599" s="11" t="s">
        <v>157</v>
      </c>
      <c r="D599" s="11" t="s">
        <v>88</v>
      </c>
      <c r="E599" s="11" t="s">
        <v>38</v>
      </c>
      <c r="F599" s="11" t="s">
        <v>39</v>
      </c>
      <c r="G599" s="11" t="n">
        <v>2</v>
      </c>
      <c r="H599" s="11" t="n">
        <v>50</v>
      </c>
      <c r="I599" s="11" t="n">
        <v>8</v>
      </c>
      <c r="J599" s="11" t="s">
        <v>40</v>
      </c>
      <c r="K599" s="11" t="n">
        <f aca="false">IF($J599="Y","",IF($F599="BW",$I599,$H599*$I599))</f>
        <v>400</v>
      </c>
      <c r="L599" s="11" t="str">
        <f aca="false">$D599&amp;"|"&amp;$H599</f>
        <v>Smith Rows|50</v>
      </c>
      <c r="M599" s="11"/>
    </row>
    <row r="600" customFormat="false" ht="15" hidden="false" customHeight="false" outlineLevel="0" collapsed="false">
      <c r="A600" s="10" t="n">
        <v>46222</v>
      </c>
      <c r="B600" s="11" t="s">
        <v>83</v>
      </c>
      <c r="C600" s="11" t="s">
        <v>157</v>
      </c>
      <c r="D600" s="11" t="s">
        <v>88</v>
      </c>
      <c r="E600" s="11" t="s">
        <v>38</v>
      </c>
      <c r="F600" s="11" t="s">
        <v>39</v>
      </c>
      <c r="G600" s="11" t="n">
        <v>3</v>
      </c>
      <c r="H600" s="11" t="n">
        <v>60</v>
      </c>
      <c r="I600" s="11" t="n">
        <v>8</v>
      </c>
      <c r="J600" s="11" t="s">
        <v>40</v>
      </c>
      <c r="K600" s="11" t="n">
        <f aca="false">IF($J600="Y","",IF($F600="BW",$I600,$H600*$I600))</f>
        <v>480</v>
      </c>
      <c r="L600" s="11" t="str">
        <f aca="false">$D600&amp;"|"&amp;$H600</f>
        <v>Smith Rows|60</v>
      </c>
      <c r="M600" s="11"/>
    </row>
    <row r="601" customFormat="false" ht="15" hidden="false" customHeight="false" outlineLevel="0" collapsed="false">
      <c r="A601" s="10" t="n">
        <v>46222</v>
      </c>
      <c r="B601" s="11" t="s">
        <v>83</v>
      </c>
      <c r="C601" s="11" t="s">
        <v>157</v>
      </c>
      <c r="D601" s="11" t="s">
        <v>88</v>
      </c>
      <c r="E601" s="11" t="s">
        <v>38</v>
      </c>
      <c r="F601" s="11" t="s">
        <v>39</v>
      </c>
      <c r="G601" s="11" t="n">
        <v>4</v>
      </c>
      <c r="H601" s="11" t="n">
        <v>65</v>
      </c>
      <c r="I601" s="11" t="n">
        <v>8</v>
      </c>
      <c r="J601" s="11" t="s">
        <v>40</v>
      </c>
      <c r="K601" s="11" t="n">
        <f aca="false">IF($J601="Y","",IF($F601="BW",$I601,$H601*$I601))</f>
        <v>520</v>
      </c>
      <c r="L601" s="11" t="str">
        <f aca="false">$D601&amp;"|"&amp;$H601</f>
        <v>Smith Rows|65</v>
      </c>
      <c r="M601" s="11"/>
    </row>
    <row r="602" customFormat="false" ht="15" hidden="false" customHeight="false" outlineLevel="0" collapsed="false">
      <c r="A602" s="12" t="n">
        <v>46222</v>
      </c>
      <c r="B602" s="13" t="s">
        <v>83</v>
      </c>
      <c r="C602" s="13" t="s">
        <v>157</v>
      </c>
      <c r="D602" s="13" t="s">
        <v>91</v>
      </c>
      <c r="E602" s="13" t="s">
        <v>72</v>
      </c>
      <c r="F602" s="13" t="s">
        <v>39</v>
      </c>
      <c r="G602" s="13" t="n">
        <v>1</v>
      </c>
      <c r="H602" s="13" t="n">
        <v>25</v>
      </c>
      <c r="I602" s="13" t="n">
        <v>8</v>
      </c>
      <c r="J602" s="13" t="s">
        <v>84</v>
      </c>
      <c r="K602" s="13" t="str">
        <f aca="false">IF($J602="Y","",IF($F602="BW",$I602,$H602*$I602))</f>
        <v/>
      </c>
      <c r="L602" s="13" t="str">
        <f aca="false">$D602&amp;"|"&amp;$H602</f>
        <v>Shrugs|25</v>
      </c>
      <c r="M602" s="13" t="s">
        <v>158</v>
      </c>
    </row>
    <row r="603" customFormat="false" ht="15" hidden="false" customHeight="false" outlineLevel="0" collapsed="false">
      <c r="A603" s="10" t="n">
        <v>46222</v>
      </c>
      <c r="B603" s="11" t="s">
        <v>83</v>
      </c>
      <c r="C603" s="11" t="s">
        <v>157</v>
      </c>
      <c r="D603" s="11" t="s">
        <v>91</v>
      </c>
      <c r="E603" s="11" t="s">
        <v>72</v>
      </c>
      <c r="F603" s="11" t="s">
        <v>39</v>
      </c>
      <c r="G603" s="11" t="n">
        <v>2</v>
      </c>
      <c r="H603" s="11" t="n">
        <v>50</v>
      </c>
      <c r="I603" s="11" t="n">
        <v>8</v>
      </c>
      <c r="J603" s="11" t="s">
        <v>40</v>
      </c>
      <c r="K603" s="11" t="n">
        <f aca="false">IF($J603="Y","",IF($F603="BW",$I603,$H603*$I603))</f>
        <v>400</v>
      </c>
      <c r="L603" s="11" t="str">
        <f aca="false">$D603&amp;"|"&amp;$H603</f>
        <v>Shrugs|50</v>
      </c>
      <c r="M603" s="11" t="s">
        <v>158</v>
      </c>
    </row>
    <row r="604" customFormat="false" ht="15" hidden="false" customHeight="false" outlineLevel="0" collapsed="false">
      <c r="A604" s="10" t="n">
        <v>46222</v>
      </c>
      <c r="B604" s="11" t="s">
        <v>83</v>
      </c>
      <c r="C604" s="11" t="s">
        <v>157</v>
      </c>
      <c r="D604" s="11" t="s">
        <v>91</v>
      </c>
      <c r="E604" s="11" t="s">
        <v>72</v>
      </c>
      <c r="F604" s="11" t="s">
        <v>39</v>
      </c>
      <c r="G604" s="11" t="n">
        <v>3</v>
      </c>
      <c r="H604" s="11" t="n">
        <v>50</v>
      </c>
      <c r="I604" s="11" t="n">
        <v>8</v>
      </c>
      <c r="J604" s="11" t="s">
        <v>40</v>
      </c>
      <c r="K604" s="11" t="n">
        <f aca="false">IF($J604="Y","",IF($F604="BW",$I604,$H604*$I604))</f>
        <v>400</v>
      </c>
      <c r="L604" s="11" t="str">
        <f aca="false">$D604&amp;"|"&amp;$H604</f>
        <v>Shrugs|50</v>
      </c>
      <c r="M604" s="11" t="s">
        <v>158</v>
      </c>
    </row>
    <row r="605" customFormat="false" ht="15" hidden="false" customHeight="false" outlineLevel="0" collapsed="false">
      <c r="A605" s="10" t="n">
        <v>46222</v>
      </c>
      <c r="B605" s="11" t="s">
        <v>83</v>
      </c>
      <c r="C605" s="11" t="s">
        <v>157</v>
      </c>
      <c r="D605" s="11" t="s">
        <v>91</v>
      </c>
      <c r="E605" s="11" t="s">
        <v>72</v>
      </c>
      <c r="F605" s="11" t="s">
        <v>39</v>
      </c>
      <c r="G605" s="11" t="n">
        <v>4</v>
      </c>
      <c r="H605" s="11" t="n">
        <v>50</v>
      </c>
      <c r="I605" s="11" t="n">
        <v>8</v>
      </c>
      <c r="J605" s="11" t="s">
        <v>40</v>
      </c>
      <c r="K605" s="11" t="n">
        <f aca="false">IF($J605="Y","",IF($F605="BW",$I605,$H605*$I605))</f>
        <v>400</v>
      </c>
      <c r="L605" s="11" t="str">
        <f aca="false">$D605&amp;"|"&amp;$H605</f>
        <v>Shrugs|50</v>
      </c>
      <c r="M605" s="11" t="s">
        <v>158</v>
      </c>
    </row>
    <row r="606" customFormat="false" ht="15" hidden="false" customHeight="false" outlineLevel="0" collapsed="false">
      <c r="A606" s="12" t="n">
        <v>46224</v>
      </c>
      <c r="B606" s="13" t="s">
        <v>69</v>
      </c>
      <c r="C606" s="13" t="s">
        <v>36</v>
      </c>
      <c r="D606" s="13" t="s">
        <v>110</v>
      </c>
      <c r="E606" s="13" t="s">
        <v>38</v>
      </c>
      <c r="F606" s="13" t="s">
        <v>39</v>
      </c>
      <c r="G606" s="13" t="n">
        <v>1</v>
      </c>
      <c r="H606" s="13" t="n">
        <v>35</v>
      </c>
      <c r="I606" s="13" t="n">
        <v>8</v>
      </c>
      <c r="J606" s="13" t="s">
        <v>84</v>
      </c>
      <c r="K606" s="13" t="str">
        <f aca="false">IF($J606="Y","",IF($F606="BW",$I606,$H606*$I606))</f>
        <v/>
      </c>
      <c r="L606" s="13" t="str">
        <f aca="false">$D606&amp;"|"&amp;$H606</f>
        <v>Bench Press (Smith)|35</v>
      </c>
      <c r="M606" s="13" t="s">
        <v>159</v>
      </c>
    </row>
    <row r="607" customFormat="false" ht="15" hidden="false" customHeight="false" outlineLevel="0" collapsed="false">
      <c r="A607" s="10" t="n">
        <v>46224</v>
      </c>
      <c r="B607" s="11" t="s">
        <v>69</v>
      </c>
      <c r="C607" s="11" t="s">
        <v>36</v>
      </c>
      <c r="D607" s="11" t="s">
        <v>110</v>
      </c>
      <c r="E607" s="11" t="s">
        <v>38</v>
      </c>
      <c r="F607" s="11" t="s">
        <v>39</v>
      </c>
      <c r="G607" s="11" t="n">
        <v>2</v>
      </c>
      <c r="H607" s="11" t="n">
        <v>70</v>
      </c>
      <c r="I607" s="11" t="n">
        <v>8</v>
      </c>
      <c r="J607" s="11" t="s">
        <v>40</v>
      </c>
      <c r="K607" s="11" t="n">
        <f aca="false">IF($J607="Y","",IF($F607="BW",$I607,$H607*$I607))</f>
        <v>560</v>
      </c>
      <c r="L607" s="11" t="str">
        <f aca="false">$D607&amp;"|"&amp;$H607</f>
        <v>Bench Press (Smith)|70</v>
      </c>
      <c r="M607" s="11" t="s">
        <v>159</v>
      </c>
    </row>
    <row r="608" customFormat="false" ht="15" hidden="false" customHeight="false" outlineLevel="0" collapsed="false">
      <c r="A608" s="10" t="n">
        <v>46224</v>
      </c>
      <c r="B608" s="11" t="s">
        <v>69</v>
      </c>
      <c r="C608" s="11" t="s">
        <v>36</v>
      </c>
      <c r="D608" s="11" t="s">
        <v>110</v>
      </c>
      <c r="E608" s="11" t="s">
        <v>38</v>
      </c>
      <c r="F608" s="11" t="s">
        <v>39</v>
      </c>
      <c r="G608" s="11" t="n">
        <v>3</v>
      </c>
      <c r="H608" s="11" t="n">
        <v>100</v>
      </c>
      <c r="I608" s="11" t="n">
        <v>8</v>
      </c>
      <c r="J608" s="11" t="s">
        <v>40</v>
      </c>
      <c r="K608" s="11" t="n">
        <f aca="false">IF($J608="Y","",IF($F608="BW",$I608,$H608*$I608))</f>
        <v>800</v>
      </c>
      <c r="L608" s="11" t="str">
        <f aca="false">$D608&amp;"|"&amp;$H608</f>
        <v>Bench Press (Smith)|100</v>
      </c>
      <c r="M608" s="11" t="s">
        <v>159</v>
      </c>
    </row>
    <row r="609" customFormat="false" ht="15" hidden="false" customHeight="false" outlineLevel="0" collapsed="false">
      <c r="A609" s="10" t="n">
        <v>46224</v>
      </c>
      <c r="B609" s="11" t="s">
        <v>69</v>
      </c>
      <c r="C609" s="11" t="s">
        <v>36</v>
      </c>
      <c r="D609" s="11" t="s">
        <v>110</v>
      </c>
      <c r="E609" s="11" t="s">
        <v>38</v>
      </c>
      <c r="F609" s="11" t="s">
        <v>39</v>
      </c>
      <c r="G609" s="11" t="n">
        <v>4</v>
      </c>
      <c r="H609" s="11" t="n">
        <v>110</v>
      </c>
      <c r="I609" s="11" t="n">
        <v>8</v>
      </c>
      <c r="J609" s="11" t="s">
        <v>40</v>
      </c>
      <c r="K609" s="11" t="n">
        <f aca="false">IF($J609="Y","",IF($F609="BW",$I609,$H609*$I609))</f>
        <v>880</v>
      </c>
      <c r="L609" s="11" t="str">
        <f aca="false">$D609&amp;"|"&amp;$H609</f>
        <v>Bench Press (Smith)|110</v>
      </c>
      <c r="M609" s="11" t="s">
        <v>159</v>
      </c>
    </row>
    <row r="610" customFormat="false" ht="15" hidden="false" customHeight="false" outlineLevel="0" collapsed="false">
      <c r="A610" s="12" t="n">
        <v>46224</v>
      </c>
      <c r="B610" s="13" t="s">
        <v>69</v>
      </c>
      <c r="C610" s="13" t="s">
        <v>36</v>
      </c>
      <c r="D610" s="13" t="s">
        <v>76</v>
      </c>
      <c r="E610" s="13" t="s">
        <v>72</v>
      </c>
      <c r="F610" s="13" t="s">
        <v>39</v>
      </c>
      <c r="G610" s="13" t="n">
        <v>1</v>
      </c>
      <c r="H610" s="13" t="n">
        <v>15</v>
      </c>
      <c r="I610" s="13" t="n">
        <v>8</v>
      </c>
      <c r="J610" s="13" t="s">
        <v>84</v>
      </c>
      <c r="K610" s="13" t="str">
        <f aca="false">IF($J610="Y","",IF($F610="BW",$I610,$H610*$I610))</f>
        <v/>
      </c>
      <c r="L610" s="13" t="str">
        <f aca="false">$D610&amp;"|"&amp;$H610</f>
        <v>Shoulder Press|15</v>
      </c>
      <c r="M610" s="13"/>
    </row>
    <row r="611" customFormat="false" ht="15" hidden="false" customHeight="false" outlineLevel="0" collapsed="false">
      <c r="A611" s="10" t="n">
        <v>46224</v>
      </c>
      <c r="B611" s="11" t="s">
        <v>69</v>
      </c>
      <c r="C611" s="11" t="s">
        <v>36</v>
      </c>
      <c r="D611" s="11" t="s">
        <v>76</v>
      </c>
      <c r="E611" s="11" t="s">
        <v>72</v>
      </c>
      <c r="F611" s="11" t="s">
        <v>39</v>
      </c>
      <c r="G611" s="11" t="n">
        <v>2</v>
      </c>
      <c r="H611" s="11" t="n">
        <v>30</v>
      </c>
      <c r="I611" s="11" t="n">
        <v>8</v>
      </c>
      <c r="J611" s="11" t="s">
        <v>40</v>
      </c>
      <c r="K611" s="11" t="n">
        <f aca="false">IF($J611="Y","",IF($F611="BW",$I611,$H611*$I611))</f>
        <v>240</v>
      </c>
      <c r="L611" s="11" t="str">
        <f aca="false">$D611&amp;"|"&amp;$H611</f>
        <v>Shoulder Press|30</v>
      </c>
      <c r="M611" s="11"/>
    </row>
    <row r="612" customFormat="false" ht="15" hidden="false" customHeight="false" outlineLevel="0" collapsed="false">
      <c r="A612" s="10" t="n">
        <v>46224</v>
      </c>
      <c r="B612" s="11" t="s">
        <v>69</v>
      </c>
      <c r="C612" s="11" t="s">
        <v>36</v>
      </c>
      <c r="D612" s="11" t="s">
        <v>76</v>
      </c>
      <c r="E612" s="11" t="s">
        <v>72</v>
      </c>
      <c r="F612" s="11" t="s">
        <v>39</v>
      </c>
      <c r="G612" s="11" t="n">
        <v>3</v>
      </c>
      <c r="H612" s="11" t="n">
        <v>35</v>
      </c>
      <c r="I612" s="11" t="n">
        <v>8</v>
      </c>
      <c r="J612" s="11" t="s">
        <v>40</v>
      </c>
      <c r="K612" s="11" t="n">
        <f aca="false">IF($J612="Y","",IF($F612="BW",$I612,$H612*$I612))</f>
        <v>280</v>
      </c>
      <c r="L612" s="11" t="str">
        <f aca="false">$D612&amp;"|"&amp;$H612</f>
        <v>Shoulder Press|35</v>
      </c>
      <c r="M612" s="11"/>
    </row>
    <row r="613" customFormat="false" ht="15" hidden="false" customHeight="false" outlineLevel="0" collapsed="false">
      <c r="A613" s="10" t="n">
        <v>46224</v>
      </c>
      <c r="B613" s="11" t="s">
        <v>69</v>
      </c>
      <c r="C613" s="11" t="s">
        <v>36</v>
      </c>
      <c r="D613" s="11" t="s">
        <v>76</v>
      </c>
      <c r="E613" s="11" t="s">
        <v>72</v>
      </c>
      <c r="F613" s="11" t="s">
        <v>39</v>
      </c>
      <c r="G613" s="11" t="n">
        <v>4</v>
      </c>
      <c r="H613" s="11" t="n">
        <v>35</v>
      </c>
      <c r="I613" s="11" t="n">
        <v>8</v>
      </c>
      <c r="J613" s="11" t="s">
        <v>40</v>
      </c>
      <c r="K613" s="11" t="n">
        <f aca="false">IF($J613="Y","",IF($F613="BW",$I613,$H613*$I613))</f>
        <v>280</v>
      </c>
      <c r="L613" s="11" t="str">
        <f aca="false">$D613&amp;"|"&amp;$H613</f>
        <v>Shoulder Press|35</v>
      </c>
      <c r="M613" s="11"/>
    </row>
    <row r="614" customFormat="false" ht="15" hidden="false" customHeight="false" outlineLevel="0" collapsed="false">
      <c r="A614" s="12" t="n">
        <v>46224</v>
      </c>
      <c r="B614" s="13" t="s">
        <v>69</v>
      </c>
      <c r="C614" s="13" t="s">
        <v>36</v>
      </c>
      <c r="D614" s="13" t="s">
        <v>134</v>
      </c>
      <c r="E614" s="13" t="s">
        <v>74</v>
      </c>
      <c r="F614" s="13" t="s">
        <v>75</v>
      </c>
      <c r="G614" s="13" t="n">
        <v>1</v>
      </c>
      <c r="H614" s="13" t="n">
        <v>12.5</v>
      </c>
      <c r="I614" s="13" t="n">
        <v>8</v>
      </c>
      <c r="J614" s="13" t="s">
        <v>84</v>
      </c>
      <c r="K614" s="13" t="str">
        <f aca="false">IF($J614="Y","",IF($F614="BW",$I614,$H614*$I614))</f>
        <v/>
      </c>
      <c r="L614" s="13" t="str">
        <f aca="false">$D614&amp;"|"&amp;$H614</f>
        <v>Tricep Pulldown|12.5</v>
      </c>
      <c r="M614" s="13" t="s">
        <v>160</v>
      </c>
    </row>
    <row r="615" customFormat="false" ht="15" hidden="false" customHeight="false" outlineLevel="0" collapsed="false">
      <c r="A615" s="10" t="n">
        <v>46224</v>
      </c>
      <c r="B615" s="11" t="s">
        <v>69</v>
      </c>
      <c r="C615" s="11" t="s">
        <v>36</v>
      </c>
      <c r="D615" s="11" t="s">
        <v>134</v>
      </c>
      <c r="E615" s="11" t="s">
        <v>74</v>
      </c>
      <c r="F615" s="11" t="s">
        <v>75</v>
      </c>
      <c r="G615" s="11" t="n">
        <v>2</v>
      </c>
      <c r="H615" s="11" t="n">
        <v>20</v>
      </c>
      <c r="I615" s="11" t="n">
        <v>8</v>
      </c>
      <c r="J615" s="11" t="s">
        <v>40</v>
      </c>
      <c r="K615" s="11" t="n">
        <f aca="false">IF($J615="Y","",IF($F615="BW",$I615,$H615*$I615))</f>
        <v>160</v>
      </c>
      <c r="L615" s="11" t="str">
        <f aca="false">$D615&amp;"|"&amp;$H615</f>
        <v>Tricep Pulldown|20</v>
      </c>
      <c r="M615" s="11" t="s">
        <v>160</v>
      </c>
    </row>
    <row r="616" customFormat="false" ht="15" hidden="false" customHeight="false" outlineLevel="0" collapsed="false">
      <c r="A616" s="10" t="n">
        <v>46224</v>
      </c>
      <c r="B616" s="11" t="s">
        <v>69</v>
      </c>
      <c r="C616" s="11" t="s">
        <v>36</v>
      </c>
      <c r="D616" s="11" t="s">
        <v>134</v>
      </c>
      <c r="E616" s="11" t="s">
        <v>74</v>
      </c>
      <c r="F616" s="11" t="s">
        <v>75</v>
      </c>
      <c r="G616" s="11" t="n">
        <v>3</v>
      </c>
      <c r="H616" s="11" t="n">
        <v>22.5</v>
      </c>
      <c r="I616" s="11" t="n">
        <v>8</v>
      </c>
      <c r="J616" s="11" t="s">
        <v>40</v>
      </c>
      <c r="K616" s="11" t="n">
        <f aca="false">IF($J616="Y","",IF($F616="BW",$I616,$H616*$I616))</f>
        <v>180</v>
      </c>
      <c r="L616" s="11" t="str">
        <f aca="false">$D616&amp;"|"&amp;$H616</f>
        <v>Tricep Pulldown|22.5</v>
      </c>
      <c r="M616" s="11" t="s">
        <v>160</v>
      </c>
    </row>
    <row r="617" customFormat="false" ht="15" hidden="false" customHeight="false" outlineLevel="0" collapsed="false">
      <c r="A617" s="10" t="n">
        <v>46224</v>
      </c>
      <c r="B617" s="11" t="s">
        <v>69</v>
      </c>
      <c r="C617" s="11" t="s">
        <v>36</v>
      </c>
      <c r="D617" s="11" t="s">
        <v>134</v>
      </c>
      <c r="E617" s="11" t="s">
        <v>74</v>
      </c>
      <c r="F617" s="11" t="s">
        <v>75</v>
      </c>
      <c r="G617" s="11" t="n">
        <v>4</v>
      </c>
      <c r="H617" s="11" t="n">
        <v>22.5</v>
      </c>
      <c r="I617" s="11" t="n">
        <v>8</v>
      </c>
      <c r="J617" s="11" t="s">
        <v>40</v>
      </c>
      <c r="K617" s="11" t="n">
        <f aca="false">IF($J617="Y","",IF($F617="BW",$I617,$H617*$I617))</f>
        <v>180</v>
      </c>
      <c r="L617" s="11" t="str">
        <f aca="false">$D617&amp;"|"&amp;$H617</f>
        <v>Tricep Pulldown|22.5</v>
      </c>
      <c r="M617" s="11" t="s">
        <v>160</v>
      </c>
    </row>
    <row r="618" customFormat="false" ht="15" hidden="false" customHeight="false" outlineLevel="0" collapsed="false">
      <c r="K618" s="4" t="n">
        <f aca="false">IF($J618="Y","",IF($F618="BW",$I618,$H618*$I618))</f>
        <v>0</v>
      </c>
      <c r="L618" s="4" t="str">
        <f aca="false">IF($D618="","",$D618&amp;"|"&amp;$H618)</f>
        <v/>
      </c>
    </row>
    <row r="619" customFormat="false" ht="15" hidden="false" customHeight="false" outlineLevel="0" collapsed="false">
      <c r="K619" s="4" t="n">
        <f aca="false">IF($J619="Y","",IF($F619="BW",$I619,$H619*$I619))</f>
        <v>0</v>
      </c>
      <c r="L619" s="4" t="str">
        <f aca="false">IF($D619="","",$D619&amp;"|"&amp;$H619)</f>
        <v/>
      </c>
    </row>
    <row r="620" customFormat="false" ht="15" hidden="false" customHeight="false" outlineLevel="0" collapsed="false">
      <c r="K620" s="4" t="n">
        <f aca="false">IF($J620="Y","",IF($F620="BW",$I620,$H620*$I620))</f>
        <v>0</v>
      </c>
      <c r="L620" s="4" t="str">
        <f aca="false">IF($D620="","",$D620&amp;"|"&amp;$H620)</f>
        <v/>
      </c>
    </row>
    <row r="621" customFormat="false" ht="15" hidden="false" customHeight="false" outlineLevel="0" collapsed="false">
      <c r="K621" s="4" t="n">
        <f aca="false">IF($J621="Y","",IF($F621="BW",$I621,$H621*$I621))</f>
        <v>0</v>
      </c>
      <c r="L621" s="4" t="str">
        <f aca="false">IF($D621="","",$D621&amp;"|"&amp;$H621)</f>
        <v/>
      </c>
    </row>
    <row r="622" customFormat="false" ht="15" hidden="false" customHeight="false" outlineLevel="0" collapsed="false">
      <c r="K622" s="4" t="n">
        <f aca="false">IF($J622="Y","",IF($F622="BW",$I622,$H622*$I622))</f>
        <v>0</v>
      </c>
      <c r="L622" s="4" t="str">
        <f aca="false">IF($D622="","",$D622&amp;"|"&amp;$H622)</f>
        <v/>
      </c>
    </row>
    <row r="623" customFormat="false" ht="15" hidden="false" customHeight="false" outlineLevel="0" collapsed="false">
      <c r="K623" s="4" t="n">
        <f aca="false">IF($J623="Y","",IF($F623="BW",$I623,$H623*$I623))</f>
        <v>0</v>
      </c>
      <c r="L623" s="4" t="str">
        <f aca="false">IF($D623="","",$D623&amp;"|"&amp;$H623)</f>
        <v/>
      </c>
    </row>
    <row r="624" customFormat="false" ht="15" hidden="false" customHeight="false" outlineLevel="0" collapsed="false">
      <c r="K624" s="4" t="n">
        <f aca="false">IF($J624="Y","",IF($F624="BW",$I624,$H624*$I624))</f>
        <v>0</v>
      </c>
      <c r="L624" s="4" t="str">
        <f aca="false">IF($D624="","",$D624&amp;"|"&amp;$H624)</f>
        <v/>
      </c>
    </row>
    <row r="625" customFormat="false" ht="15" hidden="false" customHeight="false" outlineLevel="0" collapsed="false">
      <c r="K625" s="4" t="n">
        <f aca="false">IF($J625="Y","",IF($F625="BW",$I625,$H625*$I625))</f>
        <v>0</v>
      </c>
      <c r="L625" s="4" t="str">
        <f aca="false">IF($D625="","",$D625&amp;"|"&amp;$H625)</f>
        <v/>
      </c>
    </row>
    <row r="626" customFormat="false" ht="15" hidden="false" customHeight="false" outlineLevel="0" collapsed="false">
      <c r="K626" s="4" t="n">
        <f aca="false">IF($J626="Y","",IF($F626="BW",$I626,$H626*$I626))</f>
        <v>0</v>
      </c>
      <c r="L626" s="4" t="str">
        <f aca="false">IF($D626="","",$D626&amp;"|"&amp;$H626)</f>
        <v/>
      </c>
    </row>
    <row r="627" customFormat="false" ht="15" hidden="false" customHeight="false" outlineLevel="0" collapsed="false">
      <c r="K627" s="4" t="n">
        <f aca="false">IF($J627="Y","",IF($F627="BW",$I627,$H627*$I627))</f>
        <v>0</v>
      </c>
      <c r="L627" s="4" t="str">
        <f aca="false">IF($D627="","",$D627&amp;"|"&amp;$H627)</f>
        <v/>
      </c>
    </row>
    <row r="628" customFormat="false" ht="15" hidden="false" customHeight="false" outlineLevel="0" collapsed="false">
      <c r="K628" s="4" t="n">
        <f aca="false">IF($J628="Y","",IF($F628="BW",$I628,$H628*$I628))</f>
        <v>0</v>
      </c>
      <c r="L628" s="4" t="str">
        <f aca="false">IF($D628="","",$D628&amp;"|"&amp;$H628)</f>
        <v/>
      </c>
    </row>
    <row r="629" customFormat="false" ht="15" hidden="false" customHeight="false" outlineLevel="0" collapsed="false">
      <c r="K629" s="4" t="n">
        <f aca="false">IF($J629="Y","",IF($F629="BW",$I629,$H629*$I629))</f>
        <v>0</v>
      </c>
      <c r="L629" s="4" t="str">
        <f aca="false">IF($D629="","",$D629&amp;"|"&amp;$H629)</f>
        <v/>
      </c>
    </row>
    <row r="630" customFormat="false" ht="15" hidden="false" customHeight="false" outlineLevel="0" collapsed="false">
      <c r="K630" s="4" t="n">
        <f aca="false">IF($J630="Y","",IF($F630="BW",$I630,$H630*$I630))</f>
        <v>0</v>
      </c>
      <c r="L630" s="4" t="str">
        <f aca="false">IF($D630="","",$D630&amp;"|"&amp;$H630)</f>
        <v/>
      </c>
    </row>
    <row r="631" customFormat="false" ht="15" hidden="false" customHeight="false" outlineLevel="0" collapsed="false">
      <c r="K631" s="4" t="n">
        <f aca="false">IF($J631="Y","",IF($F631="BW",$I631,$H631*$I631))</f>
        <v>0</v>
      </c>
      <c r="L631" s="4" t="str">
        <f aca="false">IF($D631="","",$D631&amp;"|"&amp;$H631)</f>
        <v/>
      </c>
    </row>
    <row r="632" customFormat="false" ht="15" hidden="false" customHeight="false" outlineLevel="0" collapsed="false">
      <c r="K632" s="4" t="n">
        <f aca="false">IF($J632="Y","",IF($F632="BW",$I632,$H632*$I632))</f>
        <v>0</v>
      </c>
      <c r="L632" s="4" t="str">
        <f aca="false">IF($D632="","",$D632&amp;"|"&amp;$H632)</f>
        <v/>
      </c>
    </row>
    <row r="633" customFormat="false" ht="15" hidden="false" customHeight="false" outlineLevel="0" collapsed="false">
      <c r="K633" s="4" t="n">
        <f aca="false">IF($J633="Y","",IF($F633="BW",$I633,$H633*$I633))</f>
        <v>0</v>
      </c>
      <c r="L633" s="4" t="str">
        <f aca="false">IF($D633="","",$D633&amp;"|"&amp;$H633)</f>
        <v/>
      </c>
    </row>
    <row r="634" customFormat="false" ht="15" hidden="false" customHeight="false" outlineLevel="0" collapsed="false">
      <c r="K634" s="4" t="n">
        <f aca="false">IF($J634="Y","",IF($F634="BW",$I634,$H634*$I634))</f>
        <v>0</v>
      </c>
      <c r="L634" s="4" t="str">
        <f aca="false">IF($D634="","",$D634&amp;"|"&amp;$H634)</f>
        <v/>
      </c>
    </row>
    <row r="635" customFormat="false" ht="15" hidden="false" customHeight="false" outlineLevel="0" collapsed="false">
      <c r="K635" s="4" t="n">
        <f aca="false">IF($J635="Y","",IF($F635="BW",$I635,$H635*$I635))</f>
        <v>0</v>
      </c>
      <c r="L635" s="4" t="str">
        <f aca="false">IF($D635="","",$D635&amp;"|"&amp;$H635)</f>
        <v/>
      </c>
    </row>
    <row r="636" customFormat="false" ht="15" hidden="false" customHeight="false" outlineLevel="0" collapsed="false">
      <c r="K636" s="4" t="n">
        <f aca="false">IF($J636="Y","",IF($F636="BW",$I636,$H636*$I636))</f>
        <v>0</v>
      </c>
      <c r="L636" s="4" t="str">
        <f aca="false">IF($D636="","",$D636&amp;"|"&amp;$H636)</f>
        <v/>
      </c>
    </row>
    <row r="637" customFormat="false" ht="15" hidden="false" customHeight="false" outlineLevel="0" collapsed="false">
      <c r="K637" s="4" t="n">
        <f aca="false">IF($J637="Y","",IF($F637="BW",$I637,$H637*$I637))</f>
        <v>0</v>
      </c>
      <c r="L637" s="4" t="str">
        <f aca="false">IF($D637="","",$D637&amp;"|"&amp;$H637)</f>
        <v/>
      </c>
    </row>
    <row r="638" customFormat="false" ht="15" hidden="false" customHeight="false" outlineLevel="0" collapsed="false">
      <c r="K638" s="4" t="n">
        <f aca="false">IF($J638="Y","",IF($F638="BW",$I638,$H638*$I638))</f>
        <v>0</v>
      </c>
      <c r="L638" s="4" t="str">
        <f aca="false">IF($D638="","",$D638&amp;"|"&amp;$H638)</f>
        <v/>
      </c>
    </row>
    <row r="639" customFormat="false" ht="15" hidden="false" customHeight="false" outlineLevel="0" collapsed="false">
      <c r="K639" s="4" t="n">
        <f aca="false">IF($J639="Y","",IF($F639="BW",$I639,$H639*$I639))</f>
        <v>0</v>
      </c>
      <c r="L639" s="4" t="str">
        <f aca="false">IF($D639="","",$D639&amp;"|"&amp;$H639)</f>
        <v/>
      </c>
    </row>
    <row r="640" customFormat="false" ht="15" hidden="false" customHeight="false" outlineLevel="0" collapsed="false">
      <c r="K640" s="4" t="n">
        <f aca="false">IF($J640="Y","",IF($F640="BW",$I640,$H640*$I640))</f>
        <v>0</v>
      </c>
      <c r="L640" s="4" t="str">
        <f aca="false">IF($D640="","",$D640&amp;"|"&amp;$H640)</f>
        <v/>
      </c>
    </row>
    <row r="641" customFormat="false" ht="15" hidden="false" customHeight="false" outlineLevel="0" collapsed="false">
      <c r="K641" s="4" t="n">
        <f aca="false">IF($J641="Y","",IF($F641="BW",$I641,$H641*$I641))</f>
        <v>0</v>
      </c>
      <c r="L641" s="4" t="str">
        <f aca="false">IF($D641="","",$D641&amp;"|"&amp;$H641)</f>
        <v/>
      </c>
    </row>
    <row r="642" customFormat="false" ht="15" hidden="false" customHeight="false" outlineLevel="0" collapsed="false">
      <c r="K642" s="4" t="n">
        <f aca="false">IF($J642="Y","",IF($F642="BW",$I642,$H642*$I642))</f>
        <v>0</v>
      </c>
      <c r="L642" s="4" t="str">
        <f aca="false">IF($D642="","",$D642&amp;"|"&amp;$H642)</f>
        <v/>
      </c>
    </row>
    <row r="643" customFormat="false" ht="15" hidden="false" customHeight="false" outlineLevel="0" collapsed="false">
      <c r="K643" s="4" t="n">
        <f aca="false">IF($J643="Y","",IF($F643="BW",$I643,$H643*$I643))</f>
        <v>0</v>
      </c>
      <c r="L643" s="4" t="str">
        <f aca="false">IF($D643="","",$D643&amp;"|"&amp;$H643)</f>
        <v/>
      </c>
    </row>
    <row r="644" customFormat="false" ht="15" hidden="false" customHeight="false" outlineLevel="0" collapsed="false">
      <c r="K644" s="4" t="n">
        <f aca="false">IF($J644="Y","",IF($F644="BW",$I644,$H644*$I644))</f>
        <v>0</v>
      </c>
      <c r="L644" s="4" t="str">
        <f aca="false">IF($D644="","",$D644&amp;"|"&amp;$H644)</f>
        <v/>
      </c>
    </row>
    <row r="645" customFormat="false" ht="15" hidden="false" customHeight="false" outlineLevel="0" collapsed="false">
      <c r="K645" s="4" t="n">
        <f aca="false">IF($J645="Y","",IF($F645="BW",$I645,$H645*$I645))</f>
        <v>0</v>
      </c>
      <c r="L645" s="4" t="str">
        <f aca="false">IF($D645="","",$D645&amp;"|"&amp;$H645)</f>
        <v/>
      </c>
    </row>
    <row r="646" customFormat="false" ht="15" hidden="false" customHeight="false" outlineLevel="0" collapsed="false">
      <c r="K646" s="4" t="n">
        <f aca="false">IF($J646="Y","",IF($F646="BW",$I646,$H646*$I646))</f>
        <v>0</v>
      </c>
      <c r="L646" s="4" t="str">
        <f aca="false">IF($D646="","",$D646&amp;"|"&amp;$H646)</f>
        <v/>
      </c>
    </row>
    <row r="647" customFormat="false" ht="15" hidden="false" customHeight="false" outlineLevel="0" collapsed="false">
      <c r="K647" s="4" t="n">
        <f aca="false">IF($J647="Y","",IF($F647="BW",$I647,$H647*$I647))</f>
        <v>0</v>
      </c>
      <c r="L647" s="4" t="str">
        <f aca="false">IF($D647="","",$D647&amp;"|"&amp;$H647)</f>
        <v/>
      </c>
    </row>
    <row r="648" customFormat="false" ht="15" hidden="false" customHeight="false" outlineLevel="0" collapsed="false">
      <c r="K648" s="4" t="n">
        <f aca="false">IF($J648="Y","",IF($F648="BW",$I648,$H648*$I648))</f>
        <v>0</v>
      </c>
      <c r="L648" s="4" t="str">
        <f aca="false">IF($D648="","",$D648&amp;"|"&amp;$H648)</f>
        <v/>
      </c>
    </row>
    <row r="649" customFormat="false" ht="15" hidden="false" customHeight="false" outlineLevel="0" collapsed="false">
      <c r="K649" s="4" t="n">
        <f aca="false">IF($J649="Y","",IF($F649="BW",$I649,$H649*$I649))</f>
        <v>0</v>
      </c>
      <c r="L649" s="4" t="str">
        <f aca="false">IF($D649="","",$D649&amp;"|"&amp;$H649)</f>
        <v/>
      </c>
    </row>
    <row r="650" customFormat="false" ht="15" hidden="false" customHeight="false" outlineLevel="0" collapsed="false">
      <c r="K650" s="4" t="n">
        <f aca="false">IF($J650="Y","",IF($F650="BW",$I650,$H650*$I650))</f>
        <v>0</v>
      </c>
      <c r="L650" s="4" t="str">
        <f aca="false">IF($D650="","",$D650&amp;"|"&amp;$H650)</f>
        <v/>
      </c>
    </row>
    <row r="651" customFormat="false" ht="15" hidden="false" customHeight="false" outlineLevel="0" collapsed="false">
      <c r="K651" s="4" t="n">
        <f aca="false">IF($J651="Y","",IF($F651="BW",$I651,$H651*$I651))</f>
        <v>0</v>
      </c>
      <c r="L651" s="4" t="str">
        <f aca="false">IF($D651="","",$D651&amp;"|"&amp;$H651)</f>
        <v/>
      </c>
    </row>
    <row r="652" customFormat="false" ht="15" hidden="false" customHeight="false" outlineLevel="0" collapsed="false">
      <c r="K652" s="4" t="n">
        <f aca="false">IF($J652="Y","",IF($F652="BW",$I652,$H652*$I652))</f>
        <v>0</v>
      </c>
      <c r="L652" s="4" t="str">
        <f aca="false">IF($D652="","",$D652&amp;"|"&amp;$H652)</f>
        <v/>
      </c>
    </row>
    <row r="653" customFormat="false" ht="15" hidden="false" customHeight="false" outlineLevel="0" collapsed="false">
      <c r="K653" s="4" t="n">
        <f aca="false">IF($J653="Y","",IF($F653="BW",$I653,$H653*$I653))</f>
        <v>0</v>
      </c>
      <c r="L653" s="4" t="str">
        <f aca="false">IF($D653="","",$D653&amp;"|"&amp;$H653)</f>
        <v/>
      </c>
    </row>
    <row r="654" customFormat="false" ht="15" hidden="false" customHeight="false" outlineLevel="0" collapsed="false">
      <c r="K654" s="4" t="n">
        <f aca="false">IF($J654="Y","",IF($F654="BW",$I654,$H654*$I654))</f>
        <v>0</v>
      </c>
      <c r="L654" s="4" t="str">
        <f aca="false">IF($D654="","",$D654&amp;"|"&amp;$H654)</f>
        <v/>
      </c>
    </row>
    <row r="655" customFormat="false" ht="15" hidden="false" customHeight="false" outlineLevel="0" collapsed="false">
      <c r="K655" s="4" t="n">
        <f aca="false">IF($J655="Y","",IF($F655="BW",$I655,$H655*$I655))</f>
        <v>0</v>
      </c>
      <c r="L655" s="4" t="str">
        <f aca="false">IF($D655="","",$D655&amp;"|"&amp;$H655)</f>
        <v/>
      </c>
    </row>
    <row r="656" customFormat="false" ht="15" hidden="false" customHeight="false" outlineLevel="0" collapsed="false">
      <c r="K656" s="4" t="n">
        <f aca="false">IF($J656="Y","",IF($F656="BW",$I656,$H656*$I656))</f>
        <v>0</v>
      </c>
      <c r="L656" s="4" t="str">
        <f aca="false">IF($D656="","",$D656&amp;"|"&amp;$H656)</f>
        <v/>
      </c>
    </row>
    <row r="657" customFormat="false" ht="15" hidden="false" customHeight="false" outlineLevel="0" collapsed="false">
      <c r="K657" s="4" t="n">
        <f aca="false">IF($J657="Y","",IF($F657="BW",$I657,$H657*$I657))</f>
        <v>0</v>
      </c>
      <c r="L657" s="4" t="str">
        <f aca="false">IF($D657="","",$D657&amp;"|"&amp;$H657)</f>
        <v/>
      </c>
    </row>
    <row r="658" customFormat="false" ht="15" hidden="false" customHeight="false" outlineLevel="0" collapsed="false">
      <c r="K658" s="4" t="n">
        <f aca="false">IF($J658="Y","",IF($F658="BW",$I658,$H658*$I658))</f>
        <v>0</v>
      </c>
      <c r="L658" s="4" t="str">
        <f aca="false">IF($D658="","",$D658&amp;"|"&amp;$H658)</f>
        <v/>
      </c>
    </row>
    <row r="659" customFormat="false" ht="15" hidden="false" customHeight="false" outlineLevel="0" collapsed="false">
      <c r="K659" s="4" t="n">
        <f aca="false">IF($J659="Y","",IF($F659="BW",$I659,$H659*$I659))</f>
        <v>0</v>
      </c>
      <c r="L659" s="4" t="str">
        <f aca="false">IF($D659="","",$D659&amp;"|"&amp;$H659)</f>
        <v/>
      </c>
    </row>
    <row r="660" customFormat="false" ht="15" hidden="false" customHeight="false" outlineLevel="0" collapsed="false">
      <c r="K660" s="4" t="n">
        <f aca="false">IF($J660="Y","",IF($F660="BW",$I660,$H660*$I660))</f>
        <v>0</v>
      </c>
      <c r="L660" s="4" t="str">
        <f aca="false">IF($D660="","",$D660&amp;"|"&amp;$H660)</f>
        <v/>
      </c>
    </row>
    <row r="661" customFormat="false" ht="15" hidden="false" customHeight="false" outlineLevel="0" collapsed="false">
      <c r="K661" s="4" t="n">
        <f aca="false">IF($J661="Y","",IF($F661="BW",$I661,$H661*$I661))</f>
        <v>0</v>
      </c>
      <c r="L661" s="4" t="str">
        <f aca="false">IF($D661="","",$D661&amp;"|"&amp;$H661)</f>
        <v/>
      </c>
    </row>
    <row r="662" customFormat="false" ht="15" hidden="false" customHeight="false" outlineLevel="0" collapsed="false">
      <c r="K662" s="4" t="n">
        <f aca="false">IF($J662="Y","",IF($F662="BW",$I662,$H662*$I662))</f>
        <v>0</v>
      </c>
      <c r="L662" s="4" t="str">
        <f aca="false">IF($D662="","",$D662&amp;"|"&amp;$H662)</f>
        <v/>
      </c>
    </row>
    <row r="663" customFormat="false" ht="15" hidden="false" customHeight="false" outlineLevel="0" collapsed="false">
      <c r="K663" s="4" t="n">
        <f aca="false">IF($J663="Y","",IF($F663="BW",$I663,$H663*$I663))</f>
        <v>0</v>
      </c>
      <c r="L663" s="4" t="str">
        <f aca="false">IF($D663="","",$D663&amp;"|"&amp;$H663)</f>
        <v/>
      </c>
    </row>
    <row r="664" customFormat="false" ht="15" hidden="false" customHeight="false" outlineLevel="0" collapsed="false">
      <c r="K664" s="4" t="n">
        <f aca="false">IF($J664="Y","",IF($F664="BW",$I664,$H664*$I664))</f>
        <v>0</v>
      </c>
      <c r="L664" s="4" t="str">
        <f aca="false">IF($D664="","",$D664&amp;"|"&amp;$H664)</f>
        <v/>
      </c>
    </row>
    <row r="665" customFormat="false" ht="15" hidden="false" customHeight="false" outlineLevel="0" collapsed="false">
      <c r="K665" s="4" t="n">
        <f aca="false">IF($J665="Y","",IF($F665="BW",$I665,$H665*$I665))</f>
        <v>0</v>
      </c>
      <c r="L665" s="4" t="str">
        <f aca="false">IF($D665="","",$D665&amp;"|"&amp;$H665)</f>
        <v/>
      </c>
    </row>
    <row r="666" customFormat="false" ht="15" hidden="false" customHeight="false" outlineLevel="0" collapsed="false">
      <c r="K666" s="4" t="n">
        <f aca="false">IF($J666="Y","",IF($F666="BW",$I666,$H666*$I666))</f>
        <v>0</v>
      </c>
      <c r="L666" s="4" t="str">
        <f aca="false">IF($D666="","",$D666&amp;"|"&amp;$H666)</f>
        <v/>
      </c>
    </row>
    <row r="667" customFormat="false" ht="15" hidden="false" customHeight="false" outlineLevel="0" collapsed="false">
      <c r="K667" s="4" t="n">
        <f aca="false">IF($J667="Y","",IF($F667="BW",$I667,$H667*$I667))</f>
        <v>0</v>
      </c>
      <c r="L667" s="4" t="str">
        <f aca="false">IF($D667="","",$D667&amp;"|"&amp;$H667)</f>
        <v/>
      </c>
    </row>
    <row r="668" customFormat="false" ht="15" hidden="false" customHeight="false" outlineLevel="0" collapsed="false">
      <c r="K668" s="4" t="n">
        <f aca="false">IF($J668="Y","",IF($F668="BW",$I668,$H668*$I668))</f>
        <v>0</v>
      </c>
      <c r="L668" s="4" t="str">
        <f aca="false">IF($D668="","",$D668&amp;"|"&amp;$H668)</f>
        <v/>
      </c>
    </row>
    <row r="669" customFormat="false" ht="15" hidden="false" customHeight="false" outlineLevel="0" collapsed="false">
      <c r="K669" s="4" t="n">
        <f aca="false">IF($J669="Y","",IF($F669="BW",$I669,$H669*$I669))</f>
        <v>0</v>
      </c>
      <c r="L669" s="4" t="str">
        <f aca="false">IF($D669="","",$D669&amp;"|"&amp;$H669)</f>
        <v/>
      </c>
    </row>
    <row r="670" customFormat="false" ht="15" hidden="false" customHeight="false" outlineLevel="0" collapsed="false">
      <c r="K670" s="4" t="n">
        <f aca="false">IF($J670="Y","",IF($F670="BW",$I670,$H670*$I670))</f>
        <v>0</v>
      </c>
      <c r="L670" s="4" t="str">
        <f aca="false">IF($D670="","",$D670&amp;"|"&amp;$H670)</f>
        <v/>
      </c>
    </row>
    <row r="671" customFormat="false" ht="15" hidden="false" customHeight="false" outlineLevel="0" collapsed="false">
      <c r="K671" s="4" t="n">
        <f aca="false">IF($J671="Y","",IF($F671="BW",$I671,$H671*$I671))</f>
        <v>0</v>
      </c>
      <c r="L671" s="4" t="str">
        <f aca="false">IF($D671="","",$D671&amp;"|"&amp;$H671)</f>
        <v/>
      </c>
    </row>
    <row r="672" customFormat="false" ht="15" hidden="false" customHeight="false" outlineLevel="0" collapsed="false">
      <c r="K672" s="4" t="n">
        <f aca="false">IF($J672="Y","",IF($F672="BW",$I672,$H672*$I672))</f>
        <v>0</v>
      </c>
      <c r="L672" s="4" t="str">
        <f aca="false">IF($D672="","",$D672&amp;"|"&amp;$H672)</f>
        <v/>
      </c>
    </row>
    <row r="673" customFormat="false" ht="15" hidden="false" customHeight="false" outlineLevel="0" collapsed="false">
      <c r="K673" s="4" t="n">
        <f aca="false">IF($J673="Y","",IF($F673="BW",$I673,$H673*$I673))</f>
        <v>0</v>
      </c>
      <c r="L673" s="4" t="str">
        <f aca="false">IF($D673="","",$D673&amp;"|"&amp;$H673)</f>
        <v/>
      </c>
    </row>
    <row r="674" customFormat="false" ht="15" hidden="false" customHeight="false" outlineLevel="0" collapsed="false">
      <c r="K674" s="4" t="n">
        <f aca="false">IF($J674="Y","",IF($F674="BW",$I674,$H674*$I674))</f>
        <v>0</v>
      </c>
      <c r="L674" s="4" t="str">
        <f aca="false">IF($D674="","",$D674&amp;"|"&amp;$H674)</f>
        <v/>
      </c>
    </row>
    <row r="675" customFormat="false" ht="15" hidden="false" customHeight="false" outlineLevel="0" collapsed="false">
      <c r="K675" s="4" t="n">
        <f aca="false">IF($J675="Y","",IF($F675="BW",$I675,$H675*$I675))</f>
        <v>0</v>
      </c>
      <c r="L675" s="4" t="str">
        <f aca="false">IF($D675="","",$D675&amp;"|"&amp;$H675)</f>
        <v/>
      </c>
    </row>
    <row r="676" customFormat="false" ht="15" hidden="false" customHeight="false" outlineLevel="0" collapsed="false">
      <c r="K676" s="4" t="n">
        <f aca="false">IF($J676="Y","",IF($F676="BW",$I676,$H676*$I676))</f>
        <v>0</v>
      </c>
      <c r="L676" s="4" t="str">
        <f aca="false">IF($D676="","",$D676&amp;"|"&amp;$H676)</f>
        <v/>
      </c>
    </row>
    <row r="677" customFormat="false" ht="15" hidden="false" customHeight="false" outlineLevel="0" collapsed="false">
      <c r="K677" s="4" t="n">
        <f aca="false">IF($J677="Y","",IF($F677="BW",$I677,$H677*$I677))</f>
        <v>0</v>
      </c>
      <c r="L677" s="4" t="str">
        <f aca="false">IF($D677="","",$D677&amp;"|"&amp;$H677)</f>
        <v/>
      </c>
    </row>
    <row r="678" customFormat="false" ht="15" hidden="false" customHeight="false" outlineLevel="0" collapsed="false">
      <c r="K678" s="4" t="n">
        <f aca="false">IF($J678="Y","",IF($F678="BW",$I678,$H678*$I678))</f>
        <v>0</v>
      </c>
      <c r="L678" s="4" t="str">
        <f aca="false">IF($D678="","",$D678&amp;"|"&amp;$H678)</f>
        <v/>
      </c>
    </row>
    <row r="679" customFormat="false" ht="15" hidden="false" customHeight="false" outlineLevel="0" collapsed="false">
      <c r="K679" s="4" t="n">
        <f aca="false">IF($J679="Y","",IF($F679="BW",$I679,$H679*$I679))</f>
        <v>0</v>
      </c>
      <c r="L679" s="4" t="str">
        <f aca="false">IF($D679="","",$D679&amp;"|"&amp;$H679)</f>
        <v/>
      </c>
    </row>
    <row r="680" customFormat="false" ht="15" hidden="false" customHeight="false" outlineLevel="0" collapsed="false">
      <c r="K680" s="4" t="n">
        <f aca="false">IF($J680="Y","",IF($F680="BW",$I680,$H680*$I680))</f>
        <v>0</v>
      </c>
      <c r="L680" s="4" t="str">
        <f aca="false">IF($D680="","",$D680&amp;"|"&amp;$H680)</f>
        <v/>
      </c>
    </row>
    <row r="681" customFormat="false" ht="15" hidden="false" customHeight="false" outlineLevel="0" collapsed="false">
      <c r="K681" s="4" t="n">
        <f aca="false">IF($J681="Y","",IF($F681="BW",$I681,$H681*$I681))</f>
        <v>0</v>
      </c>
      <c r="L681" s="4" t="str">
        <f aca="false">IF($D681="","",$D681&amp;"|"&amp;$H681)</f>
        <v/>
      </c>
    </row>
    <row r="682" customFormat="false" ht="15" hidden="false" customHeight="false" outlineLevel="0" collapsed="false">
      <c r="K682" s="4" t="n">
        <f aca="false">IF($J682="Y","",IF($F682="BW",$I682,$H682*$I682))</f>
        <v>0</v>
      </c>
      <c r="L682" s="4" t="str">
        <f aca="false">IF($D682="","",$D682&amp;"|"&amp;$H682)</f>
        <v/>
      </c>
    </row>
    <row r="683" customFormat="false" ht="15" hidden="false" customHeight="false" outlineLevel="0" collapsed="false">
      <c r="K683" s="4" t="n">
        <f aca="false">IF($J683="Y","",IF($F683="BW",$I683,$H683*$I683))</f>
        <v>0</v>
      </c>
      <c r="L683" s="4" t="str">
        <f aca="false">IF($D683="","",$D683&amp;"|"&amp;$H683)</f>
        <v/>
      </c>
    </row>
    <row r="684" customFormat="false" ht="15" hidden="false" customHeight="false" outlineLevel="0" collapsed="false">
      <c r="K684" s="4" t="n">
        <f aca="false">IF($J684="Y","",IF($F684="BW",$I684,$H684*$I684))</f>
        <v>0</v>
      </c>
      <c r="L684" s="4" t="str">
        <f aca="false">IF($D684="","",$D684&amp;"|"&amp;$H684)</f>
        <v/>
      </c>
    </row>
    <row r="685" customFormat="false" ht="15" hidden="false" customHeight="false" outlineLevel="0" collapsed="false">
      <c r="K685" s="4" t="n">
        <f aca="false">IF($J685="Y","",IF($F685="BW",$I685,$H685*$I685))</f>
        <v>0</v>
      </c>
      <c r="L685" s="4" t="str">
        <f aca="false">IF($D685="","",$D685&amp;"|"&amp;$H685)</f>
        <v/>
      </c>
    </row>
    <row r="686" customFormat="false" ht="15" hidden="false" customHeight="false" outlineLevel="0" collapsed="false">
      <c r="K686" s="4" t="n">
        <f aca="false">IF($J686="Y","",IF($F686="BW",$I686,$H686*$I686))</f>
        <v>0</v>
      </c>
      <c r="L686" s="4" t="str">
        <f aca="false">IF($D686="","",$D686&amp;"|"&amp;$H686)</f>
        <v/>
      </c>
    </row>
    <row r="687" customFormat="false" ht="15" hidden="false" customHeight="false" outlineLevel="0" collapsed="false">
      <c r="K687" s="4" t="n">
        <f aca="false">IF($J687="Y","",IF($F687="BW",$I687,$H687*$I687))</f>
        <v>0</v>
      </c>
      <c r="L687" s="4" t="str">
        <f aca="false">IF($D687="","",$D687&amp;"|"&amp;$H687)</f>
        <v/>
      </c>
    </row>
    <row r="688" customFormat="false" ht="15" hidden="false" customHeight="false" outlineLevel="0" collapsed="false">
      <c r="K688" s="4" t="n">
        <f aca="false">IF($J688="Y","",IF($F688="BW",$I688,$H688*$I688))</f>
        <v>0</v>
      </c>
      <c r="L688" s="4" t="str">
        <f aca="false">IF($D688="","",$D688&amp;"|"&amp;$H688)</f>
        <v/>
      </c>
    </row>
    <row r="689" customFormat="false" ht="15" hidden="false" customHeight="false" outlineLevel="0" collapsed="false">
      <c r="K689" s="4" t="n">
        <f aca="false">IF($J689="Y","",IF($F689="BW",$I689,$H689*$I689))</f>
        <v>0</v>
      </c>
      <c r="L689" s="4" t="str">
        <f aca="false">IF($D689="","",$D689&amp;"|"&amp;$H689)</f>
        <v/>
      </c>
    </row>
    <row r="690" customFormat="false" ht="15" hidden="false" customHeight="false" outlineLevel="0" collapsed="false">
      <c r="K690" s="4" t="n">
        <f aca="false">IF($J690="Y","",IF($F690="BW",$I690,$H690*$I690))</f>
        <v>0</v>
      </c>
      <c r="L690" s="4" t="str">
        <f aca="false">IF($D690="","",$D690&amp;"|"&amp;$H690)</f>
        <v/>
      </c>
    </row>
    <row r="691" customFormat="false" ht="15" hidden="false" customHeight="false" outlineLevel="0" collapsed="false">
      <c r="K691" s="4" t="n">
        <f aca="false">IF($J691="Y","",IF($F691="BW",$I691,$H691*$I691))</f>
        <v>0</v>
      </c>
      <c r="L691" s="4" t="str">
        <f aca="false">IF($D691="","",$D691&amp;"|"&amp;$H691)</f>
        <v/>
      </c>
    </row>
    <row r="692" customFormat="false" ht="15" hidden="false" customHeight="false" outlineLevel="0" collapsed="false">
      <c r="K692" s="4" t="n">
        <f aca="false">IF($J692="Y","",IF($F692="BW",$I692,$H692*$I692))</f>
        <v>0</v>
      </c>
      <c r="L692" s="4" t="str">
        <f aca="false">IF($D692="","",$D692&amp;"|"&amp;$H692)</f>
        <v/>
      </c>
    </row>
    <row r="693" customFormat="false" ht="15" hidden="false" customHeight="false" outlineLevel="0" collapsed="false">
      <c r="K693" s="4" t="n">
        <f aca="false">IF($J693="Y","",IF($F693="BW",$I693,$H693*$I693))</f>
        <v>0</v>
      </c>
      <c r="L693" s="4" t="str">
        <f aca="false">IF($D693="","",$D693&amp;"|"&amp;$H693)</f>
        <v/>
      </c>
    </row>
    <row r="694" customFormat="false" ht="15" hidden="false" customHeight="false" outlineLevel="0" collapsed="false">
      <c r="K694" s="4" t="n">
        <f aca="false">IF($J694="Y","",IF($F694="BW",$I694,$H694*$I694))</f>
        <v>0</v>
      </c>
      <c r="L694" s="4" t="str">
        <f aca="false">IF($D694="","",$D694&amp;"|"&amp;$H694)</f>
        <v/>
      </c>
    </row>
    <row r="695" customFormat="false" ht="15" hidden="false" customHeight="false" outlineLevel="0" collapsed="false">
      <c r="K695" s="4" t="n">
        <f aca="false">IF($J695="Y","",IF($F695="BW",$I695,$H695*$I695))</f>
        <v>0</v>
      </c>
      <c r="L695" s="4" t="str">
        <f aca="false">IF($D695="","",$D695&amp;"|"&amp;$H695)</f>
        <v/>
      </c>
    </row>
    <row r="696" customFormat="false" ht="15" hidden="false" customHeight="false" outlineLevel="0" collapsed="false">
      <c r="K696" s="4" t="n">
        <f aca="false">IF($J696="Y","",IF($F696="BW",$I696,$H696*$I696))</f>
        <v>0</v>
      </c>
      <c r="L696" s="4" t="str">
        <f aca="false">IF($D696="","",$D696&amp;"|"&amp;$H696)</f>
        <v/>
      </c>
    </row>
    <row r="697" customFormat="false" ht="15" hidden="false" customHeight="false" outlineLevel="0" collapsed="false">
      <c r="K697" s="4" t="n">
        <f aca="false">IF($J697="Y","",IF($F697="BW",$I697,$H697*$I697))</f>
        <v>0</v>
      </c>
      <c r="L697" s="4" t="str">
        <f aca="false">IF($D697="","",$D697&amp;"|"&amp;$H697)</f>
        <v/>
      </c>
    </row>
    <row r="698" customFormat="false" ht="15" hidden="false" customHeight="false" outlineLevel="0" collapsed="false">
      <c r="K698" s="4" t="n">
        <f aca="false">IF($J698="Y","",IF($F698="BW",$I698,$H698*$I698))</f>
        <v>0</v>
      </c>
      <c r="L698" s="4" t="str">
        <f aca="false">IF($D698="","",$D698&amp;"|"&amp;$H698)</f>
        <v/>
      </c>
    </row>
    <row r="699" customFormat="false" ht="15" hidden="false" customHeight="false" outlineLevel="0" collapsed="false">
      <c r="K699" s="4" t="n">
        <f aca="false">IF($J699="Y","",IF($F699="BW",$I699,$H699*$I699))</f>
        <v>0</v>
      </c>
      <c r="L699" s="4" t="str">
        <f aca="false">IF($D699="","",$D699&amp;"|"&amp;$H699)</f>
        <v/>
      </c>
    </row>
    <row r="700" customFormat="false" ht="15" hidden="false" customHeight="false" outlineLevel="0" collapsed="false">
      <c r="K700" s="4" t="n">
        <f aca="false">IF($J700="Y","",IF($F700="BW",$I700,$H700*$I700))</f>
        <v>0</v>
      </c>
      <c r="L700" s="4" t="str">
        <f aca="false">IF($D700="","",$D700&amp;"|"&amp;$H700)</f>
        <v/>
      </c>
    </row>
    <row r="701" customFormat="false" ht="15" hidden="false" customHeight="false" outlineLevel="0" collapsed="false">
      <c r="K701" s="4" t="n">
        <f aca="false">IF($J701="Y","",IF($F701="BW",$I701,$H701*$I701))</f>
        <v>0</v>
      </c>
      <c r="L701" s="4" t="str">
        <f aca="false">IF($D701="","",$D701&amp;"|"&amp;$H701)</f>
        <v/>
      </c>
    </row>
    <row r="702" customFormat="false" ht="15" hidden="false" customHeight="false" outlineLevel="0" collapsed="false">
      <c r="K702" s="4" t="n">
        <f aca="false">IF($J702="Y","",IF($F702="BW",$I702,$H702*$I702))</f>
        <v>0</v>
      </c>
      <c r="L702" s="4" t="str">
        <f aca="false">IF($D702="","",$D702&amp;"|"&amp;$H702)</f>
        <v/>
      </c>
    </row>
    <row r="703" customFormat="false" ht="15" hidden="false" customHeight="false" outlineLevel="0" collapsed="false">
      <c r="K703" s="4" t="n">
        <f aca="false">IF($J703="Y","",IF($F703="BW",$I703,$H703*$I703))</f>
        <v>0</v>
      </c>
      <c r="L703" s="4" t="str">
        <f aca="false">IF($D703="","",$D703&amp;"|"&amp;$H703)</f>
        <v/>
      </c>
    </row>
    <row r="704" customFormat="false" ht="15" hidden="false" customHeight="false" outlineLevel="0" collapsed="false">
      <c r="K704" s="4" t="n">
        <f aca="false">IF($J704="Y","",IF($F704="BW",$I704,$H704*$I704))</f>
        <v>0</v>
      </c>
      <c r="L704" s="4" t="str">
        <f aca="false">IF($D704="","",$D704&amp;"|"&amp;$H704)</f>
        <v/>
      </c>
    </row>
    <row r="705" customFormat="false" ht="15" hidden="false" customHeight="false" outlineLevel="0" collapsed="false">
      <c r="K705" s="4" t="n">
        <f aca="false">IF($J705="Y","",IF($F705="BW",$I705,$H705*$I705))</f>
        <v>0</v>
      </c>
      <c r="L705" s="4" t="str">
        <f aca="false">IF($D705="","",$D705&amp;"|"&amp;$H705)</f>
        <v/>
      </c>
    </row>
    <row r="706" customFormat="false" ht="15" hidden="false" customHeight="false" outlineLevel="0" collapsed="false">
      <c r="K706" s="4" t="n">
        <f aca="false">IF($J706="Y","",IF($F706="BW",$I706,$H706*$I706))</f>
        <v>0</v>
      </c>
      <c r="L706" s="4" t="str">
        <f aca="false">IF($D706="","",$D706&amp;"|"&amp;$H706)</f>
        <v/>
      </c>
    </row>
    <row r="707" customFormat="false" ht="15" hidden="false" customHeight="false" outlineLevel="0" collapsed="false">
      <c r="K707" s="4" t="n">
        <f aca="false">IF($J707="Y","",IF($F707="BW",$I707,$H707*$I707))</f>
        <v>0</v>
      </c>
      <c r="L707" s="4" t="str">
        <f aca="false">IF($D707="","",$D707&amp;"|"&amp;$H707)</f>
        <v/>
      </c>
    </row>
    <row r="708" customFormat="false" ht="15" hidden="false" customHeight="false" outlineLevel="0" collapsed="false">
      <c r="K708" s="4" t="n">
        <f aca="false">IF($J708="Y","",IF($F708="BW",$I708,$H708*$I708))</f>
        <v>0</v>
      </c>
      <c r="L708" s="4" t="str">
        <f aca="false">IF($D708="","",$D708&amp;"|"&amp;$H708)</f>
        <v/>
      </c>
    </row>
    <row r="709" customFormat="false" ht="15" hidden="false" customHeight="false" outlineLevel="0" collapsed="false">
      <c r="K709" s="4" t="n">
        <f aca="false">IF($J709="Y","",IF($F709="BW",$I709,$H709*$I709))</f>
        <v>0</v>
      </c>
      <c r="L709" s="4" t="str">
        <f aca="false">IF($D709="","",$D709&amp;"|"&amp;$H709)</f>
        <v/>
      </c>
    </row>
    <row r="710" customFormat="false" ht="15" hidden="false" customHeight="false" outlineLevel="0" collapsed="false">
      <c r="K710" s="4" t="n">
        <f aca="false">IF($J710="Y","",IF($F710="BW",$I710,$H710*$I710))</f>
        <v>0</v>
      </c>
      <c r="L710" s="4" t="str">
        <f aca="false">IF($D710="","",$D710&amp;"|"&amp;$H710)</f>
        <v/>
      </c>
    </row>
    <row r="711" customFormat="false" ht="15" hidden="false" customHeight="false" outlineLevel="0" collapsed="false">
      <c r="K711" s="4" t="n">
        <f aca="false">IF($J711="Y","",IF($F711="BW",$I711,$H711*$I711))</f>
        <v>0</v>
      </c>
      <c r="L711" s="4" t="str">
        <f aca="false">IF($D711="","",$D711&amp;"|"&amp;$H711)</f>
        <v/>
      </c>
    </row>
    <row r="712" customFormat="false" ht="15" hidden="false" customHeight="false" outlineLevel="0" collapsed="false">
      <c r="K712" s="4" t="n">
        <f aca="false">IF($J712="Y","",IF($F712="BW",$I712,$H712*$I712))</f>
        <v>0</v>
      </c>
      <c r="L712" s="4" t="str">
        <f aca="false">IF($D712="","",$D712&amp;"|"&amp;$H712)</f>
        <v/>
      </c>
    </row>
    <row r="713" customFormat="false" ht="15" hidden="false" customHeight="false" outlineLevel="0" collapsed="false">
      <c r="K713" s="4" t="n">
        <f aca="false">IF($J713="Y","",IF($F713="BW",$I713,$H713*$I713))</f>
        <v>0</v>
      </c>
      <c r="L713" s="4" t="str">
        <f aca="false">IF($D713="","",$D713&amp;"|"&amp;$H713)</f>
        <v/>
      </c>
    </row>
    <row r="714" customFormat="false" ht="15" hidden="false" customHeight="false" outlineLevel="0" collapsed="false">
      <c r="K714" s="4" t="n">
        <f aca="false">IF($J714="Y","",IF($F714="BW",$I714,$H714*$I714))</f>
        <v>0</v>
      </c>
      <c r="L714" s="4" t="str">
        <f aca="false">IF($D714="","",$D714&amp;"|"&amp;$H714)</f>
        <v/>
      </c>
    </row>
    <row r="715" customFormat="false" ht="15" hidden="false" customHeight="false" outlineLevel="0" collapsed="false">
      <c r="K715" s="4" t="n">
        <f aca="false">IF($J715="Y","",IF($F715="BW",$I715,$H715*$I715))</f>
        <v>0</v>
      </c>
      <c r="L715" s="4" t="str">
        <f aca="false">IF($D715="","",$D715&amp;"|"&amp;$H715)</f>
        <v/>
      </c>
    </row>
    <row r="716" customFormat="false" ht="15" hidden="false" customHeight="false" outlineLevel="0" collapsed="false">
      <c r="K716" s="4" t="n">
        <f aca="false">IF($J716="Y","",IF($F716="BW",$I716,$H716*$I716))</f>
        <v>0</v>
      </c>
      <c r="L716" s="4" t="str">
        <f aca="false">IF($D716="","",$D716&amp;"|"&amp;$H716)</f>
        <v/>
      </c>
    </row>
    <row r="717" customFormat="false" ht="15" hidden="false" customHeight="false" outlineLevel="0" collapsed="false">
      <c r="K717" s="4" t="n">
        <f aca="false">IF($J717="Y","",IF($F717="BW",$I717,$H717*$I717))</f>
        <v>0</v>
      </c>
      <c r="L717" s="4" t="str">
        <f aca="false">IF($D717="","",$D717&amp;"|"&amp;$H717)</f>
        <v/>
      </c>
    </row>
    <row r="718" customFormat="false" ht="15" hidden="false" customHeight="false" outlineLevel="0" collapsed="false">
      <c r="K718" s="4" t="n">
        <f aca="false">IF($J718="Y","",IF($F718="BW",$I718,$H718*$I718))</f>
        <v>0</v>
      </c>
      <c r="L718" s="4" t="str">
        <f aca="false">IF($D718="","",$D718&amp;"|"&amp;$H718)</f>
        <v/>
      </c>
    </row>
    <row r="719" customFormat="false" ht="15" hidden="false" customHeight="false" outlineLevel="0" collapsed="false">
      <c r="K719" s="4" t="n">
        <f aca="false">IF($J719="Y","",IF($F719="BW",$I719,$H719*$I719))</f>
        <v>0</v>
      </c>
      <c r="L719" s="4" t="str">
        <f aca="false">IF($D719="","",$D719&amp;"|"&amp;$H719)</f>
        <v/>
      </c>
    </row>
    <row r="720" customFormat="false" ht="15" hidden="false" customHeight="false" outlineLevel="0" collapsed="false">
      <c r="K720" s="4" t="n">
        <f aca="false">IF($J720="Y","",IF($F720="BW",$I720,$H720*$I720))</f>
        <v>0</v>
      </c>
      <c r="L720" s="4" t="str">
        <f aca="false">IF($D720="","",$D720&amp;"|"&amp;$H720)</f>
        <v/>
      </c>
    </row>
    <row r="721" customFormat="false" ht="15" hidden="false" customHeight="false" outlineLevel="0" collapsed="false">
      <c r="K721" s="4" t="n">
        <f aca="false">IF($J721="Y","",IF($F721="BW",$I721,$H721*$I721))</f>
        <v>0</v>
      </c>
      <c r="L721" s="4" t="str">
        <f aca="false">IF($D721="","",$D721&amp;"|"&amp;$H721)</f>
        <v/>
      </c>
    </row>
    <row r="722" customFormat="false" ht="15" hidden="false" customHeight="false" outlineLevel="0" collapsed="false">
      <c r="K722" s="4" t="n">
        <f aca="false">IF($J722="Y","",IF($F722="BW",$I722,$H722*$I722))</f>
        <v>0</v>
      </c>
      <c r="L722" s="4" t="str">
        <f aca="false">IF($D722="","",$D722&amp;"|"&amp;$H722)</f>
        <v/>
      </c>
    </row>
    <row r="723" customFormat="false" ht="15" hidden="false" customHeight="false" outlineLevel="0" collapsed="false">
      <c r="K723" s="4" t="n">
        <f aca="false">IF($J723="Y","",IF($F723="BW",$I723,$H723*$I723))</f>
        <v>0</v>
      </c>
      <c r="L723" s="4" t="str">
        <f aca="false">IF($D723="","",$D723&amp;"|"&amp;$H723)</f>
        <v/>
      </c>
    </row>
    <row r="724" customFormat="false" ht="15" hidden="false" customHeight="false" outlineLevel="0" collapsed="false">
      <c r="K724" s="4" t="n">
        <f aca="false">IF($J724="Y","",IF($F724="BW",$I724,$H724*$I724))</f>
        <v>0</v>
      </c>
      <c r="L724" s="4" t="str">
        <f aca="false">IF($D724="","",$D724&amp;"|"&amp;$H724)</f>
        <v/>
      </c>
    </row>
    <row r="725" customFormat="false" ht="15" hidden="false" customHeight="false" outlineLevel="0" collapsed="false">
      <c r="K725" s="4" t="n">
        <f aca="false">IF($J725="Y","",IF($F725="BW",$I725,$H725*$I725))</f>
        <v>0</v>
      </c>
      <c r="L725" s="4" t="str">
        <f aca="false">IF($D725="","",$D725&amp;"|"&amp;$H725)</f>
        <v/>
      </c>
    </row>
    <row r="726" customFormat="false" ht="15" hidden="false" customHeight="false" outlineLevel="0" collapsed="false">
      <c r="K726" s="4" t="n">
        <f aca="false">IF($J726="Y","",IF($F726="BW",$I726,$H726*$I726))</f>
        <v>0</v>
      </c>
      <c r="L726" s="4" t="str">
        <f aca="false">IF($D726="","",$D726&amp;"|"&amp;$H726)</f>
        <v/>
      </c>
    </row>
    <row r="727" customFormat="false" ht="15" hidden="false" customHeight="false" outlineLevel="0" collapsed="false">
      <c r="K727" s="4" t="n">
        <f aca="false">IF($J727="Y","",IF($F727="BW",$I727,$H727*$I727))</f>
        <v>0</v>
      </c>
      <c r="L727" s="4" t="str">
        <f aca="false">IF($D727="","",$D727&amp;"|"&amp;$H727)</f>
        <v/>
      </c>
    </row>
    <row r="728" customFormat="false" ht="15" hidden="false" customHeight="false" outlineLevel="0" collapsed="false">
      <c r="K728" s="4" t="n">
        <f aca="false">IF($J728="Y","",IF($F728="BW",$I728,$H728*$I728))</f>
        <v>0</v>
      </c>
      <c r="L728" s="4" t="str">
        <f aca="false">IF($D728="","",$D728&amp;"|"&amp;$H728)</f>
        <v/>
      </c>
    </row>
    <row r="729" customFormat="false" ht="15" hidden="false" customHeight="false" outlineLevel="0" collapsed="false">
      <c r="K729" s="4" t="n">
        <f aca="false">IF($J729="Y","",IF($F729="BW",$I729,$H729*$I729))</f>
        <v>0</v>
      </c>
      <c r="L729" s="4" t="str">
        <f aca="false">IF($D729="","",$D729&amp;"|"&amp;$H729)</f>
        <v/>
      </c>
    </row>
    <row r="730" customFormat="false" ht="15" hidden="false" customHeight="false" outlineLevel="0" collapsed="false">
      <c r="K730" s="4" t="n">
        <f aca="false">IF($J730="Y","",IF($F730="BW",$I730,$H730*$I730))</f>
        <v>0</v>
      </c>
      <c r="L730" s="4" t="str">
        <f aca="false">IF($D730="","",$D730&amp;"|"&amp;$H730)</f>
        <v/>
      </c>
    </row>
    <row r="731" customFormat="false" ht="15" hidden="false" customHeight="false" outlineLevel="0" collapsed="false">
      <c r="K731" s="4" t="n">
        <f aca="false">IF($J731="Y","",IF($F731="BW",$I731,$H731*$I731))</f>
        <v>0</v>
      </c>
      <c r="L731" s="4" t="str">
        <f aca="false">IF($D731="","",$D731&amp;"|"&amp;$H731)</f>
        <v/>
      </c>
    </row>
    <row r="732" customFormat="false" ht="15" hidden="false" customHeight="false" outlineLevel="0" collapsed="false">
      <c r="K732" s="4" t="n">
        <f aca="false">IF($J732="Y","",IF($F732="BW",$I732,$H732*$I732))</f>
        <v>0</v>
      </c>
      <c r="L732" s="4" t="str">
        <f aca="false">IF($D732="","",$D732&amp;"|"&amp;$H732)</f>
        <v/>
      </c>
    </row>
    <row r="733" customFormat="false" ht="15" hidden="false" customHeight="false" outlineLevel="0" collapsed="false">
      <c r="K733" s="4" t="n">
        <f aca="false">IF($J733="Y","",IF($F733="BW",$I733,$H733*$I733))</f>
        <v>0</v>
      </c>
      <c r="L733" s="4" t="str">
        <f aca="false">IF($D733="","",$D733&amp;"|"&amp;$H733)</f>
        <v/>
      </c>
    </row>
    <row r="734" customFormat="false" ht="15" hidden="false" customHeight="false" outlineLevel="0" collapsed="false">
      <c r="K734" s="4" t="n">
        <f aca="false">IF($J734="Y","",IF($F734="BW",$I734,$H734*$I734))</f>
        <v>0</v>
      </c>
      <c r="L734" s="4" t="str">
        <f aca="false">IF($D734="","",$D734&amp;"|"&amp;$H734)</f>
        <v/>
      </c>
    </row>
    <row r="735" customFormat="false" ht="15" hidden="false" customHeight="false" outlineLevel="0" collapsed="false">
      <c r="K735" s="4" t="n">
        <f aca="false">IF($J735="Y","",IF($F735="BW",$I735,$H735*$I735))</f>
        <v>0</v>
      </c>
      <c r="L735" s="4" t="str">
        <f aca="false">IF($D735="","",$D735&amp;"|"&amp;$H735)</f>
        <v/>
      </c>
    </row>
    <row r="736" customFormat="false" ht="15" hidden="false" customHeight="false" outlineLevel="0" collapsed="false">
      <c r="K736" s="4" t="n">
        <f aca="false">IF($J736="Y","",IF($F736="BW",$I736,$H736*$I736))</f>
        <v>0</v>
      </c>
      <c r="L736" s="4" t="str">
        <f aca="false">IF($D736="","",$D736&amp;"|"&amp;$H736)</f>
        <v/>
      </c>
    </row>
    <row r="737" customFormat="false" ht="15" hidden="false" customHeight="false" outlineLevel="0" collapsed="false">
      <c r="K737" s="4" t="n">
        <f aca="false">IF($J737="Y","",IF($F737="BW",$I737,$H737*$I737))</f>
        <v>0</v>
      </c>
      <c r="L737" s="4" t="str">
        <f aca="false">IF($D737="","",$D737&amp;"|"&amp;$H737)</f>
        <v/>
      </c>
    </row>
    <row r="738" customFormat="false" ht="15" hidden="false" customHeight="false" outlineLevel="0" collapsed="false">
      <c r="K738" s="4" t="n">
        <f aca="false">IF($J738="Y","",IF($F738="BW",$I738,$H738*$I738))</f>
        <v>0</v>
      </c>
      <c r="L738" s="4" t="str">
        <f aca="false">IF($D738="","",$D738&amp;"|"&amp;$H738)</f>
        <v/>
      </c>
    </row>
    <row r="739" customFormat="false" ht="15" hidden="false" customHeight="false" outlineLevel="0" collapsed="false">
      <c r="K739" s="4" t="n">
        <f aca="false">IF($J739="Y","",IF($F739="BW",$I739,$H739*$I739))</f>
        <v>0</v>
      </c>
      <c r="L739" s="4" t="str">
        <f aca="false">IF($D739="","",$D739&amp;"|"&amp;$H739)</f>
        <v/>
      </c>
    </row>
    <row r="740" customFormat="false" ht="15" hidden="false" customHeight="false" outlineLevel="0" collapsed="false">
      <c r="K740" s="4" t="n">
        <f aca="false">IF($J740="Y","",IF($F740="BW",$I740,$H740*$I740))</f>
        <v>0</v>
      </c>
      <c r="L740" s="4" t="str">
        <f aca="false">IF($D740="","",$D740&amp;"|"&amp;$H740)</f>
        <v/>
      </c>
    </row>
    <row r="741" customFormat="false" ht="15" hidden="false" customHeight="false" outlineLevel="0" collapsed="false">
      <c r="K741" s="4" t="n">
        <f aca="false">IF($J741="Y","",IF($F741="BW",$I741,$H741*$I741))</f>
        <v>0</v>
      </c>
      <c r="L741" s="4" t="str">
        <f aca="false">IF($D741="","",$D741&amp;"|"&amp;$H741)</f>
        <v/>
      </c>
    </row>
    <row r="742" customFormat="false" ht="15" hidden="false" customHeight="false" outlineLevel="0" collapsed="false">
      <c r="K742" s="4" t="n">
        <f aca="false">IF($J742="Y","",IF($F742="BW",$I742,$H742*$I742))</f>
        <v>0</v>
      </c>
      <c r="L742" s="4" t="str">
        <f aca="false">IF($D742="","",$D742&amp;"|"&amp;$H742)</f>
        <v/>
      </c>
    </row>
    <row r="743" customFormat="false" ht="15" hidden="false" customHeight="false" outlineLevel="0" collapsed="false">
      <c r="K743" s="4" t="n">
        <f aca="false">IF($J743="Y","",IF($F743="BW",$I743,$H743*$I743))</f>
        <v>0</v>
      </c>
      <c r="L743" s="4" t="str">
        <f aca="false">IF($D743="","",$D743&amp;"|"&amp;$H743)</f>
        <v/>
      </c>
    </row>
    <row r="744" customFormat="false" ht="15" hidden="false" customHeight="false" outlineLevel="0" collapsed="false">
      <c r="K744" s="4" t="n">
        <f aca="false">IF($J744="Y","",IF($F744="BW",$I744,$H744*$I744))</f>
        <v>0</v>
      </c>
      <c r="L744" s="4" t="str">
        <f aca="false">IF($D744="","",$D744&amp;"|"&amp;$H744)</f>
        <v/>
      </c>
    </row>
    <row r="745" customFormat="false" ht="15" hidden="false" customHeight="false" outlineLevel="0" collapsed="false">
      <c r="K745" s="4" t="n">
        <f aca="false">IF($J745="Y","",IF($F745="BW",$I745,$H745*$I745))</f>
        <v>0</v>
      </c>
      <c r="L745" s="4" t="str">
        <f aca="false">IF($D745="","",$D745&amp;"|"&amp;$H745)</f>
        <v/>
      </c>
    </row>
    <row r="746" customFormat="false" ht="15" hidden="false" customHeight="false" outlineLevel="0" collapsed="false">
      <c r="K746" s="4" t="n">
        <f aca="false">IF($J746="Y","",IF($F746="BW",$I746,$H746*$I746))</f>
        <v>0</v>
      </c>
      <c r="L746" s="4" t="str">
        <f aca="false">IF($D746="","",$D746&amp;"|"&amp;$H746)</f>
        <v/>
      </c>
    </row>
    <row r="747" customFormat="false" ht="15" hidden="false" customHeight="false" outlineLevel="0" collapsed="false">
      <c r="K747" s="4" t="n">
        <f aca="false">IF($J747="Y","",IF($F747="BW",$I747,$H747*$I747))</f>
        <v>0</v>
      </c>
      <c r="L747" s="4" t="str">
        <f aca="false">IF($D747="","",$D747&amp;"|"&amp;$H747)</f>
        <v/>
      </c>
    </row>
    <row r="748" customFormat="false" ht="15" hidden="false" customHeight="false" outlineLevel="0" collapsed="false">
      <c r="K748" s="4" t="n">
        <f aca="false">IF($J748="Y","",IF($F748="BW",$I748,$H748*$I748))</f>
        <v>0</v>
      </c>
      <c r="L748" s="4" t="str">
        <f aca="false">IF($D748="","",$D748&amp;"|"&amp;$H748)</f>
        <v/>
      </c>
    </row>
    <row r="749" customFormat="false" ht="15" hidden="false" customHeight="false" outlineLevel="0" collapsed="false">
      <c r="K749" s="4" t="n">
        <f aca="false">IF($J749="Y","",IF($F749="BW",$I749,$H749*$I749))</f>
        <v>0</v>
      </c>
      <c r="L749" s="4" t="str">
        <f aca="false">IF($D749="","",$D749&amp;"|"&amp;$H749)</f>
        <v/>
      </c>
    </row>
    <row r="750" customFormat="false" ht="15" hidden="false" customHeight="false" outlineLevel="0" collapsed="false">
      <c r="K750" s="4" t="n">
        <f aca="false">IF($J750="Y","",IF($F750="BW",$I750,$H750*$I750))</f>
        <v>0</v>
      </c>
      <c r="L750" s="4" t="str">
        <f aca="false">IF($D750="","",$D750&amp;"|"&amp;$H750)</f>
        <v/>
      </c>
    </row>
    <row r="751" customFormat="false" ht="15" hidden="false" customHeight="false" outlineLevel="0" collapsed="false">
      <c r="K751" s="4" t="n">
        <f aca="false">IF($J751="Y","",IF($F751="BW",$I751,$H751*$I751))</f>
        <v>0</v>
      </c>
      <c r="L751" s="4" t="str">
        <f aca="false">IF($D751="","",$D751&amp;"|"&amp;$H751)</f>
        <v/>
      </c>
    </row>
    <row r="752" customFormat="false" ht="15" hidden="false" customHeight="false" outlineLevel="0" collapsed="false">
      <c r="K752" s="4" t="n">
        <f aca="false">IF($J752="Y","",IF($F752="BW",$I752,$H752*$I752))</f>
        <v>0</v>
      </c>
      <c r="L752" s="4" t="str">
        <f aca="false">IF($D752="","",$D752&amp;"|"&amp;$H752)</f>
        <v/>
      </c>
    </row>
    <row r="753" customFormat="false" ht="15" hidden="false" customHeight="false" outlineLevel="0" collapsed="false">
      <c r="K753" s="4" t="n">
        <f aca="false">IF($J753="Y","",IF($F753="BW",$I753,$H753*$I753))</f>
        <v>0</v>
      </c>
      <c r="L753" s="4" t="str">
        <f aca="false">IF($D753="","",$D753&amp;"|"&amp;$H753)</f>
        <v/>
      </c>
    </row>
    <row r="754" customFormat="false" ht="15" hidden="false" customHeight="false" outlineLevel="0" collapsed="false">
      <c r="K754" s="4" t="n">
        <f aca="false">IF($J754="Y","",IF($F754="BW",$I754,$H754*$I754))</f>
        <v>0</v>
      </c>
      <c r="L754" s="4" t="str">
        <f aca="false">IF($D754="","",$D754&amp;"|"&amp;$H754)</f>
        <v/>
      </c>
    </row>
    <row r="755" customFormat="false" ht="15" hidden="false" customHeight="false" outlineLevel="0" collapsed="false">
      <c r="K755" s="4" t="n">
        <f aca="false">IF($J755="Y","",IF($F755="BW",$I755,$H755*$I755))</f>
        <v>0</v>
      </c>
      <c r="L755" s="4" t="str">
        <f aca="false">IF($D755="","",$D755&amp;"|"&amp;$H755)</f>
        <v/>
      </c>
    </row>
    <row r="756" customFormat="false" ht="15" hidden="false" customHeight="false" outlineLevel="0" collapsed="false">
      <c r="K756" s="4" t="n">
        <f aca="false">IF($J756="Y","",IF($F756="BW",$I756,$H756*$I756))</f>
        <v>0</v>
      </c>
      <c r="L756" s="4" t="str">
        <f aca="false">IF($D756="","",$D756&amp;"|"&amp;$H756)</f>
        <v/>
      </c>
    </row>
    <row r="757" customFormat="false" ht="15" hidden="false" customHeight="false" outlineLevel="0" collapsed="false">
      <c r="K757" s="4" t="n">
        <f aca="false">IF($J757="Y","",IF($F757="BW",$I757,$H757*$I757))</f>
        <v>0</v>
      </c>
      <c r="L757" s="4" t="str">
        <f aca="false">IF($D757="","",$D757&amp;"|"&amp;$H757)</f>
        <v/>
      </c>
    </row>
    <row r="758" customFormat="false" ht="15" hidden="false" customHeight="false" outlineLevel="0" collapsed="false">
      <c r="K758" s="4" t="n">
        <f aca="false">IF($J758="Y","",IF($F758="BW",$I758,$H758*$I758))</f>
        <v>0</v>
      </c>
      <c r="L758" s="4" t="str">
        <f aca="false">IF($D758="","",$D758&amp;"|"&amp;$H758)</f>
        <v/>
      </c>
    </row>
    <row r="759" customFormat="false" ht="15" hidden="false" customHeight="false" outlineLevel="0" collapsed="false">
      <c r="K759" s="4" t="n">
        <f aca="false">IF($J759="Y","",IF($F759="BW",$I759,$H759*$I759))</f>
        <v>0</v>
      </c>
      <c r="L759" s="4" t="str">
        <f aca="false">IF($D759="","",$D759&amp;"|"&amp;$H759)</f>
        <v/>
      </c>
    </row>
    <row r="760" customFormat="false" ht="15" hidden="false" customHeight="false" outlineLevel="0" collapsed="false">
      <c r="K760" s="4" t="n">
        <f aca="false">IF($J760="Y","",IF($F760="BW",$I760,$H760*$I760))</f>
        <v>0</v>
      </c>
      <c r="L760" s="4" t="str">
        <f aca="false">IF($D760="","",$D760&amp;"|"&amp;$H760)</f>
        <v/>
      </c>
    </row>
    <row r="761" customFormat="false" ht="15" hidden="false" customHeight="false" outlineLevel="0" collapsed="false">
      <c r="K761" s="4" t="n">
        <f aca="false">IF($J761="Y","",IF($F761="BW",$I761,$H761*$I761))</f>
        <v>0</v>
      </c>
      <c r="L761" s="4" t="str">
        <f aca="false">IF($D761="","",$D761&amp;"|"&amp;$H761)</f>
        <v/>
      </c>
    </row>
    <row r="762" customFormat="false" ht="15" hidden="false" customHeight="false" outlineLevel="0" collapsed="false">
      <c r="K762" s="4" t="n">
        <f aca="false">IF($J762="Y","",IF($F762="BW",$I762,$H762*$I762))</f>
        <v>0</v>
      </c>
      <c r="L762" s="4" t="str">
        <f aca="false">IF($D762="","",$D762&amp;"|"&amp;$H762)</f>
        <v/>
      </c>
    </row>
    <row r="763" customFormat="false" ht="15" hidden="false" customHeight="false" outlineLevel="0" collapsed="false">
      <c r="K763" s="4" t="n">
        <f aca="false">IF($J763="Y","",IF($F763="BW",$I763,$H763*$I763))</f>
        <v>0</v>
      </c>
      <c r="L763" s="4" t="str">
        <f aca="false">IF($D763="","",$D763&amp;"|"&amp;$H763)</f>
        <v/>
      </c>
    </row>
    <row r="764" customFormat="false" ht="15" hidden="false" customHeight="false" outlineLevel="0" collapsed="false">
      <c r="K764" s="4" t="n">
        <f aca="false">IF($J764="Y","",IF($F764="BW",$I764,$H764*$I764))</f>
        <v>0</v>
      </c>
      <c r="L764" s="4" t="str">
        <f aca="false">IF($D764="","",$D764&amp;"|"&amp;$H764)</f>
        <v/>
      </c>
    </row>
    <row r="765" customFormat="false" ht="15" hidden="false" customHeight="false" outlineLevel="0" collapsed="false">
      <c r="K765" s="4" t="n">
        <f aca="false">IF($J765="Y","",IF($F765="BW",$I765,$H765*$I765))</f>
        <v>0</v>
      </c>
      <c r="L765" s="4" t="str">
        <f aca="false">IF($D765="","",$D765&amp;"|"&amp;$H765)</f>
        <v/>
      </c>
    </row>
    <row r="766" customFormat="false" ht="15" hidden="false" customHeight="false" outlineLevel="0" collapsed="false">
      <c r="K766" s="4" t="n">
        <f aca="false">IF($J766="Y","",IF($F766="BW",$I766,$H766*$I766))</f>
        <v>0</v>
      </c>
      <c r="L766" s="4" t="str">
        <f aca="false">IF($D766="","",$D766&amp;"|"&amp;$H766)</f>
        <v/>
      </c>
    </row>
    <row r="767" customFormat="false" ht="15" hidden="false" customHeight="false" outlineLevel="0" collapsed="false">
      <c r="K767" s="4" t="n">
        <f aca="false">IF($J767="Y","",IF($F767="BW",$I767,$H767*$I767))</f>
        <v>0</v>
      </c>
      <c r="L767" s="4" t="str">
        <f aca="false">IF($D767="","",$D767&amp;"|"&amp;$H767)</f>
        <v/>
      </c>
    </row>
    <row r="768" customFormat="false" ht="15" hidden="false" customHeight="false" outlineLevel="0" collapsed="false">
      <c r="K768" s="4" t="n">
        <f aca="false">IF($J768="Y","",IF($F768="BW",$I768,$H768*$I768))</f>
        <v>0</v>
      </c>
      <c r="L768" s="4" t="str">
        <f aca="false">IF($D768="","",$D768&amp;"|"&amp;$H768)</f>
        <v/>
      </c>
    </row>
    <row r="769" customFormat="false" ht="15" hidden="false" customHeight="false" outlineLevel="0" collapsed="false">
      <c r="K769" s="4" t="n">
        <f aca="false">IF($J769="Y","",IF($F769="BW",$I769,$H769*$I769))</f>
        <v>0</v>
      </c>
      <c r="L769" s="4" t="str">
        <f aca="false">IF($D769="","",$D769&amp;"|"&amp;$H769)</f>
        <v/>
      </c>
    </row>
    <row r="770" customFormat="false" ht="15" hidden="false" customHeight="false" outlineLevel="0" collapsed="false">
      <c r="K770" s="4" t="n">
        <f aca="false">IF($J770="Y","",IF($F770="BW",$I770,$H770*$I770))</f>
        <v>0</v>
      </c>
      <c r="L770" s="4" t="str">
        <f aca="false">IF($D770="","",$D770&amp;"|"&amp;$H770)</f>
        <v/>
      </c>
    </row>
    <row r="771" customFormat="false" ht="15" hidden="false" customHeight="false" outlineLevel="0" collapsed="false">
      <c r="K771" s="4" t="n">
        <f aca="false">IF($J771="Y","",IF($F771="BW",$I771,$H771*$I771))</f>
        <v>0</v>
      </c>
      <c r="L771" s="4" t="str">
        <f aca="false">IF($D771="","",$D771&amp;"|"&amp;$H771)</f>
        <v/>
      </c>
    </row>
    <row r="772" customFormat="false" ht="15" hidden="false" customHeight="false" outlineLevel="0" collapsed="false">
      <c r="K772" s="4" t="n">
        <f aca="false">IF($J772="Y","",IF($F772="BW",$I772,$H772*$I772))</f>
        <v>0</v>
      </c>
      <c r="L772" s="4" t="str">
        <f aca="false">IF($D772="","",$D772&amp;"|"&amp;$H772)</f>
        <v/>
      </c>
    </row>
    <row r="773" customFormat="false" ht="15" hidden="false" customHeight="false" outlineLevel="0" collapsed="false">
      <c r="K773" s="4" t="n">
        <f aca="false">IF($J773="Y","",IF($F773="BW",$I773,$H773*$I773))</f>
        <v>0</v>
      </c>
      <c r="L773" s="4" t="str">
        <f aca="false">IF($D773="","",$D773&amp;"|"&amp;$H773)</f>
        <v/>
      </c>
    </row>
    <row r="774" customFormat="false" ht="15" hidden="false" customHeight="false" outlineLevel="0" collapsed="false">
      <c r="K774" s="4" t="n">
        <f aca="false">IF($J774="Y","",IF($F774="BW",$I774,$H774*$I774))</f>
        <v>0</v>
      </c>
      <c r="L774" s="4" t="str">
        <f aca="false">IF($D774="","",$D774&amp;"|"&amp;$H774)</f>
        <v/>
      </c>
    </row>
    <row r="775" customFormat="false" ht="15" hidden="false" customHeight="false" outlineLevel="0" collapsed="false">
      <c r="K775" s="4" t="n">
        <f aca="false">IF($J775="Y","",IF($F775="BW",$I775,$H775*$I775))</f>
        <v>0</v>
      </c>
      <c r="L775" s="4" t="str">
        <f aca="false">IF($D775="","",$D775&amp;"|"&amp;$H775)</f>
        <v/>
      </c>
    </row>
    <row r="776" customFormat="false" ht="15" hidden="false" customHeight="false" outlineLevel="0" collapsed="false">
      <c r="K776" s="4" t="n">
        <f aca="false">IF($J776="Y","",IF($F776="BW",$I776,$H776*$I776))</f>
        <v>0</v>
      </c>
      <c r="L776" s="4" t="str">
        <f aca="false">IF($D776="","",$D776&amp;"|"&amp;$H776)</f>
        <v/>
      </c>
    </row>
    <row r="777" customFormat="false" ht="15" hidden="false" customHeight="false" outlineLevel="0" collapsed="false">
      <c r="K777" s="4" t="n">
        <f aca="false">IF($J777="Y","",IF($F777="BW",$I777,$H777*$I777))</f>
        <v>0</v>
      </c>
      <c r="L777" s="4" t="str">
        <f aca="false">IF($D777="","",$D777&amp;"|"&amp;$H777)</f>
        <v/>
      </c>
    </row>
    <row r="778" customFormat="false" ht="15" hidden="false" customHeight="false" outlineLevel="0" collapsed="false">
      <c r="K778" s="4" t="n">
        <f aca="false">IF($J778="Y","",IF($F778="BW",$I778,$H778*$I778))</f>
        <v>0</v>
      </c>
      <c r="L778" s="4" t="str">
        <f aca="false">IF($D778="","",$D778&amp;"|"&amp;$H778)</f>
        <v/>
      </c>
    </row>
    <row r="779" customFormat="false" ht="15" hidden="false" customHeight="false" outlineLevel="0" collapsed="false">
      <c r="K779" s="4" t="n">
        <f aca="false">IF($J779="Y","",IF($F779="BW",$I779,$H779*$I779))</f>
        <v>0</v>
      </c>
      <c r="L779" s="4" t="str">
        <f aca="false">IF($D779="","",$D779&amp;"|"&amp;$H779)</f>
        <v/>
      </c>
    </row>
    <row r="780" customFormat="false" ht="15" hidden="false" customHeight="false" outlineLevel="0" collapsed="false">
      <c r="K780" s="4" t="n">
        <f aca="false">IF($J780="Y","",IF($F780="BW",$I780,$H780*$I780))</f>
        <v>0</v>
      </c>
      <c r="L780" s="4" t="str">
        <f aca="false">IF($D780="","",$D780&amp;"|"&amp;$H780)</f>
        <v/>
      </c>
    </row>
    <row r="781" customFormat="false" ht="15" hidden="false" customHeight="false" outlineLevel="0" collapsed="false">
      <c r="K781" s="4" t="n">
        <f aca="false">IF($J781="Y","",IF($F781="BW",$I781,$H781*$I781))</f>
        <v>0</v>
      </c>
      <c r="L781" s="4" t="str">
        <f aca="false">IF($D781="","",$D781&amp;"|"&amp;$H781)</f>
        <v/>
      </c>
    </row>
    <row r="782" customFormat="false" ht="15" hidden="false" customHeight="false" outlineLevel="0" collapsed="false">
      <c r="K782" s="4" t="n">
        <f aca="false">IF($J782="Y","",IF($F782="BW",$I782,$H782*$I782))</f>
        <v>0</v>
      </c>
      <c r="L782" s="4" t="str">
        <f aca="false">IF($D782="","",$D782&amp;"|"&amp;$H782)</f>
        <v/>
      </c>
    </row>
    <row r="783" customFormat="false" ht="15" hidden="false" customHeight="false" outlineLevel="0" collapsed="false">
      <c r="K783" s="4" t="n">
        <f aca="false">IF($J783="Y","",IF($F783="BW",$I783,$H783*$I783))</f>
        <v>0</v>
      </c>
      <c r="L783" s="4" t="str">
        <f aca="false">IF($D783="","",$D783&amp;"|"&amp;$H783)</f>
        <v/>
      </c>
    </row>
    <row r="784" customFormat="false" ht="15" hidden="false" customHeight="false" outlineLevel="0" collapsed="false">
      <c r="K784" s="4" t="n">
        <f aca="false">IF($J784="Y","",IF($F784="BW",$I784,$H784*$I784))</f>
        <v>0</v>
      </c>
      <c r="L784" s="4" t="str">
        <f aca="false">IF($D784="","",$D784&amp;"|"&amp;$H784)</f>
        <v/>
      </c>
    </row>
    <row r="785" customFormat="false" ht="15" hidden="false" customHeight="false" outlineLevel="0" collapsed="false">
      <c r="K785" s="4" t="n">
        <f aca="false">IF($J785="Y","",IF($F785="BW",$I785,$H785*$I785))</f>
        <v>0</v>
      </c>
      <c r="L785" s="4" t="str">
        <f aca="false">IF($D785="","",$D785&amp;"|"&amp;$H785)</f>
        <v/>
      </c>
    </row>
    <row r="786" customFormat="false" ht="15" hidden="false" customHeight="false" outlineLevel="0" collapsed="false">
      <c r="K786" s="4" t="n">
        <f aca="false">IF($J786="Y","",IF($F786="BW",$I786,$H786*$I786))</f>
        <v>0</v>
      </c>
      <c r="L786" s="4" t="str">
        <f aca="false">IF($D786="","",$D786&amp;"|"&amp;$H786)</f>
        <v/>
      </c>
    </row>
    <row r="787" customFormat="false" ht="15" hidden="false" customHeight="false" outlineLevel="0" collapsed="false">
      <c r="K787" s="4" t="n">
        <f aca="false">IF($J787="Y","",IF($F787="BW",$I787,$H787*$I787))</f>
        <v>0</v>
      </c>
      <c r="L787" s="4" t="str">
        <f aca="false">IF($D787="","",$D787&amp;"|"&amp;$H787)</f>
        <v/>
      </c>
    </row>
    <row r="788" customFormat="false" ht="15" hidden="false" customHeight="false" outlineLevel="0" collapsed="false">
      <c r="K788" s="4" t="n">
        <f aca="false">IF($J788="Y","",IF($F788="BW",$I788,$H788*$I788))</f>
        <v>0</v>
      </c>
      <c r="L788" s="4" t="str">
        <f aca="false">IF($D788="","",$D788&amp;"|"&amp;$H788)</f>
        <v/>
      </c>
    </row>
    <row r="789" customFormat="false" ht="15" hidden="false" customHeight="false" outlineLevel="0" collapsed="false">
      <c r="K789" s="4" t="n">
        <f aca="false">IF($J789="Y","",IF($F789="BW",$I789,$H789*$I789))</f>
        <v>0</v>
      </c>
      <c r="L789" s="4" t="str">
        <f aca="false">IF($D789="","",$D789&amp;"|"&amp;$H789)</f>
        <v/>
      </c>
    </row>
    <row r="790" customFormat="false" ht="15" hidden="false" customHeight="false" outlineLevel="0" collapsed="false">
      <c r="K790" s="4" t="n">
        <f aca="false">IF($J790="Y","",IF($F790="BW",$I790,$H790*$I790))</f>
        <v>0</v>
      </c>
      <c r="L790" s="4" t="str">
        <f aca="false">IF($D790="","",$D790&amp;"|"&amp;$H790)</f>
        <v/>
      </c>
    </row>
    <row r="791" customFormat="false" ht="15" hidden="false" customHeight="false" outlineLevel="0" collapsed="false">
      <c r="K791" s="4" t="n">
        <f aca="false">IF($J791="Y","",IF($F791="BW",$I791,$H791*$I791))</f>
        <v>0</v>
      </c>
      <c r="L791" s="4" t="str">
        <f aca="false">IF($D791="","",$D791&amp;"|"&amp;$H791)</f>
        <v/>
      </c>
    </row>
    <row r="792" customFormat="false" ht="15" hidden="false" customHeight="false" outlineLevel="0" collapsed="false">
      <c r="K792" s="4" t="n">
        <f aca="false">IF($J792="Y","",IF($F792="BW",$I792,$H792*$I792))</f>
        <v>0</v>
      </c>
      <c r="L792" s="4" t="str">
        <f aca="false">IF($D792="","",$D792&amp;"|"&amp;$H792)</f>
        <v/>
      </c>
    </row>
    <row r="793" customFormat="false" ht="15" hidden="false" customHeight="false" outlineLevel="0" collapsed="false">
      <c r="K793" s="4" t="n">
        <f aca="false">IF($J793="Y","",IF($F793="BW",$I793,$H793*$I793))</f>
        <v>0</v>
      </c>
      <c r="L793" s="4" t="str">
        <f aca="false">IF($D793="","",$D793&amp;"|"&amp;$H793)</f>
        <v/>
      </c>
    </row>
    <row r="794" customFormat="false" ht="15" hidden="false" customHeight="false" outlineLevel="0" collapsed="false">
      <c r="K794" s="4" t="n">
        <f aca="false">IF($J794="Y","",IF($F794="BW",$I794,$H794*$I794))</f>
        <v>0</v>
      </c>
      <c r="L794" s="4" t="str">
        <f aca="false">IF($D794="","",$D794&amp;"|"&amp;$H794)</f>
        <v/>
      </c>
    </row>
    <row r="795" customFormat="false" ht="15" hidden="false" customHeight="false" outlineLevel="0" collapsed="false">
      <c r="K795" s="4" t="n">
        <f aca="false">IF($J795="Y","",IF($F795="BW",$I795,$H795*$I795))</f>
        <v>0</v>
      </c>
      <c r="L795" s="4" t="str">
        <f aca="false">IF($D795="","",$D795&amp;"|"&amp;$H795)</f>
        <v/>
      </c>
    </row>
    <row r="796" customFormat="false" ht="15" hidden="false" customHeight="false" outlineLevel="0" collapsed="false">
      <c r="K796" s="4" t="n">
        <f aca="false">IF($J796="Y","",IF($F796="BW",$I796,$H796*$I796))</f>
        <v>0</v>
      </c>
      <c r="L796" s="4" t="str">
        <f aca="false">IF($D796="","",$D796&amp;"|"&amp;$H796)</f>
        <v/>
      </c>
    </row>
    <row r="797" customFormat="false" ht="15" hidden="false" customHeight="false" outlineLevel="0" collapsed="false">
      <c r="K797" s="4" t="n">
        <f aca="false">IF($J797="Y","",IF($F797="BW",$I797,$H797*$I797))</f>
        <v>0</v>
      </c>
      <c r="L797" s="4" t="str">
        <f aca="false">IF($D797="","",$D797&amp;"|"&amp;$H797)</f>
        <v/>
      </c>
    </row>
    <row r="798" customFormat="false" ht="15" hidden="false" customHeight="false" outlineLevel="0" collapsed="false">
      <c r="K798" s="4" t="n">
        <f aca="false">IF($J798="Y","",IF($F798="BW",$I798,$H798*$I798))</f>
        <v>0</v>
      </c>
      <c r="L798" s="4" t="str">
        <f aca="false">IF($D798="","",$D798&amp;"|"&amp;$H798)</f>
        <v/>
      </c>
    </row>
    <row r="799" customFormat="false" ht="15" hidden="false" customHeight="false" outlineLevel="0" collapsed="false">
      <c r="K799" s="4" t="n">
        <f aca="false">IF($J799="Y","",IF($F799="BW",$I799,$H799*$I799))</f>
        <v>0</v>
      </c>
      <c r="L799" s="4" t="str">
        <f aca="false">IF($D799="","",$D799&amp;"|"&amp;$H799)</f>
        <v/>
      </c>
    </row>
    <row r="800" customFormat="false" ht="15" hidden="false" customHeight="false" outlineLevel="0" collapsed="false">
      <c r="K800" s="4" t="n">
        <f aca="false">IF($J800="Y","",IF($F800="BW",$I800,$H800*$I800))</f>
        <v>0</v>
      </c>
      <c r="L800" s="4" t="str">
        <f aca="false">IF($D800="","",$D800&amp;"|"&amp;$H800)</f>
        <v/>
      </c>
    </row>
    <row r="801" customFormat="false" ht="15" hidden="false" customHeight="false" outlineLevel="0" collapsed="false">
      <c r="K801" s="4" t="n">
        <f aca="false">IF($J801="Y","",IF($F801="BW",$I801,$H801*$I801))</f>
        <v>0</v>
      </c>
      <c r="L801" s="4" t="str">
        <f aca="false">IF($D801="","",$D801&amp;"|"&amp;$H801)</f>
        <v/>
      </c>
    </row>
    <row r="802" customFormat="false" ht="15" hidden="false" customHeight="false" outlineLevel="0" collapsed="false">
      <c r="K802" s="4" t="n">
        <f aca="false">IF($J802="Y","",IF($F802="BW",$I802,$H802*$I802))</f>
        <v>0</v>
      </c>
      <c r="L802" s="4" t="str">
        <f aca="false">IF($D802="","",$D802&amp;"|"&amp;$H802)</f>
        <v/>
      </c>
    </row>
    <row r="803" customFormat="false" ht="15" hidden="false" customHeight="false" outlineLevel="0" collapsed="false">
      <c r="K803" s="4" t="n">
        <f aca="false">IF($J803="Y","",IF($F803="BW",$I803,$H803*$I803))</f>
        <v>0</v>
      </c>
      <c r="L803" s="4" t="str">
        <f aca="false">IF($D803="","",$D803&amp;"|"&amp;$H803)</f>
        <v/>
      </c>
    </row>
    <row r="804" customFormat="false" ht="15" hidden="false" customHeight="false" outlineLevel="0" collapsed="false">
      <c r="K804" s="4" t="n">
        <f aca="false">IF($J804="Y","",IF($F804="BW",$I804,$H804*$I804))</f>
        <v>0</v>
      </c>
      <c r="L804" s="4" t="str">
        <f aca="false">IF($D804="","",$D804&amp;"|"&amp;$H804)</f>
        <v/>
      </c>
    </row>
    <row r="805" customFormat="false" ht="15" hidden="false" customHeight="false" outlineLevel="0" collapsed="false">
      <c r="K805" s="4" t="n">
        <f aca="false">IF($J805="Y","",IF($F805="BW",$I805,$H805*$I805))</f>
        <v>0</v>
      </c>
      <c r="L805" s="4" t="str">
        <f aca="false">IF($D805="","",$D805&amp;"|"&amp;$H805)</f>
        <v/>
      </c>
    </row>
    <row r="806" customFormat="false" ht="15" hidden="false" customHeight="false" outlineLevel="0" collapsed="false">
      <c r="K806" s="4" t="n">
        <f aca="false">IF($J806="Y","",IF($F806="BW",$I806,$H806*$I806))</f>
        <v>0</v>
      </c>
      <c r="L806" s="4" t="str">
        <f aca="false">IF($D806="","",$D806&amp;"|"&amp;$H806)</f>
        <v/>
      </c>
    </row>
    <row r="807" customFormat="false" ht="15" hidden="false" customHeight="false" outlineLevel="0" collapsed="false">
      <c r="K807" s="4" t="n">
        <f aca="false">IF($J807="Y","",IF($F807="BW",$I807,$H807*$I807))</f>
        <v>0</v>
      </c>
      <c r="L807" s="4" t="str">
        <f aca="false">IF($D807="","",$D807&amp;"|"&amp;$H807)</f>
        <v/>
      </c>
    </row>
    <row r="808" customFormat="false" ht="15" hidden="false" customHeight="false" outlineLevel="0" collapsed="false">
      <c r="K808" s="4" t="n">
        <f aca="false">IF($J808="Y","",IF($F808="BW",$I808,$H808*$I808))</f>
        <v>0</v>
      </c>
      <c r="L808" s="4" t="str">
        <f aca="false">IF($D808="","",$D808&amp;"|"&amp;$H808)</f>
        <v/>
      </c>
    </row>
    <row r="809" customFormat="false" ht="15" hidden="false" customHeight="false" outlineLevel="0" collapsed="false">
      <c r="K809" s="4" t="n">
        <f aca="false">IF($J809="Y","",IF($F809="BW",$I809,$H809*$I809))</f>
        <v>0</v>
      </c>
      <c r="L809" s="4" t="str">
        <f aca="false">IF($D809="","",$D809&amp;"|"&amp;$H809)</f>
        <v/>
      </c>
    </row>
    <row r="810" customFormat="false" ht="15" hidden="false" customHeight="false" outlineLevel="0" collapsed="false">
      <c r="K810" s="4" t="n">
        <f aca="false">IF($J810="Y","",IF($F810="BW",$I810,$H810*$I810))</f>
        <v>0</v>
      </c>
      <c r="L810" s="4" t="str">
        <f aca="false">IF($D810="","",$D810&amp;"|"&amp;$H810)</f>
        <v/>
      </c>
    </row>
    <row r="811" customFormat="false" ht="15" hidden="false" customHeight="false" outlineLevel="0" collapsed="false">
      <c r="K811" s="4" t="n">
        <f aca="false">IF($J811="Y","",IF($F811="BW",$I811,$H811*$I811))</f>
        <v>0</v>
      </c>
      <c r="L811" s="4" t="str">
        <f aca="false">IF($D811="","",$D811&amp;"|"&amp;$H811)</f>
        <v/>
      </c>
    </row>
    <row r="812" customFormat="false" ht="15" hidden="false" customHeight="false" outlineLevel="0" collapsed="false">
      <c r="K812" s="4" t="n">
        <f aca="false">IF($J812="Y","",IF($F812="BW",$I812,$H812*$I812))</f>
        <v>0</v>
      </c>
      <c r="L812" s="4" t="str">
        <f aca="false">IF($D812="","",$D812&amp;"|"&amp;$H812)</f>
        <v/>
      </c>
    </row>
    <row r="813" customFormat="false" ht="15" hidden="false" customHeight="false" outlineLevel="0" collapsed="false">
      <c r="K813" s="4" t="n">
        <f aca="false">IF($J813="Y","",IF($F813="BW",$I813,$H813*$I813))</f>
        <v>0</v>
      </c>
      <c r="L813" s="4" t="str">
        <f aca="false">IF($D813="","",$D813&amp;"|"&amp;$H813)</f>
        <v/>
      </c>
    </row>
    <row r="814" customFormat="false" ht="15" hidden="false" customHeight="false" outlineLevel="0" collapsed="false">
      <c r="K814" s="4" t="n">
        <f aca="false">IF($J814="Y","",IF($F814="BW",$I814,$H814*$I814))</f>
        <v>0</v>
      </c>
      <c r="L814" s="4" t="str">
        <f aca="false">IF($D814="","",$D814&amp;"|"&amp;$H814)</f>
        <v/>
      </c>
    </row>
    <row r="815" customFormat="false" ht="15" hidden="false" customHeight="false" outlineLevel="0" collapsed="false">
      <c r="K815" s="4" t="n">
        <f aca="false">IF($J815="Y","",IF($F815="BW",$I815,$H815*$I815))</f>
        <v>0</v>
      </c>
      <c r="L815" s="4" t="str">
        <f aca="false">IF($D815="","",$D815&amp;"|"&amp;$H815)</f>
        <v/>
      </c>
    </row>
    <row r="816" customFormat="false" ht="15" hidden="false" customHeight="false" outlineLevel="0" collapsed="false">
      <c r="K816" s="4" t="n">
        <f aca="false">IF($J816="Y","",IF($F816="BW",$I816,$H816*$I816))</f>
        <v>0</v>
      </c>
      <c r="L816" s="4" t="str">
        <f aca="false">IF($D816="","",$D816&amp;"|"&amp;$H816)</f>
        <v/>
      </c>
    </row>
    <row r="817" customFormat="false" ht="15" hidden="false" customHeight="false" outlineLevel="0" collapsed="false">
      <c r="K817" s="4" t="n">
        <f aca="false">IF($J817="Y","",IF($F817="BW",$I817,$H817*$I817))</f>
        <v>0</v>
      </c>
      <c r="L817" s="4" t="str">
        <f aca="false">IF($D817="","",$D817&amp;"|"&amp;$H817)</f>
        <v/>
      </c>
    </row>
    <row r="818" customFormat="false" ht="15" hidden="false" customHeight="false" outlineLevel="0" collapsed="false">
      <c r="K818" s="4" t="n">
        <f aca="false">IF($J818="Y","",IF($F818="BW",$I818,$H818*$I818))</f>
        <v>0</v>
      </c>
      <c r="L818" s="4" t="str">
        <f aca="false">IF($D818="","",$D818&amp;"|"&amp;$H818)</f>
        <v/>
      </c>
    </row>
    <row r="819" customFormat="false" ht="15" hidden="false" customHeight="false" outlineLevel="0" collapsed="false">
      <c r="K819" s="4" t="n">
        <f aca="false">IF($J819="Y","",IF($F819="BW",$I819,$H819*$I819))</f>
        <v>0</v>
      </c>
      <c r="L819" s="4" t="str">
        <f aca="false">IF($D819="","",$D819&amp;"|"&amp;$H819)</f>
        <v/>
      </c>
    </row>
    <row r="820" customFormat="false" ht="15" hidden="false" customHeight="false" outlineLevel="0" collapsed="false">
      <c r="K820" s="4" t="n">
        <f aca="false">IF($J820="Y","",IF($F820="BW",$I820,$H820*$I820))</f>
        <v>0</v>
      </c>
      <c r="L820" s="4" t="str">
        <f aca="false">IF($D820="","",$D820&amp;"|"&amp;$H820)</f>
        <v/>
      </c>
    </row>
    <row r="821" customFormat="false" ht="15" hidden="false" customHeight="false" outlineLevel="0" collapsed="false">
      <c r="K821" s="4" t="n">
        <f aca="false">IF($J821="Y","",IF($F821="BW",$I821,$H821*$I821))</f>
        <v>0</v>
      </c>
      <c r="L821" s="4" t="str">
        <f aca="false">IF($D821="","",$D821&amp;"|"&amp;$H821)</f>
        <v/>
      </c>
    </row>
    <row r="822" customFormat="false" ht="15" hidden="false" customHeight="false" outlineLevel="0" collapsed="false">
      <c r="K822" s="4" t="n">
        <f aca="false">IF($J822="Y","",IF($F822="BW",$I822,$H822*$I822))</f>
        <v>0</v>
      </c>
      <c r="L822" s="4" t="str">
        <f aca="false">IF($D822="","",$D822&amp;"|"&amp;$H822)</f>
        <v/>
      </c>
    </row>
    <row r="823" customFormat="false" ht="15" hidden="false" customHeight="false" outlineLevel="0" collapsed="false">
      <c r="K823" s="4" t="n">
        <f aca="false">IF($J823="Y","",IF($F823="BW",$I823,$H823*$I823))</f>
        <v>0</v>
      </c>
      <c r="L823" s="4" t="str">
        <f aca="false">IF($D823="","",$D823&amp;"|"&amp;$H823)</f>
        <v/>
      </c>
    </row>
    <row r="824" customFormat="false" ht="15" hidden="false" customHeight="false" outlineLevel="0" collapsed="false">
      <c r="K824" s="4" t="n">
        <f aca="false">IF($J824="Y","",IF($F824="BW",$I824,$H824*$I824))</f>
        <v>0</v>
      </c>
      <c r="L824" s="4" t="str">
        <f aca="false">IF($D824="","",$D824&amp;"|"&amp;$H824)</f>
        <v/>
      </c>
    </row>
    <row r="825" customFormat="false" ht="15" hidden="false" customHeight="false" outlineLevel="0" collapsed="false">
      <c r="K825" s="4" t="n">
        <f aca="false">IF($J825="Y","",IF($F825="BW",$I825,$H825*$I825))</f>
        <v>0</v>
      </c>
      <c r="L825" s="4" t="str">
        <f aca="false">IF($D825="","",$D825&amp;"|"&amp;$H825)</f>
        <v/>
      </c>
    </row>
    <row r="826" customFormat="false" ht="15" hidden="false" customHeight="false" outlineLevel="0" collapsed="false">
      <c r="K826" s="4" t="n">
        <f aca="false">IF($J826="Y","",IF($F826="BW",$I826,$H826*$I826))</f>
        <v>0</v>
      </c>
      <c r="L826" s="4" t="str">
        <f aca="false">IF($D826="","",$D826&amp;"|"&amp;$H826)</f>
        <v/>
      </c>
    </row>
    <row r="827" customFormat="false" ht="15" hidden="false" customHeight="false" outlineLevel="0" collapsed="false">
      <c r="K827" s="4" t="n">
        <f aca="false">IF($J827="Y","",IF($F827="BW",$I827,$H827*$I827))</f>
        <v>0</v>
      </c>
      <c r="L827" s="4" t="str">
        <f aca="false">IF($D827="","",$D827&amp;"|"&amp;$H827)</f>
        <v/>
      </c>
    </row>
    <row r="828" customFormat="false" ht="15" hidden="false" customHeight="false" outlineLevel="0" collapsed="false">
      <c r="K828" s="4" t="n">
        <f aca="false">IF($J828="Y","",IF($F828="BW",$I828,$H828*$I828))</f>
        <v>0</v>
      </c>
      <c r="L828" s="4" t="str">
        <f aca="false">IF($D828="","",$D828&amp;"|"&amp;$H828)</f>
        <v/>
      </c>
    </row>
    <row r="829" customFormat="false" ht="15" hidden="false" customHeight="false" outlineLevel="0" collapsed="false">
      <c r="K829" s="4" t="n">
        <f aca="false">IF($J829="Y","",IF($F829="BW",$I829,$H829*$I829))</f>
        <v>0</v>
      </c>
      <c r="L829" s="4" t="str">
        <f aca="false">IF($D829="","",$D829&amp;"|"&amp;$H829)</f>
        <v/>
      </c>
    </row>
    <row r="830" customFormat="false" ht="15" hidden="false" customHeight="false" outlineLevel="0" collapsed="false">
      <c r="K830" s="4" t="n">
        <f aca="false">IF($J830="Y","",IF($F830="BW",$I830,$H830*$I830))</f>
        <v>0</v>
      </c>
      <c r="L830" s="4" t="str">
        <f aca="false">IF($D830="","",$D830&amp;"|"&amp;$H830)</f>
        <v/>
      </c>
    </row>
    <row r="831" customFormat="false" ht="15" hidden="false" customHeight="false" outlineLevel="0" collapsed="false">
      <c r="K831" s="4" t="n">
        <f aca="false">IF($J831="Y","",IF($F831="BW",$I831,$H831*$I831))</f>
        <v>0</v>
      </c>
      <c r="L831" s="4" t="str">
        <f aca="false">IF($D831="","",$D831&amp;"|"&amp;$H831)</f>
        <v/>
      </c>
    </row>
    <row r="832" customFormat="false" ht="15" hidden="false" customHeight="false" outlineLevel="0" collapsed="false">
      <c r="K832" s="4" t="n">
        <f aca="false">IF($J832="Y","",IF($F832="BW",$I832,$H832*$I832))</f>
        <v>0</v>
      </c>
      <c r="L832" s="4" t="str">
        <f aca="false">IF($D832="","",$D832&amp;"|"&amp;$H832)</f>
        <v/>
      </c>
    </row>
    <row r="833" customFormat="false" ht="15" hidden="false" customHeight="false" outlineLevel="0" collapsed="false">
      <c r="K833" s="4" t="n">
        <f aca="false">IF($J833="Y","",IF($F833="BW",$I833,$H833*$I833))</f>
        <v>0</v>
      </c>
      <c r="L833" s="4" t="str">
        <f aca="false">IF($D833="","",$D833&amp;"|"&amp;$H833)</f>
        <v/>
      </c>
    </row>
    <row r="834" customFormat="false" ht="15" hidden="false" customHeight="false" outlineLevel="0" collapsed="false">
      <c r="K834" s="4" t="n">
        <f aca="false">IF($J834="Y","",IF($F834="BW",$I834,$H834*$I834))</f>
        <v>0</v>
      </c>
      <c r="L834" s="4" t="str">
        <f aca="false">IF($D834="","",$D834&amp;"|"&amp;$H834)</f>
        <v/>
      </c>
    </row>
    <row r="835" customFormat="false" ht="15" hidden="false" customHeight="false" outlineLevel="0" collapsed="false">
      <c r="K835" s="4" t="n">
        <f aca="false">IF($J835="Y","",IF($F835="BW",$I835,$H835*$I835))</f>
        <v>0</v>
      </c>
      <c r="L835" s="4" t="str">
        <f aca="false">IF($D835="","",$D835&amp;"|"&amp;$H835)</f>
        <v/>
      </c>
    </row>
    <row r="836" customFormat="false" ht="15" hidden="false" customHeight="false" outlineLevel="0" collapsed="false">
      <c r="K836" s="4" t="n">
        <f aca="false">IF($J836="Y","",IF($F836="BW",$I836,$H836*$I836))</f>
        <v>0</v>
      </c>
      <c r="L836" s="4" t="str">
        <f aca="false">IF($D836="","",$D836&amp;"|"&amp;$H836)</f>
        <v/>
      </c>
    </row>
    <row r="837" customFormat="false" ht="15" hidden="false" customHeight="false" outlineLevel="0" collapsed="false">
      <c r="K837" s="4" t="n">
        <f aca="false">IF($J837="Y","",IF($F837="BW",$I837,$H837*$I837))</f>
        <v>0</v>
      </c>
      <c r="L837" s="4" t="str">
        <f aca="false">IF($D837="","",$D837&amp;"|"&amp;$H837)</f>
        <v/>
      </c>
    </row>
    <row r="838" customFormat="false" ht="15" hidden="false" customHeight="false" outlineLevel="0" collapsed="false">
      <c r="K838" s="4" t="n">
        <f aca="false">IF($J838="Y","",IF($F838="BW",$I838,$H838*$I838))</f>
        <v>0</v>
      </c>
      <c r="L838" s="4" t="str">
        <f aca="false">IF($D838="","",$D838&amp;"|"&amp;$H838)</f>
        <v/>
      </c>
    </row>
    <row r="839" customFormat="false" ht="15" hidden="false" customHeight="false" outlineLevel="0" collapsed="false">
      <c r="K839" s="4" t="n">
        <f aca="false">IF($J839="Y","",IF($F839="BW",$I839,$H839*$I839))</f>
        <v>0</v>
      </c>
      <c r="L839" s="4" t="str">
        <f aca="false">IF($D839="","",$D839&amp;"|"&amp;$H839)</f>
        <v/>
      </c>
    </row>
    <row r="840" customFormat="false" ht="15" hidden="false" customHeight="false" outlineLevel="0" collapsed="false">
      <c r="K840" s="4" t="n">
        <f aca="false">IF($J840="Y","",IF($F840="BW",$I840,$H840*$I840))</f>
        <v>0</v>
      </c>
      <c r="L840" s="4" t="str">
        <f aca="false">IF($D840="","",$D840&amp;"|"&amp;$H840)</f>
        <v/>
      </c>
    </row>
    <row r="841" customFormat="false" ht="15" hidden="false" customHeight="false" outlineLevel="0" collapsed="false">
      <c r="K841" s="4" t="n">
        <f aca="false">IF($J841="Y","",IF($F841="BW",$I841,$H841*$I841))</f>
        <v>0</v>
      </c>
      <c r="L841" s="4" t="str">
        <f aca="false">IF($D841="","",$D841&amp;"|"&amp;$H841)</f>
        <v/>
      </c>
    </row>
    <row r="842" customFormat="false" ht="15" hidden="false" customHeight="false" outlineLevel="0" collapsed="false">
      <c r="K842" s="4" t="n">
        <f aca="false">IF($J842="Y","",IF($F842="BW",$I842,$H842*$I842))</f>
        <v>0</v>
      </c>
      <c r="L842" s="4" t="str">
        <f aca="false">IF($D842="","",$D842&amp;"|"&amp;$H842)</f>
        <v/>
      </c>
    </row>
    <row r="843" customFormat="false" ht="15" hidden="false" customHeight="false" outlineLevel="0" collapsed="false">
      <c r="K843" s="4" t="n">
        <f aca="false">IF($J843="Y","",IF($F843="BW",$I843,$H843*$I843))</f>
        <v>0</v>
      </c>
      <c r="L843" s="4" t="str">
        <f aca="false">IF($D843="","",$D843&amp;"|"&amp;$H843)</f>
        <v/>
      </c>
    </row>
    <row r="844" customFormat="false" ht="15" hidden="false" customHeight="false" outlineLevel="0" collapsed="false">
      <c r="K844" s="4" t="n">
        <f aca="false">IF($J844="Y","",IF($F844="BW",$I844,$H844*$I844))</f>
        <v>0</v>
      </c>
      <c r="L844" s="4" t="str">
        <f aca="false">IF($D844="","",$D844&amp;"|"&amp;$H844)</f>
        <v/>
      </c>
    </row>
    <row r="845" customFormat="false" ht="15" hidden="false" customHeight="false" outlineLevel="0" collapsed="false">
      <c r="K845" s="4" t="n">
        <f aca="false">IF($J845="Y","",IF($F845="BW",$I845,$H845*$I845))</f>
        <v>0</v>
      </c>
      <c r="L845" s="4" t="str">
        <f aca="false">IF($D845="","",$D845&amp;"|"&amp;$H845)</f>
        <v/>
      </c>
    </row>
    <row r="846" customFormat="false" ht="15" hidden="false" customHeight="false" outlineLevel="0" collapsed="false">
      <c r="K846" s="4" t="n">
        <f aca="false">IF($J846="Y","",IF($F846="BW",$I846,$H846*$I846))</f>
        <v>0</v>
      </c>
      <c r="L846" s="4" t="str">
        <f aca="false">IF($D846="","",$D846&amp;"|"&amp;$H846)</f>
        <v/>
      </c>
    </row>
    <row r="847" customFormat="false" ht="15" hidden="false" customHeight="false" outlineLevel="0" collapsed="false">
      <c r="K847" s="4" t="n">
        <f aca="false">IF($J847="Y","",IF($F847="BW",$I847,$H847*$I847))</f>
        <v>0</v>
      </c>
      <c r="L847" s="4" t="str">
        <f aca="false">IF($D847="","",$D847&amp;"|"&amp;$H847)</f>
        <v/>
      </c>
    </row>
    <row r="848" customFormat="false" ht="15" hidden="false" customHeight="false" outlineLevel="0" collapsed="false">
      <c r="K848" s="4" t="n">
        <f aca="false">IF($J848="Y","",IF($F848="BW",$I848,$H848*$I848))</f>
        <v>0</v>
      </c>
      <c r="L848" s="4" t="str">
        <f aca="false">IF($D848="","",$D848&amp;"|"&amp;$H848)</f>
        <v/>
      </c>
    </row>
    <row r="849" customFormat="false" ht="15" hidden="false" customHeight="false" outlineLevel="0" collapsed="false">
      <c r="K849" s="4" t="n">
        <f aca="false">IF($J849="Y","",IF($F849="BW",$I849,$H849*$I849))</f>
        <v>0</v>
      </c>
      <c r="L849" s="4" t="str">
        <f aca="false">IF($D849="","",$D849&amp;"|"&amp;$H849)</f>
        <v/>
      </c>
    </row>
    <row r="850" customFormat="false" ht="15" hidden="false" customHeight="false" outlineLevel="0" collapsed="false">
      <c r="K850" s="4" t="n">
        <f aca="false">IF($J850="Y","",IF($F850="BW",$I850,$H850*$I850))</f>
        <v>0</v>
      </c>
      <c r="L850" s="4" t="str">
        <f aca="false">IF($D850="","",$D850&amp;"|"&amp;$H850)</f>
        <v/>
      </c>
    </row>
    <row r="851" customFormat="false" ht="15" hidden="false" customHeight="false" outlineLevel="0" collapsed="false">
      <c r="K851" s="4" t="n">
        <f aca="false">IF($J851="Y","",IF($F851="BW",$I851,$H851*$I851))</f>
        <v>0</v>
      </c>
      <c r="L851" s="4" t="str">
        <f aca="false">IF($D851="","",$D851&amp;"|"&amp;$H851)</f>
        <v/>
      </c>
    </row>
    <row r="852" customFormat="false" ht="15" hidden="false" customHeight="false" outlineLevel="0" collapsed="false">
      <c r="K852" s="4" t="n">
        <f aca="false">IF($J852="Y","",IF($F852="BW",$I852,$H852*$I852))</f>
        <v>0</v>
      </c>
      <c r="L852" s="4" t="str">
        <f aca="false">IF($D852="","",$D852&amp;"|"&amp;$H852)</f>
        <v/>
      </c>
    </row>
    <row r="853" customFormat="false" ht="15" hidden="false" customHeight="false" outlineLevel="0" collapsed="false">
      <c r="K853" s="4" t="n">
        <f aca="false">IF($J853="Y","",IF($F853="BW",$I853,$H853*$I853))</f>
        <v>0</v>
      </c>
      <c r="L853" s="4" t="str">
        <f aca="false">IF($D853="","",$D853&amp;"|"&amp;$H853)</f>
        <v/>
      </c>
    </row>
    <row r="854" customFormat="false" ht="15" hidden="false" customHeight="false" outlineLevel="0" collapsed="false">
      <c r="K854" s="4" t="n">
        <f aca="false">IF($J854="Y","",IF($F854="BW",$I854,$H854*$I854))</f>
        <v>0</v>
      </c>
      <c r="L854" s="4" t="str">
        <f aca="false">IF($D854="","",$D854&amp;"|"&amp;$H854)</f>
        <v/>
      </c>
    </row>
    <row r="855" customFormat="false" ht="15" hidden="false" customHeight="false" outlineLevel="0" collapsed="false">
      <c r="K855" s="4" t="n">
        <f aca="false">IF($J855="Y","",IF($F855="BW",$I855,$H855*$I855))</f>
        <v>0</v>
      </c>
      <c r="L855" s="4" t="str">
        <f aca="false">IF($D855="","",$D855&amp;"|"&amp;$H855)</f>
        <v/>
      </c>
    </row>
    <row r="856" customFormat="false" ht="15" hidden="false" customHeight="false" outlineLevel="0" collapsed="false">
      <c r="K856" s="4" t="n">
        <f aca="false">IF($J856="Y","",IF($F856="BW",$I856,$H856*$I856))</f>
        <v>0</v>
      </c>
      <c r="L856" s="4" t="str">
        <f aca="false">IF($D856="","",$D856&amp;"|"&amp;$H856)</f>
        <v/>
      </c>
    </row>
    <row r="857" customFormat="false" ht="15" hidden="false" customHeight="false" outlineLevel="0" collapsed="false">
      <c r="K857" s="4" t="n">
        <f aca="false">IF($J857="Y","",IF($F857="BW",$I857,$H857*$I857))</f>
        <v>0</v>
      </c>
      <c r="L857" s="4" t="str">
        <f aca="false">IF($D857="","",$D857&amp;"|"&amp;$H857)</f>
        <v/>
      </c>
    </row>
    <row r="858" customFormat="false" ht="15" hidden="false" customHeight="false" outlineLevel="0" collapsed="false">
      <c r="K858" s="4" t="n">
        <f aca="false">IF($J858="Y","",IF($F858="BW",$I858,$H858*$I858))</f>
        <v>0</v>
      </c>
      <c r="L858" s="4" t="str">
        <f aca="false">IF($D858="","",$D858&amp;"|"&amp;$H858)</f>
        <v/>
      </c>
    </row>
    <row r="859" customFormat="false" ht="15" hidden="false" customHeight="false" outlineLevel="0" collapsed="false">
      <c r="K859" s="4" t="n">
        <f aca="false">IF($J859="Y","",IF($F859="BW",$I859,$H859*$I859))</f>
        <v>0</v>
      </c>
      <c r="L859" s="4" t="str">
        <f aca="false">IF($D859="","",$D859&amp;"|"&amp;$H859)</f>
        <v/>
      </c>
    </row>
    <row r="860" customFormat="false" ht="15" hidden="false" customHeight="false" outlineLevel="0" collapsed="false">
      <c r="K860" s="4" t="n">
        <f aca="false">IF($J860="Y","",IF($F860="BW",$I860,$H860*$I860))</f>
        <v>0</v>
      </c>
      <c r="L860" s="4" t="str">
        <f aca="false">IF($D860="","",$D860&amp;"|"&amp;$H860)</f>
        <v/>
      </c>
    </row>
    <row r="861" customFormat="false" ht="15" hidden="false" customHeight="false" outlineLevel="0" collapsed="false">
      <c r="K861" s="4" t="n">
        <f aca="false">IF($J861="Y","",IF($F861="BW",$I861,$H861*$I861))</f>
        <v>0</v>
      </c>
      <c r="L861" s="4" t="str">
        <f aca="false">IF($D861="","",$D861&amp;"|"&amp;$H861)</f>
        <v/>
      </c>
    </row>
    <row r="862" customFormat="false" ht="15" hidden="false" customHeight="false" outlineLevel="0" collapsed="false">
      <c r="K862" s="4" t="n">
        <f aca="false">IF($J862="Y","",IF($F862="BW",$I862,$H862*$I862))</f>
        <v>0</v>
      </c>
      <c r="L862" s="4" t="str">
        <f aca="false">IF($D862="","",$D862&amp;"|"&amp;$H862)</f>
        <v/>
      </c>
    </row>
    <row r="863" customFormat="false" ht="15" hidden="false" customHeight="false" outlineLevel="0" collapsed="false">
      <c r="K863" s="4" t="n">
        <f aca="false">IF($J863="Y","",IF($F863="BW",$I863,$H863*$I863))</f>
        <v>0</v>
      </c>
      <c r="L863" s="4" t="str">
        <f aca="false">IF($D863="","",$D863&amp;"|"&amp;$H863)</f>
        <v/>
      </c>
    </row>
    <row r="864" customFormat="false" ht="15" hidden="false" customHeight="false" outlineLevel="0" collapsed="false">
      <c r="K864" s="4" t="n">
        <f aca="false">IF($J864="Y","",IF($F864="BW",$I864,$H864*$I864))</f>
        <v>0</v>
      </c>
      <c r="L864" s="4" t="str">
        <f aca="false">IF($D864="","",$D864&amp;"|"&amp;$H864)</f>
        <v/>
      </c>
    </row>
    <row r="865" customFormat="false" ht="15" hidden="false" customHeight="false" outlineLevel="0" collapsed="false">
      <c r="K865" s="4" t="n">
        <f aca="false">IF($J865="Y","",IF($F865="BW",$I865,$H865*$I865))</f>
        <v>0</v>
      </c>
      <c r="L865" s="4" t="str">
        <f aca="false">IF($D865="","",$D865&amp;"|"&amp;$H865)</f>
        <v/>
      </c>
    </row>
    <row r="866" customFormat="false" ht="15" hidden="false" customHeight="false" outlineLevel="0" collapsed="false">
      <c r="K866" s="4" t="n">
        <f aca="false">IF($J866="Y","",IF($F866="BW",$I866,$H866*$I866))</f>
        <v>0</v>
      </c>
      <c r="L866" s="4" t="str">
        <f aca="false">IF($D866="","",$D866&amp;"|"&amp;$H866)</f>
        <v/>
      </c>
    </row>
    <row r="867" customFormat="false" ht="15" hidden="false" customHeight="false" outlineLevel="0" collapsed="false">
      <c r="K867" s="4" t="n">
        <f aca="false">IF($J867="Y","",IF($F867="BW",$I867,$H867*$I867))</f>
        <v>0</v>
      </c>
      <c r="L867" s="4" t="str">
        <f aca="false">IF($D867="","",$D867&amp;"|"&amp;$H867)</f>
        <v/>
      </c>
    </row>
    <row r="868" customFormat="false" ht="15" hidden="false" customHeight="false" outlineLevel="0" collapsed="false">
      <c r="K868" s="4" t="n">
        <f aca="false">IF($J868="Y","",IF($F868="BW",$I868,$H868*$I868))</f>
        <v>0</v>
      </c>
      <c r="L868" s="4" t="str">
        <f aca="false">IF($D868="","",$D868&amp;"|"&amp;$H868)</f>
        <v/>
      </c>
    </row>
    <row r="869" customFormat="false" ht="15" hidden="false" customHeight="false" outlineLevel="0" collapsed="false">
      <c r="K869" s="4" t="n">
        <f aca="false">IF($J869="Y","",IF($F869="BW",$I869,$H869*$I869))</f>
        <v>0</v>
      </c>
      <c r="L869" s="4" t="str">
        <f aca="false">IF($D869="","",$D869&amp;"|"&amp;$H869)</f>
        <v/>
      </c>
    </row>
    <row r="870" customFormat="false" ht="15" hidden="false" customHeight="false" outlineLevel="0" collapsed="false">
      <c r="K870" s="4" t="n">
        <f aca="false">IF($J870="Y","",IF($F870="BW",$I870,$H870*$I870))</f>
        <v>0</v>
      </c>
      <c r="L870" s="4" t="str">
        <f aca="false">IF($D870="","",$D870&amp;"|"&amp;$H870)</f>
        <v/>
      </c>
    </row>
    <row r="871" customFormat="false" ht="15" hidden="false" customHeight="false" outlineLevel="0" collapsed="false">
      <c r="K871" s="4" t="n">
        <f aca="false">IF($J871="Y","",IF($F871="BW",$I871,$H871*$I871))</f>
        <v>0</v>
      </c>
      <c r="L871" s="4" t="str">
        <f aca="false">IF($D871="","",$D871&amp;"|"&amp;$H871)</f>
        <v/>
      </c>
    </row>
    <row r="872" customFormat="false" ht="15" hidden="false" customHeight="false" outlineLevel="0" collapsed="false">
      <c r="K872" s="4" t="n">
        <f aca="false">IF($J872="Y","",IF($F872="BW",$I872,$H872*$I872))</f>
        <v>0</v>
      </c>
      <c r="L872" s="4" t="str">
        <f aca="false">IF($D872="","",$D872&amp;"|"&amp;$H872)</f>
        <v/>
      </c>
    </row>
    <row r="873" customFormat="false" ht="15" hidden="false" customHeight="false" outlineLevel="0" collapsed="false">
      <c r="K873" s="4" t="n">
        <f aca="false">IF($J873="Y","",IF($F873="BW",$I873,$H873*$I873))</f>
        <v>0</v>
      </c>
      <c r="L873" s="4" t="str">
        <f aca="false">IF($D873="","",$D873&amp;"|"&amp;$H873)</f>
        <v/>
      </c>
    </row>
    <row r="874" customFormat="false" ht="15" hidden="false" customHeight="false" outlineLevel="0" collapsed="false">
      <c r="K874" s="4" t="n">
        <f aca="false">IF($J874="Y","",IF($F874="BW",$I874,$H874*$I874))</f>
        <v>0</v>
      </c>
      <c r="L874" s="4" t="str">
        <f aca="false">IF($D874="","",$D874&amp;"|"&amp;$H874)</f>
        <v/>
      </c>
    </row>
    <row r="875" customFormat="false" ht="15" hidden="false" customHeight="false" outlineLevel="0" collapsed="false">
      <c r="K875" s="4" t="n">
        <f aca="false">IF($J875="Y","",IF($F875="BW",$I875,$H875*$I875))</f>
        <v>0</v>
      </c>
      <c r="L875" s="4" t="str">
        <f aca="false">IF($D875="","",$D875&amp;"|"&amp;$H875)</f>
        <v/>
      </c>
    </row>
    <row r="876" customFormat="false" ht="15" hidden="false" customHeight="false" outlineLevel="0" collapsed="false">
      <c r="K876" s="4" t="n">
        <f aca="false">IF($J876="Y","",IF($F876="BW",$I876,$H876*$I876))</f>
        <v>0</v>
      </c>
      <c r="L876" s="4" t="str">
        <f aca="false">IF($D876="","",$D876&amp;"|"&amp;$H876)</f>
        <v/>
      </c>
    </row>
    <row r="877" customFormat="false" ht="15" hidden="false" customHeight="false" outlineLevel="0" collapsed="false">
      <c r="K877" s="4" t="n">
        <f aca="false">IF($J877="Y","",IF($F877="BW",$I877,$H877*$I877))</f>
        <v>0</v>
      </c>
      <c r="L877" s="4" t="str">
        <f aca="false">IF($D877="","",$D877&amp;"|"&amp;$H877)</f>
        <v/>
      </c>
    </row>
    <row r="878" customFormat="false" ht="15" hidden="false" customHeight="false" outlineLevel="0" collapsed="false">
      <c r="K878" s="4" t="n">
        <f aca="false">IF($J878="Y","",IF($F878="BW",$I878,$H878*$I878))</f>
        <v>0</v>
      </c>
      <c r="L878" s="4" t="str">
        <f aca="false">IF($D878="","",$D878&amp;"|"&amp;$H878)</f>
        <v/>
      </c>
    </row>
    <row r="879" customFormat="false" ht="15" hidden="false" customHeight="false" outlineLevel="0" collapsed="false">
      <c r="K879" s="4" t="n">
        <f aca="false">IF($J879="Y","",IF($F879="BW",$I879,$H879*$I879))</f>
        <v>0</v>
      </c>
      <c r="L879" s="4" t="str">
        <f aca="false">IF($D879="","",$D879&amp;"|"&amp;$H879)</f>
        <v/>
      </c>
    </row>
    <row r="880" customFormat="false" ht="15" hidden="false" customHeight="false" outlineLevel="0" collapsed="false">
      <c r="K880" s="4" t="n">
        <f aca="false">IF($J880="Y","",IF($F880="BW",$I880,$H880*$I880))</f>
        <v>0</v>
      </c>
      <c r="L880" s="4" t="str">
        <f aca="false">IF($D880="","",$D880&amp;"|"&amp;$H880)</f>
        <v/>
      </c>
    </row>
    <row r="881" customFormat="false" ht="15" hidden="false" customHeight="false" outlineLevel="0" collapsed="false">
      <c r="K881" s="4" t="n">
        <f aca="false">IF($J881="Y","",IF($F881="BW",$I881,$H881*$I881))</f>
        <v>0</v>
      </c>
      <c r="L881" s="4" t="str">
        <f aca="false">IF($D881="","",$D881&amp;"|"&amp;$H881)</f>
        <v/>
      </c>
    </row>
    <row r="882" customFormat="false" ht="15" hidden="false" customHeight="false" outlineLevel="0" collapsed="false">
      <c r="K882" s="4" t="n">
        <f aca="false">IF($J882="Y","",IF($F882="BW",$I882,$H882*$I882))</f>
        <v>0</v>
      </c>
      <c r="L882" s="4" t="str">
        <f aca="false">IF($D882="","",$D882&amp;"|"&amp;$H882)</f>
        <v/>
      </c>
    </row>
    <row r="883" customFormat="false" ht="15" hidden="false" customHeight="false" outlineLevel="0" collapsed="false">
      <c r="K883" s="4" t="n">
        <f aca="false">IF($J883="Y","",IF($F883="BW",$I883,$H883*$I883))</f>
        <v>0</v>
      </c>
      <c r="L883" s="4" t="str">
        <f aca="false">IF($D883="","",$D883&amp;"|"&amp;$H883)</f>
        <v/>
      </c>
    </row>
    <row r="884" customFormat="false" ht="15" hidden="false" customHeight="false" outlineLevel="0" collapsed="false">
      <c r="K884" s="4" t="n">
        <f aca="false">IF($J884="Y","",IF($F884="BW",$I884,$H884*$I884))</f>
        <v>0</v>
      </c>
      <c r="L884" s="4" t="str">
        <f aca="false">IF($D884="","",$D884&amp;"|"&amp;$H884)</f>
        <v/>
      </c>
    </row>
    <row r="885" customFormat="false" ht="15" hidden="false" customHeight="false" outlineLevel="0" collapsed="false">
      <c r="K885" s="4" t="n">
        <f aca="false">IF($J885="Y","",IF($F885="BW",$I885,$H885*$I885))</f>
        <v>0</v>
      </c>
      <c r="L885" s="4" t="str">
        <f aca="false">IF($D885="","",$D885&amp;"|"&amp;$H885)</f>
        <v/>
      </c>
    </row>
    <row r="886" customFormat="false" ht="15" hidden="false" customHeight="false" outlineLevel="0" collapsed="false">
      <c r="K886" s="4" t="n">
        <f aca="false">IF($J886="Y","",IF($F886="BW",$I886,$H886*$I886))</f>
        <v>0</v>
      </c>
      <c r="L886" s="4" t="str">
        <f aca="false">IF($D886="","",$D886&amp;"|"&amp;$H886)</f>
        <v/>
      </c>
    </row>
    <row r="887" customFormat="false" ht="15" hidden="false" customHeight="false" outlineLevel="0" collapsed="false">
      <c r="K887" s="4" t="n">
        <f aca="false">IF($J887="Y","",IF($F887="BW",$I887,$H887*$I887))</f>
        <v>0</v>
      </c>
      <c r="L887" s="4" t="str">
        <f aca="false">IF($D887="","",$D887&amp;"|"&amp;$H887)</f>
        <v/>
      </c>
    </row>
    <row r="888" customFormat="false" ht="15" hidden="false" customHeight="false" outlineLevel="0" collapsed="false">
      <c r="K888" s="4" t="n">
        <f aca="false">IF($J888="Y","",IF($F888="BW",$I888,$H888*$I888))</f>
        <v>0</v>
      </c>
      <c r="L888" s="4" t="str">
        <f aca="false">IF($D888="","",$D888&amp;"|"&amp;$H888)</f>
        <v/>
      </c>
    </row>
    <row r="889" customFormat="false" ht="15" hidden="false" customHeight="false" outlineLevel="0" collapsed="false">
      <c r="K889" s="4" t="n">
        <f aca="false">IF($J889="Y","",IF($F889="BW",$I889,$H889*$I889))</f>
        <v>0</v>
      </c>
      <c r="L889" s="4" t="str">
        <f aca="false">IF($D889="","",$D889&amp;"|"&amp;$H889)</f>
        <v/>
      </c>
    </row>
    <row r="890" customFormat="false" ht="15" hidden="false" customHeight="false" outlineLevel="0" collapsed="false">
      <c r="K890" s="4" t="n">
        <f aca="false">IF($J890="Y","",IF($F890="BW",$I890,$H890*$I890))</f>
        <v>0</v>
      </c>
      <c r="L890" s="4" t="str">
        <f aca="false">IF($D890="","",$D890&amp;"|"&amp;$H890)</f>
        <v/>
      </c>
    </row>
    <row r="891" customFormat="false" ht="15" hidden="false" customHeight="false" outlineLevel="0" collapsed="false">
      <c r="K891" s="4" t="n">
        <f aca="false">IF($J891="Y","",IF($F891="BW",$I891,$H891*$I891))</f>
        <v>0</v>
      </c>
      <c r="L891" s="4" t="str">
        <f aca="false">IF($D891="","",$D891&amp;"|"&amp;$H891)</f>
        <v/>
      </c>
    </row>
    <row r="892" customFormat="false" ht="15" hidden="false" customHeight="false" outlineLevel="0" collapsed="false">
      <c r="K892" s="4" t="n">
        <f aca="false">IF($J892="Y","",IF($F892="BW",$I892,$H892*$I892))</f>
        <v>0</v>
      </c>
      <c r="L892" s="4" t="str">
        <f aca="false">IF($D892="","",$D892&amp;"|"&amp;$H892)</f>
        <v/>
      </c>
    </row>
    <row r="893" customFormat="false" ht="15" hidden="false" customHeight="false" outlineLevel="0" collapsed="false">
      <c r="K893" s="4" t="n">
        <f aca="false">IF($J893="Y","",IF($F893="BW",$I893,$H893*$I893))</f>
        <v>0</v>
      </c>
      <c r="L893" s="4" t="str">
        <f aca="false">IF($D893="","",$D893&amp;"|"&amp;$H893)</f>
        <v/>
      </c>
    </row>
    <row r="894" customFormat="false" ht="15" hidden="false" customHeight="false" outlineLevel="0" collapsed="false">
      <c r="K894" s="4" t="n">
        <f aca="false">IF($J894="Y","",IF($F894="BW",$I894,$H894*$I894))</f>
        <v>0</v>
      </c>
      <c r="L894" s="4" t="str">
        <f aca="false">IF($D894="","",$D894&amp;"|"&amp;$H894)</f>
        <v/>
      </c>
    </row>
    <row r="895" customFormat="false" ht="15" hidden="false" customHeight="false" outlineLevel="0" collapsed="false">
      <c r="K895" s="4" t="n">
        <f aca="false">IF($J895="Y","",IF($F895="BW",$I895,$H895*$I895))</f>
        <v>0</v>
      </c>
      <c r="L895" s="4" t="str">
        <f aca="false">IF($D895="","",$D895&amp;"|"&amp;$H895)</f>
        <v/>
      </c>
    </row>
    <row r="896" customFormat="false" ht="15" hidden="false" customHeight="false" outlineLevel="0" collapsed="false">
      <c r="K896" s="4" t="n">
        <f aca="false">IF($J896="Y","",IF($F896="BW",$I896,$H896*$I896))</f>
        <v>0</v>
      </c>
      <c r="L896" s="4" t="str">
        <f aca="false">IF($D896="","",$D896&amp;"|"&amp;$H896)</f>
        <v/>
      </c>
    </row>
    <row r="897" customFormat="false" ht="15" hidden="false" customHeight="false" outlineLevel="0" collapsed="false">
      <c r="K897" s="4" t="n">
        <f aca="false">IF($J897="Y","",IF($F897="BW",$I897,$H897*$I897))</f>
        <v>0</v>
      </c>
      <c r="L897" s="4" t="str">
        <f aca="false">IF($D897="","",$D897&amp;"|"&amp;$H897)</f>
        <v/>
      </c>
    </row>
    <row r="898" customFormat="false" ht="15" hidden="false" customHeight="false" outlineLevel="0" collapsed="false">
      <c r="K898" s="4" t="n">
        <f aca="false">IF($J898="Y","",IF($F898="BW",$I898,$H898*$I898))</f>
        <v>0</v>
      </c>
      <c r="L898" s="4" t="str">
        <f aca="false">IF($D898="","",$D898&amp;"|"&amp;$H898)</f>
        <v/>
      </c>
    </row>
    <row r="899" customFormat="false" ht="15" hidden="false" customHeight="false" outlineLevel="0" collapsed="false">
      <c r="K899" s="4" t="n">
        <f aca="false">IF($J899="Y","",IF($F899="BW",$I899,$H899*$I899))</f>
        <v>0</v>
      </c>
      <c r="L899" s="4" t="str">
        <f aca="false">IF($D899="","",$D899&amp;"|"&amp;$H899)</f>
        <v/>
      </c>
    </row>
    <row r="900" customFormat="false" ht="15" hidden="false" customHeight="false" outlineLevel="0" collapsed="false">
      <c r="K900" s="4" t="n">
        <f aca="false">IF($J900="Y","",IF($F900="BW",$I900,$H900*$I900))</f>
        <v>0</v>
      </c>
      <c r="L900" s="4" t="str">
        <f aca="false">IF($D900="","",$D900&amp;"|"&amp;$H900)</f>
        <v/>
      </c>
    </row>
    <row r="901" customFormat="false" ht="15" hidden="false" customHeight="false" outlineLevel="0" collapsed="false">
      <c r="K901" s="4" t="n">
        <f aca="false">IF($J901="Y","",IF($F901="BW",$I901,$H901*$I901))</f>
        <v>0</v>
      </c>
      <c r="L901" s="4" t="str">
        <f aca="false">IF($D901="","",$D901&amp;"|"&amp;$H901)</f>
        <v/>
      </c>
    </row>
    <row r="902" customFormat="false" ht="15" hidden="false" customHeight="false" outlineLevel="0" collapsed="false">
      <c r="K902" s="4" t="n">
        <f aca="false">IF($J902="Y","",IF($F902="BW",$I902,$H902*$I902))</f>
        <v>0</v>
      </c>
      <c r="L902" s="4" t="str">
        <f aca="false">IF($D902="","",$D902&amp;"|"&amp;$H902)</f>
        <v/>
      </c>
    </row>
    <row r="903" customFormat="false" ht="15" hidden="false" customHeight="false" outlineLevel="0" collapsed="false">
      <c r="K903" s="4" t="n">
        <f aca="false">IF($J903="Y","",IF($F903="BW",$I903,$H903*$I903))</f>
        <v>0</v>
      </c>
      <c r="L903" s="4" t="str">
        <f aca="false">IF($D903="","",$D903&amp;"|"&amp;$H903)</f>
        <v/>
      </c>
    </row>
    <row r="904" customFormat="false" ht="15" hidden="false" customHeight="false" outlineLevel="0" collapsed="false">
      <c r="K904" s="4" t="n">
        <f aca="false">IF($J904="Y","",IF($F904="BW",$I904,$H904*$I904))</f>
        <v>0</v>
      </c>
      <c r="L904" s="4" t="str">
        <f aca="false">IF($D904="","",$D904&amp;"|"&amp;$H904)</f>
        <v/>
      </c>
    </row>
    <row r="905" customFormat="false" ht="15" hidden="false" customHeight="false" outlineLevel="0" collapsed="false">
      <c r="K905" s="4" t="n">
        <f aca="false">IF($J905="Y","",IF($F905="BW",$I905,$H905*$I905))</f>
        <v>0</v>
      </c>
      <c r="L905" s="4" t="str">
        <f aca="false">IF($D905="","",$D905&amp;"|"&amp;$H905)</f>
        <v/>
      </c>
    </row>
    <row r="906" customFormat="false" ht="15" hidden="false" customHeight="false" outlineLevel="0" collapsed="false">
      <c r="K906" s="4" t="n">
        <f aca="false">IF($J906="Y","",IF($F906="BW",$I906,$H906*$I906))</f>
        <v>0</v>
      </c>
      <c r="L906" s="4" t="str">
        <f aca="false">IF($D906="","",$D906&amp;"|"&amp;$H906)</f>
        <v/>
      </c>
    </row>
    <row r="907" customFormat="false" ht="15" hidden="false" customHeight="false" outlineLevel="0" collapsed="false">
      <c r="K907" s="4" t="n">
        <f aca="false">IF($J907="Y","",IF($F907="BW",$I907,$H907*$I907))</f>
        <v>0</v>
      </c>
      <c r="L907" s="4" t="str">
        <f aca="false">IF($D907="","",$D907&amp;"|"&amp;$H907)</f>
        <v/>
      </c>
    </row>
    <row r="908" customFormat="false" ht="15" hidden="false" customHeight="false" outlineLevel="0" collapsed="false">
      <c r="K908" s="4" t="n">
        <f aca="false">IF($J908="Y","",IF($F908="BW",$I908,$H908*$I908))</f>
        <v>0</v>
      </c>
      <c r="L908" s="4" t="str">
        <f aca="false">IF($D908="","",$D908&amp;"|"&amp;$H908)</f>
        <v/>
      </c>
    </row>
    <row r="909" customFormat="false" ht="15" hidden="false" customHeight="false" outlineLevel="0" collapsed="false">
      <c r="K909" s="4" t="n">
        <f aca="false">IF($J909="Y","",IF($F909="BW",$I909,$H909*$I909))</f>
        <v>0</v>
      </c>
      <c r="L909" s="4" t="str">
        <f aca="false">IF($D909="","",$D909&amp;"|"&amp;$H909)</f>
        <v/>
      </c>
    </row>
    <row r="910" customFormat="false" ht="15" hidden="false" customHeight="false" outlineLevel="0" collapsed="false">
      <c r="K910" s="4" t="n">
        <f aca="false">IF($J910="Y","",IF($F910="BW",$I910,$H910*$I910))</f>
        <v>0</v>
      </c>
      <c r="L910" s="4" t="str">
        <f aca="false">IF($D910="","",$D910&amp;"|"&amp;$H910)</f>
        <v/>
      </c>
    </row>
    <row r="911" customFormat="false" ht="15" hidden="false" customHeight="false" outlineLevel="0" collapsed="false">
      <c r="K911" s="4" t="n">
        <f aca="false">IF($J911="Y","",IF($F911="BW",$I911,$H911*$I911))</f>
        <v>0</v>
      </c>
      <c r="L911" s="4" t="str">
        <f aca="false">IF($D911="","",$D911&amp;"|"&amp;$H911)</f>
        <v/>
      </c>
    </row>
    <row r="912" customFormat="false" ht="15" hidden="false" customHeight="false" outlineLevel="0" collapsed="false">
      <c r="K912" s="4" t="n">
        <f aca="false">IF($J912="Y","",IF($F912="BW",$I912,$H912*$I912))</f>
        <v>0</v>
      </c>
      <c r="L912" s="4" t="str">
        <f aca="false">IF($D912="","",$D912&amp;"|"&amp;$H912)</f>
        <v/>
      </c>
    </row>
    <row r="913" customFormat="false" ht="15" hidden="false" customHeight="false" outlineLevel="0" collapsed="false">
      <c r="K913" s="4" t="n">
        <f aca="false">IF($J913="Y","",IF($F913="BW",$I913,$H913*$I913))</f>
        <v>0</v>
      </c>
      <c r="L913" s="4" t="str">
        <f aca="false">IF($D913="","",$D913&amp;"|"&amp;$H913)</f>
        <v/>
      </c>
    </row>
    <row r="914" customFormat="false" ht="15" hidden="false" customHeight="false" outlineLevel="0" collapsed="false">
      <c r="K914" s="4" t="n">
        <f aca="false">IF($J914="Y","",IF($F914="BW",$I914,$H914*$I914))</f>
        <v>0</v>
      </c>
      <c r="L914" s="4" t="str">
        <f aca="false">IF($D914="","",$D914&amp;"|"&amp;$H914)</f>
        <v/>
      </c>
    </row>
    <row r="915" customFormat="false" ht="15" hidden="false" customHeight="false" outlineLevel="0" collapsed="false">
      <c r="K915" s="4" t="n">
        <f aca="false">IF($J915="Y","",IF($F915="BW",$I915,$H915*$I915))</f>
        <v>0</v>
      </c>
      <c r="L915" s="4" t="str">
        <f aca="false">IF($D915="","",$D915&amp;"|"&amp;$H915)</f>
        <v/>
      </c>
    </row>
    <row r="916" customFormat="false" ht="15" hidden="false" customHeight="false" outlineLevel="0" collapsed="false">
      <c r="K916" s="4" t="n">
        <f aca="false">IF($J916="Y","",IF($F916="BW",$I916,$H916*$I916))</f>
        <v>0</v>
      </c>
      <c r="L916" s="4" t="str">
        <f aca="false">IF($D916="","",$D916&amp;"|"&amp;$H916)</f>
        <v/>
      </c>
    </row>
    <row r="917" customFormat="false" ht="15" hidden="false" customHeight="false" outlineLevel="0" collapsed="false">
      <c r="K917" s="4" t="n">
        <f aca="false">IF($J917="Y","",IF($F917="BW",$I917,$H917*$I917))</f>
        <v>0</v>
      </c>
      <c r="L917" s="4" t="str">
        <f aca="false">IF($D917="","",$D917&amp;"|"&amp;$H917)</f>
        <v/>
      </c>
    </row>
    <row r="918" customFormat="false" ht="15" hidden="false" customHeight="false" outlineLevel="0" collapsed="false">
      <c r="K918" s="4" t="n">
        <f aca="false">IF($J918="Y","",IF($F918="BW",$I918,$H918*$I918))</f>
        <v>0</v>
      </c>
      <c r="L918" s="4" t="str">
        <f aca="false">IF($D918="","",$D918&amp;"|"&amp;$H918)</f>
        <v/>
      </c>
    </row>
    <row r="919" customFormat="false" ht="15" hidden="false" customHeight="false" outlineLevel="0" collapsed="false">
      <c r="K919" s="4" t="n">
        <f aca="false">IF($J919="Y","",IF($F919="BW",$I919,$H919*$I919))</f>
        <v>0</v>
      </c>
      <c r="L919" s="4" t="str">
        <f aca="false">IF($D919="","",$D919&amp;"|"&amp;$H919)</f>
        <v/>
      </c>
    </row>
    <row r="920" customFormat="false" ht="15" hidden="false" customHeight="false" outlineLevel="0" collapsed="false">
      <c r="K920" s="4" t="n">
        <f aca="false">IF($J920="Y","",IF($F920="BW",$I920,$H920*$I920))</f>
        <v>0</v>
      </c>
      <c r="L920" s="4" t="str">
        <f aca="false">IF($D920="","",$D920&amp;"|"&amp;$H920)</f>
        <v/>
      </c>
    </row>
    <row r="921" customFormat="false" ht="15" hidden="false" customHeight="false" outlineLevel="0" collapsed="false">
      <c r="K921" s="4" t="n">
        <f aca="false">IF($J921="Y","",IF($F921="BW",$I921,$H921*$I921))</f>
        <v>0</v>
      </c>
      <c r="L921" s="4" t="str">
        <f aca="false">IF($D921="","",$D921&amp;"|"&amp;$H921)</f>
        <v/>
      </c>
    </row>
    <row r="922" customFormat="false" ht="15" hidden="false" customHeight="false" outlineLevel="0" collapsed="false">
      <c r="K922" s="4" t="n">
        <f aca="false">IF($J922="Y","",IF($F922="BW",$I922,$H922*$I922))</f>
        <v>0</v>
      </c>
      <c r="L922" s="4" t="str">
        <f aca="false">IF($D922="","",$D922&amp;"|"&amp;$H922)</f>
        <v/>
      </c>
    </row>
    <row r="923" customFormat="false" ht="15" hidden="false" customHeight="false" outlineLevel="0" collapsed="false">
      <c r="K923" s="4" t="n">
        <f aca="false">IF($J923="Y","",IF($F923="BW",$I923,$H923*$I923))</f>
        <v>0</v>
      </c>
      <c r="L923" s="4" t="str">
        <f aca="false">IF($D923="","",$D923&amp;"|"&amp;$H923)</f>
        <v/>
      </c>
    </row>
    <row r="924" customFormat="false" ht="15" hidden="false" customHeight="false" outlineLevel="0" collapsed="false">
      <c r="K924" s="4" t="n">
        <f aca="false">IF($J924="Y","",IF($F924="BW",$I924,$H924*$I924))</f>
        <v>0</v>
      </c>
      <c r="L924" s="4" t="str">
        <f aca="false">IF($D924="","",$D924&amp;"|"&amp;$H924)</f>
        <v/>
      </c>
    </row>
    <row r="925" customFormat="false" ht="15" hidden="false" customHeight="false" outlineLevel="0" collapsed="false">
      <c r="K925" s="4" t="n">
        <f aca="false">IF($J925="Y","",IF($F925="BW",$I925,$H925*$I925))</f>
        <v>0</v>
      </c>
      <c r="L925" s="4" t="str">
        <f aca="false">IF($D925="","",$D925&amp;"|"&amp;$H925)</f>
        <v/>
      </c>
    </row>
    <row r="926" customFormat="false" ht="15" hidden="false" customHeight="false" outlineLevel="0" collapsed="false">
      <c r="K926" s="4" t="n">
        <f aca="false">IF($J926="Y","",IF($F926="BW",$I926,$H926*$I926))</f>
        <v>0</v>
      </c>
      <c r="L926" s="4" t="str">
        <f aca="false">IF($D926="","",$D926&amp;"|"&amp;$H926)</f>
        <v/>
      </c>
    </row>
    <row r="927" customFormat="false" ht="15" hidden="false" customHeight="false" outlineLevel="0" collapsed="false">
      <c r="K927" s="4" t="n">
        <f aca="false">IF($J927="Y","",IF($F927="BW",$I927,$H927*$I927))</f>
        <v>0</v>
      </c>
      <c r="L927" s="4" t="str">
        <f aca="false">IF($D927="","",$D927&amp;"|"&amp;$H927)</f>
        <v/>
      </c>
    </row>
    <row r="928" customFormat="false" ht="15" hidden="false" customHeight="false" outlineLevel="0" collapsed="false">
      <c r="K928" s="4" t="n">
        <f aca="false">IF($J928="Y","",IF($F928="BW",$I928,$H928*$I928))</f>
        <v>0</v>
      </c>
      <c r="L928" s="4" t="str">
        <f aca="false">IF($D928="","",$D928&amp;"|"&amp;$H928)</f>
        <v/>
      </c>
    </row>
    <row r="929" customFormat="false" ht="15" hidden="false" customHeight="false" outlineLevel="0" collapsed="false">
      <c r="K929" s="4" t="n">
        <f aca="false">IF($J929="Y","",IF($F929="BW",$I929,$H929*$I929))</f>
        <v>0</v>
      </c>
      <c r="L929" s="4" t="str">
        <f aca="false">IF($D929="","",$D929&amp;"|"&amp;$H929)</f>
        <v/>
      </c>
    </row>
    <row r="930" customFormat="false" ht="15" hidden="false" customHeight="false" outlineLevel="0" collapsed="false">
      <c r="K930" s="4" t="n">
        <f aca="false">IF($J930="Y","",IF($F930="BW",$I930,$H930*$I930))</f>
        <v>0</v>
      </c>
      <c r="L930" s="4" t="str">
        <f aca="false">IF($D930="","",$D930&amp;"|"&amp;$H930)</f>
        <v/>
      </c>
    </row>
    <row r="931" customFormat="false" ht="15" hidden="false" customHeight="false" outlineLevel="0" collapsed="false">
      <c r="K931" s="4" t="n">
        <f aca="false">IF($J931="Y","",IF($F931="BW",$I931,$H931*$I931))</f>
        <v>0</v>
      </c>
      <c r="L931" s="4" t="str">
        <f aca="false">IF($D931="","",$D931&amp;"|"&amp;$H931)</f>
        <v/>
      </c>
    </row>
    <row r="932" customFormat="false" ht="15" hidden="false" customHeight="false" outlineLevel="0" collapsed="false">
      <c r="K932" s="4" t="n">
        <f aca="false">IF($J932="Y","",IF($F932="BW",$I932,$H932*$I932))</f>
        <v>0</v>
      </c>
      <c r="L932" s="4" t="str">
        <f aca="false">IF($D932="","",$D932&amp;"|"&amp;$H932)</f>
        <v/>
      </c>
    </row>
    <row r="933" customFormat="false" ht="15" hidden="false" customHeight="false" outlineLevel="0" collapsed="false">
      <c r="K933" s="4" t="n">
        <f aca="false">IF($J933="Y","",IF($F933="BW",$I933,$H933*$I933))</f>
        <v>0</v>
      </c>
      <c r="L933" s="4" t="str">
        <f aca="false">IF($D933="","",$D933&amp;"|"&amp;$H933)</f>
        <v/>
      </c>
    </row>
    <row r="934" customFormat="false" ht="15" hidden="false" customHeight="false" outlineLevel="0" collapsed="false">
      <c r="K934" s="4" t="n">
        <f aca="false">IF($J934="Y","",IF($F934="BW",$I934,$H934*$I934))</f>
        <v>0</v>
      </c>
      <c r="L934" s="4" t="str">
        <f aca="false">IF($D934="","",$D934&amp;"|"&amp;$H934)</f>
        <v/>
      </c>
    </row>
    <row r="935" customFormat="false" ht="15" hidden="false" customHeight="false" outlineLevel="0" collapsed="false">
      <c r="K935" s="4" t="n">
        <f aca="false">IF($J935="Y","",IF($F935="BW",$I935,$H935*$I935))</f>
        <v>0</v>
      </c>
      <c r="L935" s="4" t="str">
        <f aca="false">IF($D935="","",$D935&amp;"|"&amp;$H935)</f>
        <v/>
      </c>
    </row>
    <row r="936" customFormat="false" ht="15" hidden="false" customHeight="false" outlineLevel="0" collapsed="false">
      <c r="K936" s="4" t="n">
        <f aca="false">IF($J936="Y","",IF($F936="BW",$I936,$H936*$I936))</f>
        <v>0</v>
      </c>
      <c r="L936" s="4" t="str">
        <f aca="false">IF($D936="","",$D936&amp;"|"&amp;$H936)</f>
        <v/>
      </c>
    </row>
    <row r="937" customFormat="false" ht="15" hidden="false" customHeight="false" outlineLevel="0" collapsed="false">
      <c r="K937" s="4" t="n">
        <f aca="false">IF($J937="Y","",IF($F937="BW",$I937,$H937*$I937))</f>
        <v>0</v>
      </c>
      <c r="L937" s="4" t="str">
        <f aca="false">IF($D937="","",$D937&amp;"|"&amp;$H937)</f>
        <v/>
      </c>
    </row>
    <row r="938" customFormat="false" ht="15" hidden="false" customHeight="false" outlineLevel="0" collapsed="false">
      <c r="K938" s="4" t="n">
        <f aca="false">IF($J938="Y","",IF($F938="BW",$I938,$H938*$I938))</f>
        <v>0</v>
      </c>
      <c r="L938" s="4" t="str">
        <f aca="false">IF($D938="","",$D938&amp;"|"&amp;$H938)</f>
        <v/>
      </c>
    </row>
    <row r="939" customFormat="false" ht="15" hidden="false" customHeight="false" outlineLevel="0" collapsed="false">
      <c r="K939" s="4" t="n">
        <f aca="false">IF($J939="Y","",IF($F939="BW",$I939,$H939*$I939))</f>
        <v>0</v>
      </c>
      <c r="L939" s="4" t="str">
        <f aca="false">IF($D939="","",$D939&amp;"|"&amp;$H939)</f>
        <v/>
      </c>
    </row>
    <row r="940" customFormat="false" ht="15" hidden="false" customHeight="false" outlineLevel="0" collapsed="false">
      <c r="K940" s="4" t="n">
        <f aca="false">IF($J940="Y","",IF($F940="BW",$I940,$H940*$I940))</f>
        <v>0</v>
      </c>
      <c r="L940" s="4" t="str">
        <f aca="false">IF($D940="","",$D940&amp;"|"&amp;$H940)</f>
        <v/>
      </c>
    </row>
    <row r="941" customFormat="false" ht="15" hidden="false" customHeight="false" outlineLevel="0" collapsed="false">
      <c r="K941" s="4" t="n">
        <f aca="false">IF($J941="Y","",IF($F941="BW",$I941,$H941*$I941))</f>
        <v>0</v>
      </c>
      <c r="L941" s="4" t="str">
        <f aca="false">IF($D941="","",$D941&amp;"|"&amp;$H941)</f>
        <v/>
      </c>
    </row>
    <row r="942" customFormat="false" ht="15" hidden="false" customHeight="false" outlineLevel="0" collapsed="false">
      <c r="K942" s="4" t="n">
        <f aca="false">IF($J942="Y","",IF($F942="BW",$I942,$H942*$I942))</f>
        <v>0</v>
      </c>
      <c r="L942" s="4" t="str">
        <f aca="false">IF($D942="","",$D942&amp;"|"&amp;$H942)</f>
        <v/>
      </c>
    </row>
    <row r="943" customFormat="false" ht="15" hidden="false" customHeight="false" outlineLevel="0" collapsed="false">
      <c r="K943" s="4" t="n">
        <f aca="false">IF($J943="Y","",IF($F943="BW",$I943,$H943*$I943))</f>
        <v>0</v>
      </c>
      <c r="L943" s="4" t="str">
        <f aca="false">IF($D943="","",$D943&amp;"|"&amp;$H943)</f>
        <v/>
      </c>
    </row>
    <row r="944" customFormat="false" ht="15" hidden="false" customHeight="false" outlineLevel="0" collapsed="false">
      <c r="K944" s="4" t="n">
        <f aca="false">IF($J944="Y","",IF($F944="BW",$I944,$H944*$I944))</f>
        <v>0</v>
      </c>
      <c r="L944" s="4" t="str">
        <f aca="false">IF($D944="","",$D944&amp;"|"&amp;$H944)</f>
        <v/>
      </c>
    </row>
    <row r="945" customFormat="false" ht="15" hidden="false" customHeight="false" outlineLevel="0" collapsed="false">
      <c r="K945" s="4" t="n">
        <f aca="false">IF($J945="Y","",IF($F945="BW",$I945,$H945*$I945))</f>
        <v>0</v>
      </c>
      <c r="L945" s="4" t="str">
        <f aca="false">IF($D945="","",$D945&amp;"|"&amp;$H945)</f>
        <v/>
      </c>
    </row>
    <row r="946" customFormat="false" ht="15" hidden="false" customHeight="false" outlineLevel="0" collapsed="false">
      <c r="K946" s="4" t="n">
        <f aca="false">IF($J946="Y","",IF($F946="BW",$I946,$H946*$I946))</f>
        <v>0</v>
      </c>
      <c r="L946" s="4" t="str">
        <f aca="false">IF($D946="","",$D946&amp;"|"&amp;$H946)</f>
        <v/>
      </c>
    </row>
    <row r="947" customFormat="false" ht="15" hidden="false" customHeight="false" outlineLevel="0" collapsed="false">
      <c r="K947" s="4" t="n">
        <f aca="false">IF($J947="Y","",IF($F947="BW",$I947,$H947*$I947))</f>
        <v>0</v>
      </c>
      <c r="L947" s="4" t="str">
        <f aca="false">IF($D947="","",$D947&amp;"|"&amp;$H947)</f>
        <v/>
      </c>
    </row>
    <row r="948" customFormat="false" ht="15" hidden="false" customHeight="false" outlineLevel="0" collapsed="false">
      <c r="K948" s="4" t="n">
        <f aca="false">IF($J948="Y","",IF($F948="BW",$I948,$H948*$I948))</f>
        <v>0</v>
      </c>
      <c r="L948" s="4" t="str">
        <f aca="false">IF($D948="","",$D948&amp;"|"&amp;$H948)</f>
        <v/>
      </c>
    </row>
    <row r="949" customFormat="false" ht="15" hidden="false" customHeight="false" outlineLevel="0" collapsed="false">
      <c r="K949" s="4" t="n">
        <f aca="false">IF($J949="Y","",IF($F949="BW",$I949,$H949*$I949))</f>
        <v>0</v>
      </c>
      <c r="L949" s="4" t="str">
        <f aca="false">IF($D949="","",$D949&amp;"|"&amp;$H949)</f>
        <v/>
      </c>
    </row>
    <row r="950" customFormat="false" ht="15" hidden="false" customHeight="false" outlineLevel="0" collapsed="false">
      <c r="K950" s="4" t="n">
        <f aca="false">IF($J950="Y","",IF($F950="BW",$I950,$H950*$I950))</f>
        <v>0</v>
      </c>
      <c r="L950" s="4" t="str">
        <f aca="false">IF($D950="","",$D950&amp;"|"&amp;$H950)</f>
        <v/>
      </c>
    </row>
    <row r="951" customFormat="false" ht="15" hidden="false" customHeight="false" outlineLevel="0" collapsed="false">
      <c r="K951" s="4" t="n">
        <f aca="false">IF($J951="Y","",IF($F951="BW",$I951,$H951*$I951))</f>
        <v>0</v>
      </c>
      <c r="L951" s="4" t="str">
        <f aca="false">IF($D951="","",$D951&amp;"|"&amp;$H951)</f>
        <v/>
      </c>
    </row>
    <row r="952" customFormat="false" ht="15" hidden="false" customHeight="false" outlineLevel="0" collapsed="false">
      <c r="K952" s="4" t="n">
        <f aca="false">IF($J952="Y","",IF($F952="BW",$I952,$H952*$I952))</f>
        <v>0</v>
      </c>
      <c r="L952" s="4" t="str">
        <f aca="false">IF($D952="","",$D952&amp;"|"&amp;$H952)</f>
        <v/>
      </c>
    </row>
    <row r="953" customFormat="false" ht="15" hidden="false" customHeight="false" outlineLevel="0" collapsed="false">
      <c r="K953" s="4" t="n">
        <f aca="false">IF($J953="Y","",IF($F953="BW",$I953,$H953*$I953))</f>
        <v>0</v>
      </c>
      <c r="L953" s="4" t="str">
        <f aca="false">IF($D953="","",$D953&amp;"|"&amp;$H953)</f>
        <v/>
      </c>
    </row>
    <row r="954" customFormat="false" ht="15" hidden="false" customHeight="false" outlineLevel="0" collapsed="false">
      <c r="K954" s="4" t="n">
        <f aca="false">IF($J954="Y","",IF($F954="BW",$I954,$H954*$I954))</f>
        <v>0</v>
      </c>
      <c r="L954" s="4" t="str">
        <f aca="false">IF($D954="","",$D954&amp;"|"&amp;$H954)</f>
        <v/>
      </c>
    </row>
    <row r="955" customFormat="false" ht="15" hidden="false" customHeight="false" outlineLevel="0" collapsed="false">
      <c r="K955" s="4" t="n">
        <f aca="false">IF($J955="Y","",IF($F955="BW",$I955,$H955*$I955))</f>
        <v>0</v>
      </c>
      <c r="L955" s="4" t="str">
        <f aca="false">IF($D955="","",$D955&amp;"|"&amp;$H955)</f>
        <v/>
      </c>
    </row>
    <row r="956" customFormat="false" ht="15" hidden="false" customHeight="false" outlineLevel="0" collapsed="false">
      <c r="K956" s="4" t="n">
        <f aca="false">IF($J956="Y","",IF($F956="BW",$I956,$H956*$I956))</f>
        <v>0</v>
      </c>
      <c r="L956" s="4" t="str">
        <f aca="false">IF($D956="","",$D956&amp;"|"&amp;$H956)</f>
        <v/>
      </c>
    </row>
    <row r="957" customFormat="false" ht="15" hidden="false" customHeight="false" outlineLevel="0" collapsed="false">
      <c r="K957" s="4" t="n">
        <f aca="false">IF($J957="Y","",IF($F957="BW",$I957,$H957*$I957))</f>
        <v>0</v>
      </c>
      <c r="L957" s="4" t="str">
        <f aca="false">IF($D957="","",$D957&amp;"|"&amp;$H957)</f>
        <v/>
      </c>
    </row>
    <row r="958" customFormat="false" ht="15" hidden="false" customHeight="false" outlineLevel="0" collapsed="false">
      <c r="K958" s="4" t="n">
        <f aca="false">IF($J958="Y","",IF($F958="BW",$I958,$H958*$I958))</f>
        <v>0</v>
      </c>
      <c r="L958" s="4" t="str">
        <f aca="false">IF($D958="","",$D958&amp;"|"&amp;$H958)</f>
        <v/>
      </c>
    </row>
    <row r="959" customFormat="false" ht="15" hidden="false" customHeight="false" outlineLevel="0" collapsed="false">
      <c r="K959" s="4" t="n">
        <f aca="false">IF($J959="Y","",IF($F959="BW",$I959,$H959*$I959))</f>
        <v>0</v>
      </c>
      <c r="L959" s="4" t="str">
        <f aca="false">IF($D959="","",$D959&amp;"|"&amp;$H959)</f>
        <v/>
      </c>
    </row>
    <row r="960" customFormat="false" ht="15" hidden="false" customHeight="false" outlineLevel="0" collapsed="false">
      <c r="K960" s="4" t="n">
        <f aca="false">IF($J960="Y","",IF($F960="BW",$I960,$H960*$I960))</f>
        <v>0</v>
      </c>
      <c r="L960" s="4" t="str">
        <f aca="false">IF($D960="","",$D960&amp;"|"&amp;$H960)</f>
        <v/>
      </c>
    </row>
    <row r="961" customFormat="false" ht="15" hidden="false" customHeight="false" outlineLevel="0" collapsed="false">
      <c r="K961" s="4" t="n">
        <f aca="false">IF($J961="Y","",IF($F961="BW",$I961,$H961*$I961))</f>
        <v>0</v>
      </c>
      <c r="L961" s="4" t="str">
        <f aca="false">IF($D961="","",$D961&amp;"|"&amp;$H961)</f>
        <v/>
      </c>
    </row>
    <row r="962" customFormat="false" ht="15" hidden="false" customHeight="false" outlineLevel="0" collapsed="false">
      <c r="K962" s="4" t="n">
        <f aca="false">IF($J962="Y","",IF($F962="BW",$I962,$H962*$I962))</f>
        <v>0</v>
      </c>
      <c r="L962" s="4" t="str">
        <f aca="false">IF($D962="","",$D962&amp;"|"&amp;$H962)</f>
        <v/>
      </c>
    </row>
    <row r="963" customFormat="false" ht="15" hidden="false" customHeight="false" outlineLevel="0" collapsed="false">
      <c r="K963" s="4" t="n">
        <f aca="false">IF($J963="Y","",IF($F963="BW",$I963,$H963*$I963))</f>
        <v>0</v>
      </c>
      <c r="L963" s="4" t="str">
        <f aca="false">IF($D963="","",$D963&amp;"|"&amp;$H963)</f>
        <v/>
      </c>
    </row>
    <row r="964" customFormat="false" ht="15" hidden="false" customHeight="false" outlineLevel="0" collapsed="false">
      <c r="K964" s="4" t="n">
        <f aca="false">IF($J964="Y","",IF($F964="BW",$I964,$H964*$I964))</f>
        <v>0</v>
      </c>
      <c r="L964" s="4" t="str">
        <f aca="false">IF($D964="","",$D964&amp;"|"&amp;$H964)</f>
        <v/>
      </c>
    </row>
    <row r="965" customFormat="false" ht="15" hidden="false" customHeight="false" outlineLevel="0" collapsed="false">
      <c r="K965" s="4" t="n">
        <f aca="false">IF($J965="Y","",IF($F965="BW",$I965,$H965*$I965))</f>
        <v>0</v>
      </c>
      <c r="L965" s="4" t="str">
        <f aca="false">IF($D965="","",$D965&amp;"|"&amp;$H965)</f>
        <v/>
      </c>
    </row>
    <row r="966" customFormat="false" ht="15" hidden="false" customHeight="false" outlineLevel="0" collapsed="false">
      <c r="K966" s="4" t="n">
        <f aca="false">IF($J966="Y","",IF($F966="BW",$I966,$H966*$I966))</f>
        <v>0</v>
      </c>
      <c r="L966" s="4" t="str">
        <f aca="false">IF($D966="","",$D966&amp;"|"&amp;$H966)</f>
        <v/>
      </c>
    </row>
    <row r="967" customFormat="false" ht="15" hidden="false" customHeight="false" outlineLevel="0" collapsed="false">
      <c r="K967" s="4" t="n">
        <f aca="false">IF($J967="Y","",IF($F967="BW",$I967,$H967*$I967))</f>
        <v>0</v>
      </c>
      <c r="L967" s="4" t="str">
        <f aca="false">IF($D967="","",$D967&amp;"|"&amp;$H967)</f>
        <v/>
      </c>
    </row>
    <row r="968" customFormat="false" ht="15" hidden="false" customHeight="false" outlineLevel="0" collapsed="false">
      <c r="K968" s="4" t="n">
        <f aca="false">IF($J968="Y","",IF($F968="BW",$I968,$H968*$I968))</f>
        <v>0</v>
      </c>
      <c r="L968" s="4" t="str">
        <f aca="false">IF($D968="","",$D968&amp;"|"&amp;$H968)</f>
        <v/>
      </c>
    </row>
    <row r="969" customFormat="false" ht="15" hidden="false" customHeight="false" outlineLevel="0" collapsed="false">
      <c r="K969" s="4" t="n">
        <f aca="false">IF($J969="Y","",IF($F969="BW",$I969,$H969*$I969))</f>
        <v>0</v>
      </c>
      <c r="L969" s="4" t="str">
        <f aca="false">IF($D969="","",$D969&amp;"|"&amp;$H969)</f>
        <v/>
      </c>
    </row>
    <row r="970" customFormat="false" ht="15" hidden="false" customHeight="false" outlineLevel="0" collapsed="false">
      <c r="K970" s="4" t="n">
        <f aca="false">IF($J970="Y","",IF($F970="BW",$I970,$H970*$I970))</f>
        <v>0</v>
      </c>
      <c r="L970" s="4" t="str">
        <f aca="false">IF($D970="","",$D970&amp;"|"&amp;$H970)</f>
        <v/>
      </c>
    </row>
    <row r="971" customFormat="false" ht="15" hidden="false" customHeight="false" outlineLevel="0" collapsed="false">
      <c r="K971" s="4" t="n">
        <f aca="false">IF($J971="Y","",IF($F971="BW",$I971,$H971*$I971))</f>
        <v>0</v>
      </c>
      <c r="L971" s="4" t="str">
        <f aca="false">IF($D971="","",$D971&amp;"|"&amp;$H971)</f>
        <v/>
      </c>
    </row>
    <row r="972" customFormat="false" ht="15" hidden="false" customHeight="false" outlineLevel="0" collapsed="false">
      <c r="K972" s="4" t="n">
        <f aca="false">IF($J972="Y","",IF($F972="BW",$I972,$H972*$I972))</f>
        <v>0</v>
      </c>
      <c r="L972" s="4" t="str">
        <f aca="false">IF($D972="","",$D972&amp;"|"&amp;$H972)</f>
        <v/>
      </c>
    </row>
    <row r="973" customFormat="false" ht="15" hidden="false" customHeight="false" outlineLevel="0" collapsed="false">
      <c r="K973" s="4" t="n">
        <f aca="false">IF($J973="Y","",IF($F973="BW",$I973,$H973*$I973))</f>
        <v>0</v>
      </c>
      <c r="L973" s="4" t="str">
        <f aca="false">IF($D973="","",$D973&amp;"|"&amp;$H973)</f>
        <v/>
      </c>
    </row>
    <row r="974" customFormat="false" ht="15" hidden="false" customHeight="false" outlineLevel="0" collapsed="false">
      <c r="K974" s="4" t="n">
        <f aca="false">IF($J974="Y","",IF($F974="BW",$I974,$H974*$I974))</f>
        <v>0</v>
      </c>
      <c r="L974" s="4" t="str">
        <f aca="false">IF($D974="","",$D974&amp;"|"&amp;$H974)</f>
        <v/>
      </c>
    </row>
    <row r="975" customFormat="false" ht="15" hidden="false" customHeight="false" outlineLevel="0" collapsed="false">
      <c r="K975" s="4" t="n">
        <f aca="false">IF($J975="Y","",IF($F975="BW",$I975,$H975*$I975))</f>
        <v>0</v>
      </c>
      <c r="L975" s="4" t="str">
        <f aca="false">IF($D975="","",$D975&amp;"|"&amp;$H975)</f>
        <v/>
      </c>
    </row>
    <row r="976" customFormat="false" ht="15" hidden="false" customHeight="false" outlineLevel="0" collapsed="false">
      <c r="K976" s="4" t="n">
        <f aca="false">IF($J976="Y","",IF($F976="BW",$I976,$H976*$I976))</f>
        <v>0</v>
      </c>
      <c r="L976" s="4" t="str">
        <f aca="false">IF($D976="","",$D976&amp;"|"&amp;$H976)</f>
        <v/>
      </c>
    </row>
    <row r="977" customFormat="false" ht="15" hidden="false" customHeight="false" outlineLevel="0" collapsed="false">
      <c r="K977" s="4" t="n">
        <f aca="false">IF($J977="Y","",IF($F977="BW",$I977,$H977*$I977))</f>
        <v>0</v>
      </c>
      <c r="L977" s="4" t="str">
        <f aca="false">IF($D977="","",$D977&amp;"|"&amp;$H977)</f>
        <v/>
      </c>
    </row>
    <row r="978" customFormat="false" ht="15" hidden="false" customHeight="false" outlineLevel="0" collapsed="false">
      <c r="K978" s="4" t="n">
        <f aca="false">IF($J978="Y","",IF($F978="BW",$I978,$H978*$I978))</f>
        <v>0</v>
      </c>
      <c r="L978" s="4" t="str">
        <f aca="false">IF($D978="","",$D978&amp;"|"&amp;$H978)</f>
        <v/>
      </c>
    </row>
    <row r="979" customFormat="false" ht="15" hidden="false" customHeight="false" outlineLevel="0" collapsed="false">
      <c r="K979" s="4" t="n">
        <f aca="false">IF($J979="Y","",IF($F979="BW",$I979,$H979*$I979))</f>
        <v>0</v>
      </c>
      <c r="L979" s="4" t="str">
        <f aca="false">IF($D979="","",$D979&amp;"|"&amp;$H979)</f>
        <v/>
      </c>
    </row>
    <row r="980" customFormat="false" ht="15" hidden="false" customHeight="false" outlineLevel="0" collapsed="false">
      <c r="K980" s="4" t="n">
        <f aca="false">IF($J980="Y","",IF($F980="BW",$I980,$H980*$I980))</f>
        <v>0</v>
      </c>
      <c r="L980" s="4" t="str">
        <f aca="false">IF($D980="","",$D980&amp;"|"&amp;$H980)</f>
        <v/>
      </c>
    </row>
    <row r="981" customFormat="false" ht="15" hidden="false" customHeight="false" outlineLevel="0" collapsed="false">
      <c r="K981" s="4" t="n">
        <f aca="false">IF($J981="Y","",IF($F981="BW",$I981,$H981*$I981))</f>
        <v>0</v>
      </c>
      <c r="L981" s="4" t="str">
        <f aca="false">IF($D981="","",$D981&amp;"|"&amp;$H981)</f>
        <v/>
      </c>
    </row>
    <row r="982" customFormat="false" ht="15" hidden="false" customHeight="false" outlineLevel="0" collapsed="false">
      <c r="K982" s="4" t="n">
        <f aca="false">IF($J982="Y","",IF($F982="BW",$I982,$H982*$I982))</f>
        <v>0</v>
      </c>
      <c r="L982" s="4" t="str">
        <f aca="false">IF($D982="","",$D982&amp;"|"&amp;$H982)</f>
        <v/>
      </c>
    </row>
    <row r="983" customFormat="false" ht="15" hidden="false" customHeight="false" outlineLevel="0" collapsed="false">
      <c r="K983" s="4" t="n">
        <f aca="false">IF($J983="Y","",IF($F983="BW",$I983,$H983*$I983))</f>
        <v>0</v>
      </c>
      <c r="L983" s="4" t="str">
        <f aca="false">IF($D983="","",$D983&amp;"|"&amp;$H983)</f>
        <v/>
      </c>
    </row>
    <row r="984" customFormat="false" ht="15" hidden="false" customHeight="false" outlineLevel="0" collapsed="false">
      <c r="K984" s="4" t="n">
        <f aca="false">IF($J984="Y","",IF($F984="BW",$I984,$H984*$I984))</f>
        <v>0</v>
      </c>
      <c r="L984" s="4" t="str">
        <f aca="false">IF($D984="","",$D984&amp;"|"&amp;$H984)</f>
        <v/>
      </c>
    </row>
    <row r="985" customFormat="false" ht="15" hidden="false" customHeight="false" outlineLevel="0" collapsed="false">
      <c r="K985" s="4" t="n">
        <f aca="false">IF($J985="Y","",IF($F985="BW",$I985,$H985*$I985))</f>
        <v>0</v>
      </c>
      <c r="L985" s="4" t="str">
        <f aca="false">IF($D985="","",$D985&amp;"|"&amp;$H985)</f>
        <v/>
      </c>
    </row>
    <row r="986" customFormat="false" ht="15" hidden="false" customHeight="false" outlineLevel="0" collapsed="false">
      <c r="K986" s="4" t="n">
        <f aca="false">IF($J986="Y","",IF($F986="BW",$I986,$H986*$I986))</f>
        <v>0</v>
      </c>
      <c r="L986" s="4" t="str">
        <f aca="false">IF($D986="","",$D986&amp;"|"&amp;$H986)</f>
        <v/>
      </c>
    </row>
    <row r="987" customFormat="false" ht="15" hidden="false" customHeight="false" outlineLevel="0" collapsed="false">
      <c r="K987" s="4" t="n">
        <f aca="false">IF($J987="Y","",IF($F987="BW",$I987,$H987*$I987))</f>
        <v>0</v>
      </c>
      <c r="L987" s="4" t="str">
        <f aca="false">IF($D987="","",$D987&amp;"|"&amp;$H987)</f>
        <v/>
      </c>
    </row>
    <row r="988" customFormat="false" ht="15" hidden="false" customHeight="false" outlineLevel="0" collapsed="false">
      <c r="K988" s="4" t="n">
        <f aca="false">IF($J988="Y","",IF($F988="BW",$I988,$H988*$I988))</f>
        <v>0</v>
      </c>
      <c r="L988" s="4" t="str">
        <f aca="false">IF($D988="","",$D988&amp;"|"&amp;$H988)</f>
        <v/>
      </c>
    </row>
    <row r="989" customFormat="false" ht="15" hidden="false" customHeight="false" outlineLevel="0" collapsed="false">
      <c r="K989" s="4" t="n">
        <f aca="false">IF($J989="Y","",IF($F989="BW",$I989,$H989*$I989))</f>
        <v>0</v>
      </c>
      <c r="L989" s="4" t="str">
        <f aca="false">IF($D989="","",$D989&amp;"|"&amp;$H989)</f>
        <v/>
      </c>
    </row>
    <row r="990" customFormat="false" ht="15" hidden="false" customHeight="false" outlineLevel="0" collapsed="false">
      <c r="K990" s="4" t="n">
        <f aca="false">IF($J990="Y","",IF($F990="BW",$I990,$H990*$I990))</f>
        <v>0</v>
      </c>
      <c r="L990" s="4" t="str">
        <f aca="false">IF($D990="","",$D990&amp;"|"&amp;$H990)</f>
        <v/>
      </c>
    </row>
    <row r="991" customFormat="false" ht="15" hidden="false" customHeight="false" outlineLevel="0" collapsed="false">
      <c r="K991" s="4" t="n">
        <f aca="false">IF($J991="Y","",IF($F991="BW",$I991,$H991*$I991))</f>
        <v>0</v>
      </c>
      <c r="L991" s="4" t="str">
        <f aca="false">IF($D991="","",$D991&amp;"|"&amp;$H991)</f>
        <v/>
      </c>
    </row>
    <row r="992" customFormat="false" ht="15" hidden="false" customHeight="false" outlineLevel="0" collapsed="false">
      <c r="K992" s="4" t="n">
        <f aca="false">IF($J992="Y","",IF($F992="BW",$I992,$H992*$I992))</f>
        <v>0</v>
      </c>
      <c r="L992" s="4" t="str">
        <f aca="false">IF($D992="","",$D992&amp;"|"&amp;$H992)</f>
        <v/>
      </c>
    </row>
    <row r="993" customFormat="false" ht="15" hidden="false" customHeight="false" outlineLevel="0" collapsed="false">
      <c r="K993" s="4" t="n">
        <f aca="false">IF($J993="Y","",IF($F993="BW",$I993,$H993*$I993))</f>
        <v>0</v>
      </c>
      <c r="L993" s="4" t="str">
        <f aca="false">IF($D993="","",$D993&amp;"|"&amp;$H993)</f>
        <v/>
      </c>
    </row>
    <row r="994" customFormat="false" ht="15" hidden="false" customHeight="false" outlineLevel="0" collapsed="false">
      <c r="K994" s="4" t="n">
        <f aca="false">IF($J994="Y","",IF($F994="BW",$I994,$H994*$I994))</f>
        <v>0</v>
      </c>
      <c r="L994" s="4" t="str">
        <f aca="false">IF($D994="","",$D994&amp;"|"&amp;$H994)</f>
        <v/>
      </c>
    </row>
    <row r="995" customFormat="false" ht="15" hidden="false" customHeight="false" outlineLevel="0" collapsed="false">
      <c r="K995" s="4" t="n">
        <f aca="false">IF($J995="Y","",IF($F995="BW",$I995,$H995*$I995))</f>
        <v>0</v>
      </c>
      <c r="L995" s="4" t="str">
        <f aca="false">IF($D995="","",$D995&amp;"|"&amp;$H995)</f>
        <v/>
      </c>
    </row>
    <row r="996" customFormat="false" ht="15" hidden="false" customHeight="false" outlineLevel="0" collapsed="false">
      <c r="K996" s="4" t="n">
        <f aca="false">IF($J996="Y","",IF($F996="BW",$I996,$H996*$I996))</f>
        <v>0</v>
      </c>
      <c r="L996" s="4" t="str">
        <f aca="false">IF($D996="","",$D996&amp;"|"&amp;$H996)</f>
        <v/>
      </c>
    </row>
    <row r="997" customFormat="false" ht="15" hidden="false" customHeight="false" outlineLevel="0" collapsed="false">
      <c r="K997" s="4" t="n">
        <f aca="false">IF($J997="Y","",IF($F997="BW",$I997,$H997*$I997))</f>
        <v>0</v>
      </c>
      <c r="L997" s="4" t="str">
        <f aca="false">IF($D997="","",$D997&amp;"|"&amp;$H997)</f>
        <v/>
      </c>
    </row>
    <row r="998" customFormat="false" ht="15" hidden="false" customHeight="false" outlineLevel="0" collapsed="false">
      <c r="K998" s="4" t="n">
        <f aca="false">IF($J998="Y","",IF($F998="BW",$I998,$H998*$I998))</f>
        <v>0</v>
      </c>
      <c r="L998" s="4" t="str">
        <f aca="false">IF($D998="","",$D998&amp;"|"&amp;$H998)</f>
        <v/>
      </c>
    </row>
    <row r="999" customFormat="false" ht="15" hidden="false" customHeight="false" outlineLevel="0" collapsed="false">
      <c r="K999" s="4" t="n">
        <f aca="false">IF($J999="Y","",IF($F999="BW",$I999,$H999*$I999))</f>
        <v>0</v>
      </c>
      <c r="L999" s="4" t="str">
        <f aca="false">IF($D999="","",$D999&amp;"|"&amp;$H999)</f>
        <v/>
      </c>
    </row>
    <row r="1000" customFormat="false" ht="15" hidden="false" customHeight="false" outlineLevel="0" collapsed="false">
      <c r="K1000" s="4" t="n">
        <f aca="false">IF($J1000="Y","",IF($F1000="BW",$I1000,$H1000*$I1000))</f>
        <v>0</v>
      </c>
      <c r="L1000" s="4" t="str">
        <f aca="false">IF($D1000="","",$D1000&amp;"|"&amp;$H1000)</f>
        <v/>
      </c>
    </row>
    <row r="1001" customFormat="false" ht="15" hidden="false" customHeight="false" outlineLevel="0" collapsed="false">
      <c r="K1001" s="4" t="n">
        <f aca="false">IF($J1001="Y","",IF($F1001="BW",$I1001,$H1001*$I1001))</f>
        <v>0</v>
      </c>
      <c r="L1001" s="4" t="str">
        <f aca="false">IF($D1001="","",$D1001&amp;"|"&amp;$H1001)</f>
        <v/>
      </c>
    </row>
    <row r="1002" customFormat="false" ht="15" hidden="false" customHeight="false" outlineLevel="0" collapsed="false">
      <c r="K1002" s="4" t="n">
        <f aca="false">IF($J1002="Y","",IF($F1002="BW",$I1002,$H1002*$I1002))</f>
        <v>0</v>
      </c>
      <c r="L1002" s="4" t="str">
        <f aca="false">IF($D1002="","",$D1002&amp;"|"&amp;$H1002)</f>
        <v/>
      </c>
    </row>
    <row r="1003" customFormat="false" ht="15" hidden="false" customHeight="false" outlineLevel="0" collapsed="false">
      <c r="K1003" s="4" t="n">
        <f aca="false">IF($J1003="Y","",IF($F1003="BW",$I1003,$H1003*$I1003))</f>
        <v>0</v>
      </c>
      <c r="L1003" s="4" t="str">
        <f aca="false">IF($D1003="","",$D1003&amp;"|"&amp;$H1003)</f>
        <v/>
      </c>
    </row>
    <row r="1004" customFormat="false" ht="15" hidden="false" customHeight="false" outlineLevel="0" collapsed="false">
      <c r="K1004" s="4" t="n">
        <f aca="false">IF($J1004="Y","",IF($F1004="BW",$I1004,$H1004*$I1004))</f>
        <v>0</v>
      </c>
      <c r="L1004" s="4" t="str">
        <f aca="false">IF($D1004="","",$D1004&amp;"|"&amp;$H1004)</f>
        <v/>
      </c>
    </row>
    <row r="1005" customFormat="false" ht="15" hidden="false" customHeight="false" outlineLevel="0" collapsed="false">
      <c r="K1005" s="4" t="n">
        <f aca="false">IF($J1005="Y","",IF($F1005="BW",$I1005,$H1005*$I1005))</f>
        <v>0</v>
      </c>
      <c r="L1005" s="4" t="str">
        <f aca="false">IF($D1005="","",$D1005&amp;"|"&amp;$H1005)</f>
        <v/>
      </c>
    </row>
    <row r="1006" customFormat="false" ht="15" hidden="false" customHeight="false" outlineLevel="0" collapsed="false">
      <c r="K1006" s="4" t="n">
        <f aca="false">IF($J1006="Y","",IF($F1006="BW",$I1006,$H1006*$I1006))</f>
        <v>0</v>
      </c>
      <c r="L1006" s="4" t="str">
        <f aca="false">IF($D1006="","",$D1006&amp;"|"&amp;$H1006)</f>
        <v/>
      </c>
    </row>
    <row r="1007" customFormat="false" ht="15" hidden="false" customHeight="false" outlineLevel="0" collapsed="false">
      <c r="K1007" s="4" t="n">
        <f aca="false">IF($J1007="Y","",IF($F1007="BW",$I1007,$H1007*$I1007))</f>
        <v>0</v>
      </c>
      <c r="L1007" s="4" t="str">
        <f aca="false">IF($D1007="","",$D1007&amp;"|"&amp;$H1007)</f>
        <v/>
      </c>
    </row>
    <row r="1008" customFormat="false" ht="15" hidden="false" customHeight="false" outlineLevel="0" collapsed="false">
      <c r="K1008" s="4" t="n">
        <f aca="false">IF($J1008="Y","",IF($F1008="BW",$I1008,$H1008*$I1008))</f>
        <v>0</v>
      </c>
      <c r="L1008" s="4" t="str">
        <f aca="false">IF($D1008="","",$D1008&amp;"|"&amp;$H1008)</f>
        <v/>
      </c>
    </row>
    <row r="1009" customFormat="false" ht="15" hidden="false" customHeight="false" outlineLevel="0" collapsed="false">
      <c r="K1009" s="4" t="n">
        <f aca="false">IF($J1009="Y","",IF($F1009="BW",$I1009,$H1009*$I1009))</f>
        <v>0</v>
      </c>
      <c r="L1009" s="4" t="str">
        <f aca="false">IF($D1009="","",$D1009&amp;"|"&amp;$H1009)</f>
        <v/>
      </c>
    </row>
    <row r="1010" customFormat="false" ht="15" hidden="false" customHeight="false" outlineLevel="0" collapsed="false">
      <c r="K1010" s="4" t="n">
        <f aca="false">IF($J1010="Y","",IF($F1010="BW",$I1010,$H1010*$I1010))</f>
        <v>0</v>
      </c>
      <c r="L1010" s="4" t="str">
        <f aca="false">IF($D1010="","",$D1010&amp;"|"&amp;$H1010)</f>
        <v/>
      </c>
    </row>
    <row r="1011" customFormat="false" ht="15" hidden="false" customHeight="false" outlineLevel="0" collapsed="false">
      <c r="K1011" s="4" t="n">
        <f aca="false">IF($J1011="Y","",IF($F1011="BW",$I1011,$H1011*$I1011))</f>
        <v>0</v>
      </c>
      <c r="L1011" s="4" t="str">
        <f aca="false">IF($D1011="","",$D1011&amp;"|"&amp;$H1011)</f>
        <v/>
      </c>
    </row>
    <row r="1012" customFormat="false" ht="15" hidden="false" customHeight="false" outlineLevel="0" collapsed="false">
      <c r="K1012" s="4" t="n">
        <f aca="false">IF($J1012="Y","",IF($F1012="BW",$I1012,$H1012*$I1012))</f>
        <v>0</v>
      </c>
      <c r="L1012" s="4" t="str">
        <f aca="false">IF($D1012="","",$D1012&amp;"|"&amp;$H1012)</f>
        <v/>
      </c>
    </row>
    <row r="1013" customFormat="false" ht="15" hidden="false" customHeight="false" outlineLevel="0" collapsed="false">
      <c r="K1013" s="4" t="n">
        <f aca="false">IF($J1013="Y","",IF($F1013="BW",$I1013,$H1013*$I1013))</f>
        <v>0</v>
      </c>
      <c r="L1013" s="4" t="str">
        <f aca="false">IF($D1013="","",$D1013&amp;"|"&amp;$H1013)</f>
        <v/>
      </c>
    </row>
    <row r="1014" customFormat="false" ht="15" hidden="false" customHeight="false" outlineLevel="0" collapsed="false">
      <c r="K1014" s="4" t="n">
        <f aca="false">IF($J1014="Y","",IF($F1014="BW",$I1014,$H1014*$I1014))</f>
        <v>0</v>
      </c>
      <c r="L1014" s="4" t="str">
        <f aca="false">IF($D1014="","",$D1014&amp;"|"&amp;$H1014)</f>
        <v/>
      </c>
    </row>
    <row r="1015" customFormat="false" ht="15" hidden="false" customHeight="false" outlineLevel="0" collapsed="false">
      <c r="K1015" s="4" t="n">
        <f aca="false">IF($J1015="Y","",IF($F1015="BW",$I1015,$H1015*$I1015))</f>
        <v>0</v>
      </c>
      <c r="L1015" s="4" t="str">
        <f aca="false">IF($D1015="","",$D1015&amp;"|"&amp;$H1015)</f>
        <v/>
      </c>
    </row>
    <row r="1016" customFormat="false" ht="15" hidden="false" customHeight="false" outlineLevel="0" collapsed="false">
      <c r="K1016" s="4" t="n">
        <f aca="false">IF($J1016="Y","",IF($F1016="BW",$I1016,$H1016*$I1016))</f>
        <v>0</v>
      </c>
      <c r="L1016" s="4" t="str">
        <f aca="false">IF($D1016="","",$D1016&amp;"|"&amp;$H1016)</f>
        <v/>
      </c>
    </row>
    <row r="1017" customFormat="false" ht="15" hidden="false" customHeight="false" outlineLevel="0" collapsed="false">
      <c r="K1017" s="4" t="n">
        <f aca="false">IF($J1017="Y","",IF($F1017="BW",$I1017,$H1017*$I1017))</f>
        <v>0</v>
      </c>
      <c r="L1017" s="4" t="str">
        <f aca="false">IF($D1017="","",$D1017&amp;"|"&amp;$H1017)</f>
        <v/>
      </c>
    </row>
    <row r="1018" customFormat="false" ht="15" hidden="false" customHeight="false" outlineLevel="0" collapsed="false">
      <c r="K1018" s="4" t="n">
        <f aca="false">IF($J1018="Y","",IF($F1018="BW",$I1018,$H1018*$I1018))</f>
        <v>0</v>
      </c>
      <c r="L1018" s="4" t="str">
        <f aca="false">IF($D1018="","",$D1018&amp;"|"&amp;$H1018)</f>
        <v/>
      </c>
    </row>
    <row r="1019" customFormat="false" ht="15" hidden="false" customHeight="false" outlineLevel="0" collapsed="false">
      <c r="K1019" s="4" t="n">
        <f aca="false">IF($J1019="Y","",IF($F1019="BW",$I1019,$H1019*$I1019))</f>
        <v>0</v>
      </c>
      <c r="L1019" s="4" t="str">
        <f aca="false">IF($D1019="","",$D1019&amp;"|"&amp;$H1019)</f>
        <v/>
      </c>
    </row>
    <row r="1020" customFormat="false" ht="15" hidden="false" customHeight="false" outlineLevel="0" collapsed="false">
      <c r="K1020" s="4" t="n">
        <f aca="false">IF($J1020="Y","",IF($F1020="BW",$I1020,$H1020*$I1020))</f>
        <v>0</v>
      </c>
      <c r="L1020" s="4" t="str">
        <f aca="false">IF($D1020="","",$D1020&amp;"|"&amp;$H1020)</f>
        <v/>
      </c>
    </row>
    <row r="1021" customFormat="false" ht="15" hidden="false" customHeight="false" outlineLevel="0" collapsed="false">
      <c r="K1021" s="4" t="n">
        <f aca="false">IF($J1021="Y","",IF($F1021="BW",$I1021,$H1021*$I1021))</f>
        <v>0</v>
      </c>
      <c r="L1021" s="4" t="str">
        <f aca="false">IF($D1021="","",$D1021&amp;"|"&amp;$H1021)</f>
        <v/>
      </c>
    </row>
    <row r="1022" customFormat="false" ht="15" hidden="false" customHeight="false" outlineLevel="0" collapsed="false">
      <c r="K1022" s="4" t="n">
        <f aca="false">IF($J1022="Y","",IF($F1022="BW",$I1022,$H1022*$I1022))</f>
        <v>0</v>
      </c>
      <c r="L1022" s="4" t="str">
        <f aca="false">IF($D1022="","",$D1022&amp;"|"&amp;$H1022)</f>
        <v/>
      </c>
    </row>
    <row r="1023" customFormat="false" ht="15" hidden="false" customHeight="false" outlineLevel="0" collapsed="false">
      <c r="K1023" s="4" t="n">
        <f aca="false">IF($J1023="Y","",IF($F1023="BW",$I1023,$H1023*$I1023))</f>
        <v>0</v>
      </c>
      <c r="L1023" s="4" t="str">
        <f aca="false">IF($D1023="","",$D1023&amp;"|"&amp;$H1023)</f>
        <v/>
      </c>
    </row>
    <row r="1024" customFormat="false" ht="15" hidden="false" customHeight="false" outlineLevel="0" collapsed="false">
      <c r="K1024" s="4" t="n">
        <f aca="false">IF($J1024="Y","",IF($F1024="BW",$I1024,$H1024*$I1024))</f>
        <v>0</v>
      </c>
      <c r="L1024" s="4" t="str">
        <f aca="false">IF($D1024="","",$D1024&amp;"|"&amp;$H1024)</f>
        <v/>
      </c>
    </row>
    <row r="1025" customFormat="false" ht="15" hidden="false" customHeight="false" outlineLevel="0" collapsed="false">
      <c r="K1025" s="4" t="n">
        <f aca="false">IF($J1025="Y","",IF($F1025="BW",$I1025,$H1025*$I1025))</f>
        <v>0</v>
      </c>
      <c r="L1025" s="4" t="str">
        <f aca="false">IF($D1025="","",$D1025&amp;"|"&amp;$H1025)</f>
        <v/>
      </c>
    </row>
    <row r="1026" customFormat="false" ht="15" hidden="false" customHeight="false" outlineLevel="0" collapsed="false">
      <c r="K1026" s="4" t="n">
        <f aca="false">IF($J1026="Y","",IF($F1026="BW",$I1026,$H1026*$I1026))</f>
        <v>0</v>
      </c>
      <c r="L1026" s="4" t="str">
        <f aca="false">IF($D1026="","",$D1026&amp;"|"&amp;$H1026)</f>
        <v/>
      </c>
    </row>
    <row r="1027" customFormat="false" ht="15" hidden="false" customHeight="false" outlineLevel="0" collapsed="false">
      <c r="K1027" s="4" t="n">
        <f aca="false">IF($J1027="Y","",IF($F1027="BW",$I1027,$H1027*$I1027))</f>
        <v>0</v>
      </c>
      <c r="L1027" s="4" t="str">
        <f aca="false">IF($D1027="","",$D1027&amp;"|"&amp;$H1027)</f>
        <v/>
      </c>
    </row>
    <row r="1028" customFormat="false" ht="15" hidden="false" customHeight="false" outlineLevel="0" collapsed="false">
      <c r="K1028" s="4" t="n">
        <f aca="false">IF($J1028="Y","",IF($F1028="BW",$I1028,$H1028*$I1028))</f>
        <v>0</v>
      </c>
      <c r="L1028" s="4" t="str">
        <f aca="false">IF($D1028="","",$D1028&amp;"|"&amp;$H1028)</f>
        <v/>
      </c>
    </row>
    <row r="1029" customFormat="false" ht="15" hidden="false" customHeight="false" outlineLevel="0" collapsed="false">
      <c r="K1029" s="4" t="n">
        <f aca="false">IF($J1029="Y","",IF($F1029="BW",$I1029,$H1029*$I1029))</f>
        <v>0</v>
      </c>
      <c r="L1029" s="4" t="str">
        <f aca="false">IF($D1029="","",$D1029&amp;"|"&amp;$H1029)</f>
        <v/>
      </c>
    </row>
    <row r="1030" customFormat="false" ht="15" hidden="false" customHeight="false" outlineLevel="0" collapsed="false">
      <c r="K1030" s="4" t="n">
        <f aca="false">IF($J1030="Y","",IF($F1030="BW",$I1030,$H1030*$I1030))</f>
        <v>0</v>
      </c>
      <c r="L1030" s="4" t="str">
        <f aca="false">IF($D1030="","",$D1030&amp;"|"&amp;$H1030)</f>
        <v/>
      </c>
    </row>
    <row r="1031" customFormat="false" ht="15" hidden="false" customHeight="false" outlineLevel="0" collapsed="false">
      <c r="K1031" s="4" t="n">
        <f aca="false">IF($J1031="Y","",IF($F1031="BW",$I1031,$H1031*$I1031))</f>
        <v>0</v>
      </c>
      <c r="L1031" s="4" t="str">
        <f aca="false">IF($D1031="","",$D1031&amp;"|"&amp;$H1031)</f>
        <v/>
      </c>
    </row>
    <row r="1032" customFormat="false" ht="15" hidden="false" customHeight="false" outlineLevel="0" collapsed="false">
      <c r="K1032" s="4" t="n">
        <f aca="false">IF($J1032="Y","",IF($F1032="BW",$I1032,$H1032*$I1032))</f>
        <v>0</v>
      </c>
      <c r="L1032" s="4" t="str">
        <f aca="false">IF($D1032="","",$D1032&amp;"|"&amp;$H1032)</f>
        <v/>
      </c>
    </row>
    <row r="1033" customFormat="false" ht="15" hidden="false" customHeight="false" outlineLevel="0" collapsed="false">
      <c r="K1033" s="4" t="n">
        <f aca="false">IF($J1033="Y","",IF($F1033="BW",$I1033,$H1033*$I1033))</f>
        <v>0</v>
      </c>
      <c r="L1033" s="4" t="str">
        <f aca="false">IF($D1033="","",$D1033&amp;"|"&amp;$H1033)</f>
        <v/>
      </c>
    </row>
    <row r="1034" customFormat="false" ht="15" hidden="false" customHeight="false" outlineLevel="0" collapsed="false">
      <c r="K1034" s="4" t="n">
        <f aca="false">IF($J1034="Y","",IF($F1034="BW",$I1034,$H1034*$I1034))</f>
        <v>0</v>
      </c>
      <c r="L1034" s="4" t="str">
        <f aca="false">IF($D1034="","",$D1034&amp;"|"&amp;$H1034)</f>
        <v/>
      </c>
    </row>
    <row r="1035" customFormat="false" ht="15" hidden="false" customHeight="false" outlineLevel="0" collapsed="false">
      <c r="K1035" s="4" t="n">
        <f aca="false">IF($J1035="Y","",IF($F1035="BW",$I1035,$H1035*$I1035))</f>
        <v>0</v>
      </c>
      <c r="L1035" s="4" t="str">
        <f aca="false">IF($D1035="","",$D1035&amp;"|"&amp;$H1035)</f>
        <v/>
      </c>
    </row>
    <row r="1036" customFormat="false" ht="15" hidden="false" customHeight="false" outlineLevel="0" collapsed="false">
      <c r="K1036" s="4" t="n">
        <f aca="false">IF($J1036="Y","",IF($F1036="BW",$I1036,$H1036*$I1036))</f>
        <v>0</v>
      </c>
      <c r="L1036" s="4" t="str">
        <f aca="false">IF($D1036="","",$D1036&amp;"|"&amp;$H1036)</f>
        <v/>
      </c>
    </row>
    <row r="1037" customFormat="false" ht="15" hidden="false" customHeight="false" outlineLevel="0" collapsed="false">
      <c r="K1037" s="4" t="n">
        <f aca="false">IF($J1037="Y","",IF($F1037="BW",$I1037,$H1037*$I1037))</f>
        <v>0</v>
      </c>
      <c r="L1037" s="4" t="str">
        <f aca="false">IF($D1037="","",$D1037&amp;"|"&amp;$H1037)</f>
        <v/>
      </c>
    </row>
    <row r="1038" customFormat="false" ht="15" hidden="false" customHeight="false" outlineLevel="0" collapsed="false">
      <c r="K1038" s="4" t="n">
        <f aca="false">IF($J1038="Y","",IF($F1038="BW",$I1038,$H1038*$I1038))</f>
        <v>0</v>
      </c>
      <c r="L1038" s="4" t="str">
        <f aca="false">IF($D1038="","",$D1038&amp;"|"&amp;$H1038)</f>
        <v/>
      </c>
    </row>
    <row r="1039" customFormat="false" ht="15" hidden="false" customHeight="false" outlineLevel="0" collapsed="false">
      <c r="K1039" s="4" t="n">
        <f aca="false">IF($J1039="Y","",IF($F1039="BW",$I1039,$H1039*$I1039))</f>
        <v>0</v>
      </c>
      <c r="L1039" s="4" t="str">
        <f aca="false">IF($D1039="","",$D1039&amp;"|"&amp;$H1039)</f>
        <v/>
      </c>
    </row>
    <row r="1040" customFormat="false" ht="15" hidden="false" customHeight="false" outlineLevel="0" collapsed="false">
      <c r="K1040" s="4" t="n">
        <f aca="false">IF($J1040="Y","",IF($F1040="BW",$I1040,$H1040*$I1040))</f>
        <v>0</v>
      </c>
      <c r="L1040" s="4" t="str">
        <f aca="false">IF($D1040="","",$D1040&amp;"|"&amp;$H1040)</f>
        <v/>
      </c>
    </row>
    <row r="1041" customFormat="false" ht="15" hidden="false" customHeight="false" outlineLevel="0" collapsed="false">
      <c r="K1041" s="4" t="n">
        <f aca="false">IF($J1041="Y","",IF($F1041="BW",$I1041,$H1041*$I1041))</f>
        <v>0</v>
      </c>
      <c r="L1041" s="4" t="str">
        <f aca="false">IF($D1041="","",$D1041&amp;"|"&amp;$H1041)</f>
        <v/>
      </c>
    </row>
    <row r="1042" customFormat="false" ht="15" hidden="false" customHeight="false" outlineLevel="0" collapsed="false">
      <c r="K1042" s="4" t="n">
        <f aca="false">IF($J1042="Y","",IF($F1042="BW",$I1042,$H1042*$I1042))</f>
        <v>0</v>
      </c>
      <c r="L1042" s="4" t="str">
        <f aca="false">IF($D1042="","",$D1042&amp;"|"&amp;$H1042)</f>
        <v/>
      </c>
    </row>
    <row r="1043" customFormat="false" ht="15" hidden="false" customHeight="false" outlineLevel="0" collapsed="false">
      <c r="K1043" s="4" t="n">
        <f aca="false">IF($J1043="Y","",IF($F1043="BW",$I1043,$H1043*$I1043))</f>
        <v>0</v>
      </c>
      <c r="L1043" s="4" t="str">
        <f aca="false">IF($D1043="","",$D1043&amp;"|"&amp;$H1043)</f>
        <v/>
      </c>
    </row>
    <row r="1044" customFormat="false" ht="15" hidden="false" customHeight="false" outlineLevel="0" collapsed="false">
      <c r="K1044" s="4" t="n">
        <f aca="false">IF($J1044="Y","",IF($F1044="BW",$I1044,$H1044*$I1044))</f>
        <v>0</v>
      </c>
      <c r="L1044" s="4" t="str">
        <f aca="false">IF($D1044="","",$D1044&amp;"|"&amp;$H1044)</f>
        <v/>
      </c>
    </row>
    <row r="1045" customFormat="false" ht="15" hidden="false" customHeight="false" outlineLevel="0" collapsed="false">
      <c r="K1045" s="4" t="n">
        <f aca="false">IF($J1045="Y","",IF($F1045="BW",$I1045,$H1045*$I1045))</f>
        <v>0</v>
      </c>
      <c r="L1045" s="4" t="str">
        <f aca="false">IF($D1045="","",$D1045&amp;"|"&amp;$H1045)</f>
        <v/>
      </c>
    </row>
    <row r="1046" customFormat="false" ht="15" hidden="false" customHeight="false" outlineLevel="0" collapsed="false">
      <c r="K1046" s="4" t="n">
        <f aca="false">IF($J1046="Y","",IF($F1046="BW",$I1046,$H1046*$I1046))</f>
        <v>0</v>
      </c>
      <c r="L1046" s="4" t="str">
        <f aca="false">IF($D1046="","",$D1046&amp;"|"&amp;$H1046)</f>
        <v/>
      </c>
    </row>
    <row r="1047" customFormat="false" ht="15" hidden="false" customHeight="false" outlineLevel="0" collapsed="false">
      <c r="K1047" s="4" t="n">
        <f aca="false">IF($J1047="Y","",IF($F1047="BW",$I1047,$H1047*$I1047))</f>
        <v>0</v>
      </c>
      <c r="L1047" s="4" t="str">
        <f aca="false">IF($D1047="","",$D1047&amp;"|"&amp;$H1047)</f>
        <v/>
      </c>
    </row>
    <row r="1048" customFormat="false" ht="15" hidden="false" customHeight="false" outlineLevel="0" collapsed="false">
      <c r="K1048" s="4" t="n">
        <f aca="false">IF($J1048="Y","",IF($F1048="BW",$I1048,$H1048*$I1048))</f>
        <v>0</v>
      </c>
      <c r="L1048" s="4" t="str">
        <f aca="false">IF($D1048="","",$D1048&amp;"|"&amp;$H1048)</f>
        <v/>
      </c>
    </row>
    <row r="1049" customFormat="false" ht="15" hidden="false" customHeight="false" outlineLevel="0" collapsed="false">
      <c r="K1049" s="4" t="n">
        <f aca="false">IF($J1049="Y","",IF($F1049="BW",$I1049,$H1049*$I1049))</f>
        <v>0</v>
      </c>
      <c r="L1049" s="4" t="str">
        <f aca="false">IF($D1049="","",$D1049&amp;"|"&amp;$H1049)</f>
        <v/>
      </c>
    </row>
    <row r="1050" customFormat="false" ht="15" hidden="false" customHeight="false" outlineLevel="0" collapsed="false">
      <c r="K1050" s="4" t="n">
        <f aca="false">IF($J1050="Y","",IF($F1050="BW",$I1050,$H1050*$I1050))</f>
        <v>0</v>
      </c>
      <c r="L1050" s="4" t="str">
        <f aca="false">IF($D1050="","",$D1050&amp;"|"&amp;$H1050)</f>
        <v/>
      </c>
    </row>
    <row r="1051" customFormat="false" ht="15" hidden="false" customHeight="false" outlineLevel="0" collapsed="false">
      <c r="K1051" s="4" t="n">
        <f aca="false">IF($J1051="Y","",IF($F1051="BW",$I1051,$H1051*$I1051))</f>
        <v>0</v>
      </c>
      <c r="L1051" s="4" t="str">
        <f aca="false">IF($D1051="","",$D1051&amp;"|"&amp;$H1051)</f>
        <v/>
      </c>
    </row>
    <row r="1052" customFormat="false" ht="15" hidden="false" customHeight="false" outlineLevel="0" collapsed="false">
      <c r="K1052" s="4" t="n">
        <f aca="false">IF($J1052="Y","",IF($F1052="BW",$I1052,$H1052*$I1052))</f>
        <v>0</v>
      </c>
      <c r="L1052" s="4" t="str">
        <f aca="false">IF($D1052="","",$D1052&amp;"|"&amp;$H1052)</f>
        <v/>
      </c>
    </row>
    <row r="1053" customFormat="false" ht="15" hidden="false" customHeight="false" outlineLevel="0" collapsed="false">
      <c r="K1053" s="4" t="n">
        <f aca="false">IF($J1053="Y","",IF($F1053="BW",$I1053,$H1053*$I1053))</f>
        <v>0</v>
      </c>
      <c r="L1053" s="4" t="str">
        <f aca="false">IF($D1053="","",$D1053&amp;"|"&amp;$H1053)</f>
        <v/>
      </c>
    </row>
    <row r="1054" customFormat="false" ht="15" hidden="false" customHeight="false" outlineLevel="0" collapsed="false">
      <c r="K1054" s="4" t="n">
        <f aca="false">IF($J1054="Y","",IF($F1054="BW",$I1054,$H1054*$I1054))</f>
        <v>0</v>
      </c>
      <c r="L1054" s="4" t="str">
        <f aca="false">IF($D1054="","",$D1054&amp;"|"&amp;$H1054)</f>
        <v/>
      </c>
    </row>
    <row r="1055" customFormat="false" ht="15" hidden="false" customHeight="false" outlineLevel="0" collapsed="false">
      <c r="K1055" s="4" t="n">
        <f aca="false">IF($J1055="Y","",IF($F1055="BW",$I1055,$H1055*$I1055))</f>
        <v>0</v>
      </c>
      <c r="L1055" s="4" t="str">
        <f aca="false">IF($D1055="","",$D1055&amp;"|"&amp;$H1055)</f>
        <v/>
      </c>
    </row>
    <row r="1056" customFormat="false" ht="15" hidden="false" customHeight="false" outlineLevel="0" collapsed="false">
      <c r="K1056" s="4" t="n">
        <f aca="false">IF($J1056="Y","",IF($F1056="BW",$I1056,$H1056*$I1056))</f>
        <v>0</v>
      </c>
      <c r="L1056" s="4" t="str">
        <f aca="false">IF($D1056="","",$D1056&amp;"|"&amp;$H1056)</f>
        <v/>
      </c>
    </row>
    <row r="1057" customFormat="false" ht="15" hidden="false" customHeight="false" outlineLevel="0" collapsed="false">
      <c r="K1057" s="4" t="n">
        <f aca="false">IF($J1057="Y","",IF($F1057="BW",$I1057,$H1057*$I1057))</f>
        <v>0</v>
      </c>
      <c r="L1057" s="4" t="str">
        <f aca="false">IF($D1057="","",$D1057&amp;"|"&amp;$H1057)</f>
        <v/>
      </c>
    </row>
    <row r="1058" customFormat="false" ht="15" hidden="false" customHeight="false" outlineLevel="0" collapsed="false">
      <c r="K1058" s="4" t="n">
        <f aca="false">IF($J1058="Y","",IF($F1058="BW",$I1058,$H1058*$I1058))</f>
        <v>0</v>
      </c>
      <c r="L1058" s="4" t="str">
        <f aca="false">IF($D1058="","",$D1058&amp;"|"&amp;$H1058)</f>
        <v/>
      </c>
    </row>
    <row r="1059" customFormat="false" ht="15" hidden="false" customHeight="false" outlineLevel="0" collapsed="false">
      <c r="K1059" s="4" t="n">
        <f aca="false">IF($J1059="Y","",IF($F1059="BW",$I1059,$H1059*$I1059))</f>
        <v>0</v>
      </c>
      <c r="L1059" s="4" t="str">
        <f aca="false">IF($D1059="","",$D1059&amp;"|"&amp;$H1059)</f>
        <v/>
      </c>
    </row>
    <row r="1060" customFormat="false" ht="15" hidden="false" customHeight="false" outlineLevel="0" collapsed="false">
      <c r="K1060" s="4" t="n">
        <f aca="false">IF($J1060="Y","",IF($F1060="BW",$I1060,$H1060*$I1060))</f>
        <v>0</v>
      </c>
      <c r="L1060" s="4" t="str">
        <f aca="false">IF($D1060="","",$D1060&amp;"|"&amp;$H1060)</f>
        <v/>
      </c>
    </row>
    <row r="1061" customFormat="false" ht="15" hidden="false" customHeight="false" outlineLevel="0" collapsed="false">
      <c r="K1061" s="4" t="n">
        <f aca="false">IF($J1061="Y","",IF($F1061="BW",$I1061,$H1061*$I1061))</f>
        <v>0</v>
      </c>
      <c r="L1061" s="4" t="str">
        <f aca="false">IF($D1061="","",$D1061&amp;"|"&amp;$H1061)</f>
        <v/>
      </c>
    </row>
    <row r="1062" customFormat="false" ht="15" hidden="false" customHeight="false" outlineLevel="0" collapsed="false">
      <c r="K1062" s="4" t="n">
        <f aca="false">IF($J1062="Y","",IF($F1062="BW",$I1062,$H1062*$I1062))</f>
        <v>0</v>
      </c>
      <c r="L1062" s="4" t="str">
        <f aca="false">IF($D1062="","",$D1062&amp;"|"&amp;$H1062)</f>
        <v/>
      </c>
    </row>
    <row r="1063" customFormat="false" ht="15" hidden="false" customHeight="false" outlineLevel="0" collapsed="false">
      <c r="K1063" s="4" t="n">
        <f aca="false">IF($J1063="Y","",IF($F1063="BW",$I1063,$H1063*$I1063))</f>
        <v>0</v>
      </c>
      <c r="L1063" s="4" t="str">
        <f aca="false">IF($D1063="","",$D1063&amp;"|"&amp;$H1063)</f>
        <v/>
      </c>
    </row>
    <row r="1064" customFormat="false" ht="15" hidden="false" customHeight="false" outlineLevel="0" collapsed="false">
      <c r="K1064" s="4" t="n">
        <f aca="false">IF($J1064="Y","",IF($F1064="BW",$I1064,$H1064*$I1064))</f>
        <v>0</v>
      </c>
      <c r="L1064" s="4" t="str">
        <f aca="false">IF($D1064="","",$D1064&amp;"|"&amp;$H1064)</f>
        <v/>
      </c>
    </row>
    <row r="1065" customFormat="false" ht="15" hidden="false" customHeight="false" outlineLevel="0" collapsed="false">
      <c r="K1065" s="4" t="n">
        <f aca="false">IF($J1065="Y","",IF($F1065="BW",$I1065,$H1065*$I1065))</f>
        <v>0</v>
      </c>
      <c r="L1065" s="4" t="str">
        <f aca="false">IF($D1065="","",$D1065&amp;"|"&amp;$H1065)</f>
        <v/>
      </c>
    </row>
    <row r="1066" customFormat="false" ht="15" hidden="false" customHeight="false" outlineLevel="0" collapsed="false">
      <c r="K1066" s="4" t="n">
        <f aca="false">IF($J1066="Y","",IF($F1066="BW",$I1066,$H1066*$I1066))</f>
        <v>0</v>
      </c>
      <c r="L1066" s="4" t="str">
        <f aca="false">IF($D1066="","",$D1066&amp;"|"&amp;$H1066)</f>
        <v/>
      </c>
    </row>
    <row r="1067" customFormat="false" ht="15" hidden="false" customHeight="false" outlineLevel="0" collapsed="false">
      <c r="K1067" s="4" t="n">
        <f aca="false">IF($J1067="Y","",IF($F1067="BW",$I1067,$H1067*$I1067))</f>
        <v>0</v>
      </c>
      <c r="L1067" s="4" t="str">
        <f aca="false">IF($D1067="","",$D1067&amp;"|"&amp;$H1067)</f>
        <v/>
      </c>
    </row>
    <row r="1068" customFormat="false" ht="15" hidden="false" customHeight="false" outlineLevel="0" collapsed="false">
      <c r="K1068" s="4" t="n">
        <f aca="false">IF($J1068="Y","",IF($F1068="BW",$I1068,$H1068*$I1068))</f>
        <v>0</v>
      </c>
      <c r="L1068" s="4" t="str">
        <f aca="false">IF($D1068="","",$D1068&amp;"|"&amp;$H1068)</f>
        <v/>
      </c>
    </row>
    <row r="1069" customFormat="false" ht="15" hidden="false" customHeight="false" outlineLevel="0" collapsed="false">
      <c r="K1069" s="4" t="n">
        <f aca="false">IF($J1069="Y","",IF($F1069="BW",$I1069,$H1069*$I1069))</f>
        <v>0</v>
      </c>
      <c r="L1069" s="4" t="str">
        <f aca="false">IF($D1069="","",$D1069&amp;"|"&amp;$H1069)</f>
        <v/>
      </c>
    </row>
    <row r="1070" customFormat="false" ht="15" hidden="false" customHeight="false" outlineLevel="0" collapsed="false">
      <c r="K1070" s="4" t="n">
        <f aca="false">IF($J1070="Y","",IF($F1070="BW",$I1070,$H1070*$I1070))</f>
        <v>0</v>
      </c>
      <c r="L1070" s="4" t="str">
        <f aca="false">IF($D1070="","",$D1070&amp;"|"&amp;$H1070)</f>
        <v/>
      </c>
    </row>
    <row r="1071" customFormat="false" ht="15" hidden="false" customHeight="false" outlineLevel="0" collapsed="false">
      <c r="K1071" s="4" t="n">
        <f aca="false">IF($J1071="Y","",IF($F1071="BW",$I1071,$H1071*$I1071))</f>
        <v>0</v>
      </c>
      <c r="L1071" s="4" t="str">
        <f aca="false">IF($D1071="","",$D1071&amp;"|"&amp;$H1071)</f>
        <v/>
      </c>
    </row>
    <row r="1072" customFormat="false" ht="15" hidden="false" customHeight="false" outlineLevel="0" collapsed="false">
      <c r="K1072" s="4" t="n">
        <f aca="false">IF($J1072="Y","",IF($F1072="BW",$I1072,$H1072*$I1072))</f>
        <v>0</v>
      </c>
      <c r="L1072" s="4" t="str">
        <f aca="false">IF($D1072="","",$D1072&amp;"|"&amp;$H1072)</f>
        <v/>
      </c>
    </row>
    <row r="1073" customFormat="false" ht="15" hidden="false" customHeight="false" outlineLevel="0" collapsed="false">
      <c r="K1073" s="4" t="n">
        <f aca="false">IF($J1073="Y","",IF($F1073="BW",$I1073,$H1073*$I1073))</f>
        <v>0</v>
      </c>
      <c r="L1073" s="4" t="str">
        <f aca="false">IF($D1073="","",$D1073&amp;"|"&amp;$H1073)</f>
        <v/>
      </c>
    </row>
    <row r="1074" customFormat="false" ht="15" hidden="false" customHeight="false" outlineLevel="0" collapsed="false">
      <c r="K1074" s="4" t="n">
        <f aca="false">IF($J1074="Y","",IF($F1074="BW",$I1074,$H1074*$I1074))</f>
        <v>0</v>
      </c>
      <c r="L1074" s="4" t="str">
        <f aca="false">IF($D1074="","",$D1074&amp;"|"&amp;$H1074)</f>
        <v/>
      </c>
    </row>
    <row r="1075" customFormat="false" ht="15" hidden="false" customHeight="false" outlineLevel="0" collapsed="false">
      <c r="K1075" s="4" t="n">
        <f aca="false">IF($J1075="Y","",IF($F1075="BW",$I1075,$H1075*$I1075))</f>
        <v>0</v>
      </c>
      <c r="L1075" s="4" t="str">
        <f aca="false">IF($D1075="","",$D1075&amp;"|"&amp;$H1075)</f>
        <v/>
      </c>
    </row>
    <row r="1076" customFormat="false" ht="15" hidden="false" customHeight="false" outlineLevel="0" collapsed="false">
      <c r="K1076" s="4" t="n">
        <f aca="false">IF($J1076="Y","",IF($F1076="BW",$I1076,$H1076*$I1076))</f>
        <v>0</v>
      </c>
      <c r="L1076" s="4" t="str">
        <f aca="false">IF($D1076="","",$D1076&amp;"|"&amp;$H1076)</f>
        <v/>
      </c>
    </row>
    <row r="1077" customFormat="false" ht="15" hidden="false" customHeight="false" outlineLevel="0" collapsed="false">
      <c r="K1077" s="4" t="n">
        <f aca="false">IF($J1077="Y","",IF($F1077="BW",$I1077,$H1077*$I1077))</f>
        <v>0</v>
      </c>
      <c r="L1077" s="4" t="str">
        <f aca="false">IF($D1077="","",$D1077&amp;"|"&amp;$H1077)</f>
        <v/>
      </c>
    </row>
    <row r="1078" customFormat="false" ht="15" hidden="false" customHeight="false" outlineLevel="0" collapsed="false">
      <c r="K1078" s="4" t="n">
        <f aca="false">IF($J1078="Y","",IF($F1078="BW",$I1078,$H1078*$I1078))</f>
        <v>0</v>
      </c>
      <c r="L1078" s="4" t="str">
        <f aca="false">IF($D1078="","",$D1078&amp;"|"&amp;$H1078)</f>
        <v/>
      </c>
    </row>
    <row r="1079" customFormat="false" ht="15" hidden="false" customHeight="false" outlineLevel="0" collapsed="false">
      <c r="K1079" s="4" t="n">
        <f aca="false">IF($J1079="Y","",IF($F1079="BW",$I1079,$H1079*$I1079))</f>
        <v>0</v>
      </c>
      <c r="L1079" s="4" t="str">
        <f aca="false">IF($D1079="","",$D1079&amp;"|"&amp;$H1079)</f>
        <v/>
      </c>
    </row>
    <row r="1080" customFormat="false" ht="15" hidden="false" customHeight="false" outlineLevel="0" collapsed="false">
      <c r="K1080" s="4" t="n">
        <f aca="false">IF($J1080="Y","",IF($F1080="BW",$I1080,$H1080*$I1080))</f>
        <v>0</v>
      </c>
      <c r="L1080" s="4" t="str">
        <f aca="false">IF($D1080="","",$D1080&amp;"|"&amp;$H1080)</f>
        <v/>
      </c>
    </row>
    <row r="1081" customFormat="false" ht="15" hidden="false" customHeight="false" outlineLevel="0" collapsed="false">
      <c r="K1081" s="4" t="n">
        <f aca="false">IF($J1081="Y","",IF($F1081="BW",$I1081,$H1081*$I1081))</f>
        <v>0</v>
      </c>
      <c r="L1081" s="4" t="str">
        <f aca="false">IF($D1081="","",$D1081&amp;"|"&amp;$H1081)</f>
        <v/>
      </c>
    </row>
    <row r="1082" customFormat="false" ht="15" hidden="false" customHeight="false" outlineLevel="0" collapsed="false">
      <c r="K1082" s="4" t="n">
        <f aca="false">IF($J1082="Y","",IF($F1082="BW",$I1082,$H1082*$I1082))</f>
        <v>0</v>
      </c>
      <c r="L1082" s="4" t="str">
        <f aca="false">IF($D1082="","",$D1082&amp;"|"&amp;$H1082)</f>
        <v/>
      </c>
    </row>
    <row r="1083" customFormat="false" ht="15" hidden="false" customHeight="false" outlineLevel="0" collapsed="false">
      <c r="K1083" s="4" t="n">
        <f aca="false">IF($J1083="Y","",IF($F1083="BW",$I1083,$H1083*$I1083))</f>
        <v>0</v>
      </c>
      <c r="L1083" s="4" t="str">
        <f aca="false">IF($D1083="","",$D1083&amp;"|"&amp;$H1083)</f>
        <v/>
      </c>
    </row>
    <row r="1084" customFormat="false" ht="15" hidden="false" customHeight="false" outlineLevel="0" collapsed="false">
      <c r="K1084" s="4" t="n">
        <f aca="false">IF($J1084="Y","",IF($F1084="BW",$I1084,$H1084*$I1084))</f>
        <v>0</v>
      </c>
      <c r="L1084" s="4" t="str">
        <f aca="false">IF($D1084="","",$D1084&amp;"|"&amp;$H1084)</f>
        <v/>
      </c>
    </row>
    <row r="1085" customFormat="false" ht="15" hidden="false" customHeight="false" outlineLevel="0" collapsed="false">
      <c r="K1085" s="4" t="n">
        <f aca="false">IF($J1085="Y","",IF($F1085="BW",$I1085,$H1085*$I1085))</f>
        <v>0</v>
      </c>
      <c r="L1085" s="4" t="str">
        <f aca="false">IF($D1085="","",$D1085&amp;"|"&amp;$H1085)</f>
        <v/>
      </c>
    </row>
    <row r="1086" customFormat="false" ht="15" hidden="false" customHeight="false" outlineLevel="0" collapsed="false">
      <c r="K1086" s="4" t="n">
        <f aca="false">IF($J1086="Y","",IF($F1086="BW",$I1086,$H1086*$I1086))</f>
        <v>0</v>
      </c>
      <c r="L1086" s="4" t="str">
        <f aca="false">IF($D1086="","",$D1086&amp;"|"&amp;$H1086)</f>
        <v/>
      </c>
    </row>
    <row r="1087" customFormat="false" ht="15" hidden="false" customHeight="false" outlineLevel="0" collapsed="false">
      <c r="K1087" s="4" t="n">
        <f aca="false">IF($J1087="Y","",IF($F1087="BW",$I1087,$H1087*$I1087))</f>
        <v>0</v>
      </c>
      <c r="L1087" s="4" t="str">
        <f aca="false">IF($D1087="","",$D1087&amp;"|"&amp;$H1087)</f>
        <v/>
      </c>
    </row>
    <row r="1088" customFormat="false" ht="15" hidden="false" customHeight="false" outlineLevel="0" collapsed="false">
      <c r="K1088" s="4" t="n">
        <f aca="false">IF($J1088="Y","",IF($F1088="BW",$I1088,$H1088*$I1088))</f>
        <v>0</v>
      </c>
      <c r="L1088" s="4" t="str">
        <f aca="false">IF($D1088="","",$D1088&amp;"|"&amp;$H1088)</f>
        <v/>
      </c>
    </row>
    <row r="1089" customFormat="false" ht="15" hidden="false" customHeight="false" outlineLevel="0" collapsed="false">
      <c r="K1089" s="4" t="n">
        <f aca="false">IF($J1089="Y","",IF($F1089="BW",$I1089,$H1089*$I1089))</f>
        <v>0</v>
      </c>
      <c r="L1089" s="4" t="str">
        <f aca="false">IF($D1089="","",$D1089&amp;"|"&amp;$H1089)</f>
        <v/>
      </c>
    </row>
    <row r="1090" customFormat="false" ht="15" hidden="false" customHeight="false" outlineLevel="0" collapsed="false">
      <c r="K1090" s="4" t="n">
        <f aca="false">IF($J1090="Y","",IF($F1090="BW",$I1090,$H1090*$I1090))</f>
        <v>0</v>
      </c>
      <c r="L1090" s="4" t="str">
        <f aca="false">IF($D1090="","",$D1090&amp;"|"&amp;$H1090)</f>
        <v/>
      </c>
    </row>
    <row r="1091" customFormat="false" ht="15" hidden="false" customHeight="false" outlineLevel="0" collapsed="false">
      <c r="K1091" s="4" t="n">
        <f aca="false">IF($J1091="Y","",IF($F1091="BW",$I1091,$H1091*$I1091))</f>
        <v>0</v>
      </c>
      <c r="L1091" s="4" t="str">
        <f aca="false">IF($D1091="","",$D1091&amp;"|"&amp;$H1091)</f>
        <v/>
      </c>
    </row>
    <row r="1092" customFormat="false" ht="15" hidden="false" customHeight="false" outlineLevel="0" collapsed="false">
      <c r="K1092" s="4" t="n">
        <f aca="false">IF($J1092="Y","",IF($F1092="BW",$I1092,$H1092*$I1092))</f>
        <v>0</v>
      </c>
      <c r="L1092" s="4" t="str">
        <f aca="false">IF($D1092="","",$D1092&amp;"|"&amp;$H1092)</f>
        <v/>
      </c>
    </row>
    <row r="1093" customFormat="false" ht="15" hidden="false" customHeight="false" outlineLevel="0" collapsed="false">
      <c r="K1093" s="4" t="n">
        <f aca="false">IF($J1093="Y","",IF($F1093="BW",$I1093,$H1093*$I1093))</f>
        <v>0</v>
      </c>
      <c r="L1093" s="4" t="str">
        <f aca="false">IF($D1093="","",$D1093&amp;"|"&amp;$H1093)</f>
        <v/>
      </c>
    </row>
    <row r="1094" customFormat="false" ht="15" hidden="false" customHeight="false" outlineLevel="0" collapsed="false">
      <c r="K1094" s="4" t="n">
        <f aca="false">IF($J1094="Y","",IF($F1094="BW",$I1094,$H1094*$I1094))</f>
        <v>0</v>
      </c>
      <c r="L1094" s="4" t="str">
        <f aca="false">IF($D1094="","",$D1094&amp;"|"&amp;$H1094)</f>
        <v/>
      </c>
    </row>
    <row r="1095" customFormat="false" ht="15" hidden="false" customHeight="false" outlineLevel="0" collapsed="false">
      <c r="K1095" s="4" t="n">
        <f aca="false">IF($J1095="Y","",IF($F1095="BW",$I1095,$H1095*$I1095))</f>
        <v>0</v>
      </c>
      <c r="L1095" s="4" t="str">
        <f aca="false">IF($D1095="","",$D1095&amp;"|"&amp;$H1095)</f>
        <v/>
      </c>
    </row>
    <row r="1096" customFormat="false" ht="15" hidden="false" customHeight="false" outlineLevel="0" collapsed="false">
      <c r="K1096" s="4" t="n">
        <f aca="false">IF($J1096="Y","",IF($F1096="BW",$I1096,$H1096*$I1096))</f>
        <v>0</v>
      </c>
      <c r="L1096" s="4" t="str">
        <f aca="false">IF($D1096="","",$D1096&amp;"|"&amp;$H1096)</f>
        <v/>
      </c>
    </row>
    <row r="1097" customFormat="false" ht="15" hidden="false" customHeight="false" outlineLevel="0" collapsed="false">
      <c r="K1097" s="4" t="n">
        <f aca="false">IF($J1097="Y","",IF($F1097="BW",$I1097,$H1097*$I1097))</f>
        <v>0</v>
      </c>
      <c r="L1097" s="4" t="str">
        <f aca="false">IF($D1097="","",$D1097&amp;"|"&amp;$H1097)</f>
        <v/>
      </c>
    </row>
    <row r="1098" customFormat="false" ht="15" hidden="false" customHeight="false" outlineLevel="0" collapsed="false">
      <c r="K1098" s="4" t="n">
        <f aca="false">IF($J1098="Y","",IF($F1098="BW",$I1098,$H1098*$I1098))</f>
        <v>0</v>
      </c>
      <c r="L1098" s="4" t="str">
        <f aca="false">IF($D1098="","",$D1098&amp;"|"&amp;$H1098)</f>
        <v/>
      </c>
    </row>
    <row r="1099" customFormat="false" ht="15" hidden="false" customHeight="false" outlineLevel="0" collapsed="false">
      <c r="K1099" s="4" t="n">
        <f aca="false">IF($J1099="Y","",IF($F1099="BW",$I1099,$H1099*$I1099))</f>
        <v>0</v>
      </c>
      <c r="L1099" s="4" t="str">
        <f aca="false">IF($D1099="","",$D1099&amp;"|"&amp;$H1099)</f>
        <v/>
      </c>
    </row>
    <row r="1100" customFormat="false" ht="15" hidden="false" customHeight="false" outlineLevel="0" collapsed="false">
      <c r="K1100" s="4" t="n">
        <f aca="false">IF($J1100="Y","",IF($F1100="BW",$I1100,$H1100*$I1100))</f>
        <v>0</v>
      </c>
      <c r="L1100" s="4" t="str">
        <f aca="false">IF($D1100="","",$D1100&amp;"|"&amp;$H1100)</f>
        <v/>
      </c>
    </row>
    <row r="1101" customFormat="false" ht="15" hidden="false" customHeight="false" outlineLevel="0" collapsed="false">
      <c r="K1101" s="4" t="n">
        <f aca="false">IF($J1101="Y","",IF($F1101="BW",$I1101,$H1101*$I1101))</f>
        <v>0</v>
      </c>
      <c r="L1101" s="4" t="str">
        <f aca="false">IF($D1101="","",$D1101&amp;"|"&amp;$H1101)</f>
        <v/>
      </c>
    </row>
    <row r="1102" customFormat="false" ht="15" hidden="false" customHeight="false" outlineLevel="0" collapsed="false">
      <c r="K1102" s="4" t="n">
        <f aca="false">IF($J1102="Y","",IF($F1102="BW",$I1102,$H1102*$I1102))</f>
        <v>0</v>
      </c>
      <c r="L1102" s="4" t="str">
        <f aca="false">IF($D1102="","",$D1102&amp;"|"&amp;$H1102)</f>
        <v/>
      </c>
    </row>
    <row r="1103" customFormat="false" ht="15" hidden="false" customHeight="false" outlineLevel="0" collapsed="false">
      <c r="K1103" s="4" t="n">
        <f aca="false">IF($J1103="Y","",IF($F1103="BW",$I1103,$H1103*$I1103))</f>
        <v>0</v>
      </c>
      <c r="L1103" s="4" t="str">
        <f aca="false">IF($D1103="","",$D1103&amp;"|"&amp;$H1103)</f>
        <v/>
      </c>
    </row>
    <row r="1104" customFormat="false" ht="15" hidden="false" customHeight="false" outlineLevel="0" collapsed="false">
      <c r="K1104" s="4" t="n">
        <f aca="false">IF($J1104="Y","",IF($F1104="BW",$I1104,$H1104*$I1104))</f>
        <v>0</v>
      </c>
      <c r="L1104" s="4" t="str">
        <f aca="false">IF($D1104="","",$D1104&amp;"|"&amp;$H1104)</f>
        <v/>
      </c>
    </row>
    <row r="1105" customFormat="false" ht="15" hidden="false" customHeight="false" outlineLevel="0" collapsed="false">
      <c r="K1105" s="4" t="n">
        <f aca="false">IF($J1105="Y","",IF($F1105="BW",$I1105,$H1105*$I1105))</f>
        <v>0</v>
      </c>
      <c r="L1105" s="4" t="str">
        <f aca="false">IF($D1105="","",$D1105&amp;"|"&amp;$H1105)</f>
        <v/>
      </c>
    </row>
    <row r="1106" customFormat="false" ht="15" hidden="false" customHeight="false" outlineLevel="0" collapsed="false">
      <c r="K1106" s="4" t="n">
        <f aca="false">IF($J1106="Y","",IF($F1106="BW",$I1106,$H1106*$I1106))</f>
        <v>0</v>
      </c>
      <c r="L1106" s="4" t="str">
        <f aca="false">IF($D1106="","",$D1106&amp;"|"&amp;$H1106)</f>
        <v/>
      </c>
    </row>
    <row r="1107" customFormat="false" ht="15" hidden="false" customHeight="false" outlineLevel="0" collapsed="false">
      <c r="K1107" s="4" t="n">
        <f aca="false">IF($J1107="Y","",IF($F1107="BW",$I1107,$H1107*$I1107))</f>
        <v>0</v>
      </c>
      <c r="L1107" s="4" t="str">
        <f aca="false">IF($D1107="","",$D1107&amp;"|"&amp;$H1107)</f>
        <v/>
      </c>
    </row>
    <row r="1108" customFormat="false" ht="15" hidden="false" customHeight="false" outlineLevel="0" collapsed="false">
      <c r="K1108" s="4" t="n">
        <f aca="false">IF($J1108="Y","",IF($F1108="BW",$I1108,$H1108*$I1108))</f>
        <v>0</v>
      </c>
      <c r="L1108" s="4" t="str">
        <f aca="false">IF($D1108="","",$D1108&amp;"|"&amp;$H1108)</f>
        <v/>
      </c>
    </row>
    <row r="1109" customFormat="false" ht="15" hidden="false" customHeight="false" outlineLevel="0" collapsed="false">
      <c r="K1109" s="4" t="n">
        <f aca="false">IF($J1109="Y","",IF($F1109="BW",$I1109,$H1109*$I1109))</f>
        <v>0</v>
      </c>
      <c r="L1109" s="4" t="str">
        <f aca="false">IF($D1109="","",$D1109&amp;"|"&amp;$H1109)</f>
        <v/>
      </c>
    </row>
    <row r="1110" customFormat="false" ht="15" hidden="false" customHeight="false" outlineLevel="0" collapsed="false">
      <c r="K1110" s="4" t="n">
        <f aca="false">IF($J1110="Y","",IF($F1110="BW",$I1110,$H1110*$I1110))</f>
        <v>0</v>
      </c>
      <c r="L1110" s="4" t="str">
        <f aca="false">IF($D1110="","",$D1110&amp;"|"&amp;$H1110)</f>
        <v/>
      </c>
    </row>
    <row r="1111" customFormat="false" ht="15" hidden="false" customHeight="false" outlineLevel="0" collapsed="false">
      <c r="K1111" s="4" t="n">
        <f aca="false">IF($J1111="Y","",IF($F1111="BW",$I1111,$H1111*$I1111))</f>
        <v>0</v>
      </c>
      <c r="L1111" s="4" t="str">
        <f aca="false">IF($D1111="","",$D1111&amp;"|"&amp;$H1111)</f>
        <v/>
      </c>
    </row>
    <row r="1112" customFormat="false" ht="15" hidden="false" customHeight="false" outlineLevel="0" collapsed="false">
      <c r="K1112" s="4" t="n">
        <f aca="false">IF($J1112="Y","",IF($F1112="BW",$I1112,$H1112*$I1112))</f>
        <v>0</v>
      </c>
      <c r="L1112" s="4" t="str">
        <f aca="false">IF($D1112="","",$D1112&amp;"|"&amp;$H1112)</f>
        <v/>
      </c>
    </row>
    <row r="1113" customFormat="false" ht="15" hidden="false" customHeight="false" outlineLevel="0" collapsed="false">
      <c r="K1113" s="4" t="n">
        <f aca="false">IF($J1113="Y","",IF($F1113="BW",$I1113,$H1113*$I1113))</f>
        <v>0</v>
      </c>
      <c r="L1113" s="4" t="str">
        <f aca="false">IF($D1113="","",$D1113&amp;"|"&amp;$H1113)</f>
        <v/>
      </c>
    </row>
    <row r="1114" customFormat="false" ht="15" hidden="false" customHeight="false" outlineLevel="0" collapsed="false">
      <c r="K1114" s="4" t="n">
        <f aca="false">IF($J1114="Y","",IF($F1114="BW",$I1114,$H1114*$I1114))</f>
        <v>0</v>
      </c>
      <c r="L1114" s="4" t="str">
        <f aca="false">IF($D1114="","",$D1114&amp;"|"&amp;$H1114)</f>
        <v/>
      </c>
    </row>
    <row r="1115" customFormat="false" ht="15" hidden="false" customHeight="false" outlineLevel="0" collapsed="false">
      <c r="K1115" s="4" t="n">
        <f aca="false">IF($J1115="Y","",IF($F1115="BW",$I1115,$H1115*$I1115))</f>
        <v>0</v>
      </c>
      <c r="L1115" s="4" t="str">
        <f aca="false">IF($D1115="","",$D1115&amp;"|"&amp;$H1115)</f>
        <v/>
      </c>
    </row>
    <row r="1116" customFormat="false" ht="15" hidden="false" customHeight="false" outlineLevel="0" collapsed="false">
      <c r="K1116" s="4" t="n">
        <f aca="false">IF($J1116="Y","",IF($F1116="BW",$I1116,$H1116*$I1116))</f>
        <v>0</v>
      </c>
      <c r="L1116" s="4" t="str">
        <f aca="false">IF($D1116="","",$D1116&amp;"|"&amp;$H1116)</f>
        <v/>
      </c>
    </row>
    <row r="1117" customFormat="false" ht="15" hidden="false" customHeight="false" outlineLevel="0" collapsed="false">
      <c r="K1117" s="4" t="n">
        <f aca="false">IF($J1117="Y","",IF($F1117="BW",$I1117,$H1117*$I1117))</f>
        <v>0</v>
      </c>
      <c r="L1117" s="4" t="str">
        <f aca="false">IF($D1117="","",$D1117&amp;"|"&amp;$H1117)</f>
        <v/>
      </c>
    </row>
    <row r="1118" customFormat="false" ht="15" hidden="false" customHeight="false" outlineLevel="0" collapsed="false">
      <c r="K1118" s="4" t="n">
        <f aca="false">IF($J1118="Y","",IF($F1118="BW",$I1118,$H1118*$I1118))</f>
        <v>0</v>
      </c>
      <c r="L1118" s="4" t="str">
        <f aca="false">IF($D1118="","",$D1118&amp;"|"&amp;$H1118)</f>
        <v/>
      </c>
    </row>
    <row r="1119" customFormat="false" ht="15" hidden="false" customHeight="false" outlineLevel="0" collapsed="false">
      <c r="K1119" s="4" t="n">
        <f aca="false">IF($J1119="Y","",IF($F1119="BW",$I1119,$H1119*$I1119))</f>
        <v>0</v>
      </c>
      <c r="L1119" s="4" t="str">
        <f aca="false">IF($D1119="","",$D1119&amp;"|"&amp;$H1119)</f>
        <v/>
      </c>
    </row>
    <row r="1120" customFormat="false" ht="15" hidden="false" customHeight="false" outlineLevel="0" collapsed="false">
      <c r="K1120" s="4" t="n">
        <f aca="false">IF($J1120="Y","",IF($F1120="BW",$I1120,$H1120*$I1120))</f>
        <v>0</v>
      </c>
      <c r="L1120" s="4" t="str">
        <f aca="false">IF($D1120="","",$D1120&amp;"|"&amp;$H1120)</f>
        <v/>
      </c>
    </row>
    <row r="1121" customFormat="false" ht="15" hidden="false" customHeight="false" outlineLevel="0" collapsed="false">
      <c r="K1121" s="4" t="n">
        <f aca="false">IF($J1121="Y","",IF($F1121="BW",$I1121,$H1121*$I1121))</f>
        <v>0</v>
      </c>
      <c r="L1121" s="4" t="str">
        <f aca="false">IF($D1121="","",$D1121&amp;"|"&amp;$H1121)</f>
        <v/>
      </c>
    </row>
    <row r="1122" customFormat="false" ht="15" hidden="false" customHeight="false" outlineLevel="0" collapsed="false">
      <c r="K1122" s="4" t="n">
        <f aca="false">IF($J1122="Y","",IF($F1122="BW",$I1122,$H1122*$I1122))</f>
        <v>0</v>
      </c>
      <c r="L1122" s="4" t="str">
        <f aca="false">IF($D1122="","",$D1122&amp;"|"&amp;$H1122)</f>
        <v/>
      </c>
    </row>
    <row r="1123" customFormat="false" ht="15" hidden="false" customHeight="false" outlineLevel="0" collapsed="false">
      <c r="K1123" s="4" t="n">
        <f aca="false">IF($J1123="Y","",IF($F1123="BW",$I1123,$H1123*$I1123))</f>
        <v>0</v>
      </c>
      <c r="L1123" s="4" t="str">
        <f aca="false">IF($D1123="","",$D1123&amp;"|"&amp;$H1123)</f>
        <v/>
      </c>
    </row>
    <row r="1124" customFormat="false" ht="15" hidden="false" customHeight="false" outlineLevel="0" collapsed="false">
      <c r="K1124" s="4" t="n">
        <f aca="false">IF($J1124="Y","",IF($F1124="BW",$I1124,$H1124*$I1124))</f>
        <v>0</v>
      </c>
      <c r="L1124" s="4" t="str">
        <f aca="false">IF($D1124="","",$D1124&amp;"|"&amp;$H1124)</f>
        <v/>
      </c>
    </row>
    <row r="1125" customFormat="false" ht="15" hidden="false" customHeight="false" outlineLevel="0" collapsed="false">
      <c r="K1125" s="4" t="n">
        <f aca="false">IF($J1125="Y","",IF($F1125="BW",$I1125,$H1125*$I1125))</f>
        <v>0</v>
      </c>
      <c r="L1125" s="4" t="str">
        <f aca="false">IF($D1125="","",$D1125&amp;"|"&amp;$H1125)</f>
        <v/>
      </c>
    </row>
    <row r="1126" customFormat="false" ht="15" hidden="false" customHeight="false" outlineLevel="0" collapsed="false">
      <c r="K1126" s="4" t="n">
        <f aca="false">IF($J1126="Y","",IF($F1126="BW",$I1126,$H1126*$I1126))</f>
        <v>0</v>
      </c>
      <c r="L1126" s="4" t="str">
        <f aca="false">IF($D1126="","",$D1126&amp;"|"&amp;$H1126)</f>
        <v/>
      </c>
    </row>
    <row r="1127" customFormat="false" ht="15" hidden="false" customHeight="false" outlineLevel="0" collapsed="false">
      <c r="K1127" s="4" t="n">
        <f aca="false">IF($J1127="Y","",IF($F1127="BW",$I1127,$H1127*$I1127))</f>
        <v>0</v>
      </c>
      <c r="L1127" s="4" t="str">
        <f aca="false">IF($D1127="","",$D1127&amp;"|"&amp;$H1127)</f>
        <v/>
      </c>
    </row>
    <row r="1128" customFormat="false" ht="15" hidden="false" customHeight="false" outlineLevel="0" collapsed="false">
      <c r="K1128" s="4" t="n">
        <f aca="false">IF($J1128="Y","",IF($F1128="BW",$I1128,$H1128*$I1128))</f>
        <v>0</v>
      </c>
      <c r="L1128" s="4" t="str">
        <f aca="false">IF($D1128="","",$D1128&amp;"|"&amp;$H1128)</f>
        <v/>
      </c>
    </row>
    <row r="1129" customFormat="false" ht="15" hidden="false" customHeight="false" outlineLevel="0" collapsed="false">
      <c r="K1129" s="4" t="n">
        <f aca="false">IF($J1129="Y","",IF($F1129="BW",$I1129,$H1129*$I1129))</f>
        <v>0</v>
      </c>
      <c r="L1129" s="4" t="str">
        <f aca="false">IF($D1129="","",$D1129&amp;"|"&amp;$H1129)</f>
        <v/>
      </c>
    </row>
    <row r="1130" customFormat="false" ht="15" hidden="false" customHeight="false" outlineLevel="0" collapsed="false">
      <c r="K1130" s="4" t="n">
        <f aca="false">IF($J1130="Y","",IF($F1130="BW",$I1130,$H1130*$I1130))</f>
        <v>0</v>
      </c>
      <c r="L1130" s="4" t="str">
        <f aca="false">IF($D1130="","",$D1130&amp;"|"&amp;$H1130)</f>
        <v/>
      </c>
    </row>
    <row r="1131" customFormat="false" ht="15" hidden="false" customHeight="false" outlineLevel="0" collapsed="false">
      <c r="K1131" s="4" t="n">
        <f aca="false">IF($J1131="Y","",IF($F1131="BW",$I1131,$H1131*$I1131))</f>
        <v>0</v>
      </c>
      <c r="L1131" s="4" t="str">
        <f aca="false">IF($D1131="","",$D1131&amp;"|"&amp;$H1131)</f>
        <v/>
      </c>
    </row>
    <row r="1132" customFormat="false" ht="15" hidden="false" customHeight="false" outlineLevel="0" collapsed="false">
      <c r="K1132" s="4" t="n">
        <f aca="false">IF($J1132="Y","",IF($F1132="BW",$I1132,$H1132*$I1132))</f>
        <v>0</v>
      </c>
      <c r="L1132" s="4" t="str">
        <f aca="false">IF($D1132="","",$D1132&amp;"|"&amp;$H1132)</f>
        <v/>
      </c>
    </row>
    <row r="1133" customFormat="false" ht="15" hidden="false" customHeight="false" outlineLevel="0" collapsed="false">
      <c r="K1133" s="4" t="n">
        <f aca="false">IF($J1133="Y","",IF($F1133="BW",$I1133,$H1133*$I1133))</f>
        <v>0</v>
      </c>
      <c r="L1133" s="4" t="str">
        <f aca="false">IF($D1133="","",$D1133&amp;"|"&amp;$H1133)</f>
        <v/>
      </c>
    </row>
    <row r="1134" customFormat="false" ht="15" hidden="false" customHeight="false" outlineLevel="0" collapsed="false">
      <c r="K1134" s="4" t="n">
        <f aca="false">IF($J1134="Y","",IF($F1134="BW",$I1134,$H1134*$I1134))</f>
        <v>0</v>
      </c>
      <c r="L1134" s="4" t="str">
        <f aca="false">IF($D1134="","",$D1134&amp;"|"&amp;$H1134)</f>
        <v/>
      </c>
    </row>
    <row r="1135" customFormat="false" ht="15" hidden="false" customHeight="false" outlineLevel="0" collapsed="false">
      <c r="K1135" s="4" t="n">
        <f aca="false">IF($J1135="Y","",IF($F1135="BW",$I1135,$H1135*$I1135))</f>
        <v>0</v>
      </c>
      <c r="L1135" s="4" t="str">
        <f aca="false">IF($D1135="","",$D1135&amp;"|"&amp;$H1135)</f>
        <v/>
      </c>
    </row>
    <row r="1136" customFormat="false" ht="15" hidden="false" customHeight="false" outlineLevel="0" collapsed="false">
      <c r="K1136" s="4" t="n">
        <f aca="false">IF($J1136="Y","",IF($F1136="BW",$I1136,$H1136*$I1136))</f>
        <v>0</v>
      </c>
      <c r="L1136" s="4" t="str">
        <f aca="false">IF($D1136="","",$D1136&amp;"|"&amp;$H1136)</f>
        <v/>
      </c>
    </row>
    <row r="1137" customFormat="false" ht="15" hidden="false" customHeight="false" outlineLevel="0" collapsed="false">
      <c r="K1137" s="4" t="n">
        <f aca="false">IF($J1137="Y","",IF($F1137="BW",$I1137,$H1137*$I1137))</f>
        <v>0</v>
      </c>
      <c r="L1137" s="4" t="str">
        <f aca="false">IF($D1137="","",$D1137&amp;"|"&amp;$H1137)</f>
        <v/>
      </c>
    </row>
    <row r="1138" customFormat="false" ht="15" hidden="false" customHeight="false" outlineLevel="0" collapsed="false">
      <c r="K1138" s="4" t="n">
        <f aca="false">IF($J1138="Y","",IF($F1138="BW",$I1138,$H1138*$I1138))</f>
        <v>0</v>
      </c>
      <c r="L1138" s="4" t="str">
        <f aca="false">IF($D1138="","",$D1138&amp;"|"&amp;$H1138)</f>
        <v/>
      </c>
    </row>
    <row r="1139" customFormat="false" ht="15" hidden="false" customHeight="false" outlineLevel="0" collapsed="false">
      <c r="K1139" s="4" t="n">
        <f aca="false">IF($J1139="Y","",IF($F1139="BW",$I1139,$H1139*$I1139))</f>
        <v>0</v>
      </c>
      <c r="L1139" s="4" t="str">
        <f aca="false">IF($D1139="","",$D1139&amp;"|"&amp;$H1139)</f>
        <v/>
      </c>
    </row>
    <row r="1140" customFormat="false" ht="15" hidden="false" customHeight="false" outlineLevel="0" collapsed="false">
      <c r="K1140" s="4" t="n">
        <f aca="false">IF($J1140="Y","",IF($F1140="BW",$I1140,$H1140*$I1140))</f>
        <v>0</v>
      </c>
      <c r="L1140" s="4" t="str">
        <f aca="false">IF($D1140="","",$D1140&amp;"|"&amp;$H1140)</f>
        <v/>
      </c>
    </row>
    <row r="1141" customFormat="false" ht="15" hidden="false" customHeight="false" outlineLevel="0" collapsed="false">
      <c r="K1141" s="4" t="n">
        <f aca="false">IF($J1141="Y","",IF($F1141="BW",$I1141,$H1141*$I1141))</f>
        <v>0</v>
      </c>
      <c r="L1141" s="4" t="str">
        <f aca="false">IF($D1141="","",$D1141&amp;"|"&amp;$H1141)</f>
        <v/>
      </c>
    </row>
    <row r="1142" customFormat="false" ht="15" hidden="false" customHeight="false" outlineLevel="0" collapsed="false">
      <c r="K1142" s="4" t="n">
        <f aca="false">IF($J1142="Y","",IF($F1142="BW",$I1142,$H1142*$I1142))</f>
        <v>0</v>
      </c>
      <c r="L1142" s="4" t="str">
        <f aca="false">IF($D1142="","",$D1142&amp;"|"&amp;$H1142)</f>
        <v/>
      </c>
    </row>
    <row r="1143" customFormat="false" ht="15" hidden="false" customHeight="false" outlineLevel="0" collapsed="false">
      <c r="K1143" s="4" t="n">
        <f aca="false">IF($J1143="Y","",IF($F1143="BW",$I1143,$H1143*$I1143))</f>
        <v>0</v>
      </c>
      <c r="L1143" s="4" t="str">
        <f aca="false">IF($D1143="","",$D1143&amp;"|"&amp;$H1143)</f>
        <v/>
      </c>
    </row>
    <row r="1144" customFormat="false" ht="15" hidden="false" customHeight="false" outlineLevel="0" collapsed="false">
      <c r="K1144" s="4" t="n">
        <f aca="false">IF($J1144="Y","",IF($F1144="BW",$I1144,$H1144*$I1144))</f>
        <v>0</v>
      </c>
      <c r="L1144" s="4" t="str">
        <f aca="false">IF($D1144="","",$D1144&amp;"|"&amp;$H1144)</f>
        <v/>
      </c>
    </row>
    <row r="1145" customFormat="false" ht="15" hidden="false" customHeight="false" outlineLevel="0" collapsed="false">
      <c r="K1145" s="4" t="n">
        <f aca="false">IF($J1145="Y","",IF($F1145="BW",$I1145,$H1145*$I1145))</f>
        <v>0</v>
      </c>
      <c r="L1145" s="4" t="str">
        <f aca="false">IF($D1145="","",$D1145&amp;"|"&amp;$H1145)</f>
        <v/>
      </c>
    </row>
    <row r="1146" customFormat="false" ht="15" hidden="false" customHeight="false" outlineLevel="0" collapsed="false">
      <c r="K1146" s="4" t="n">
        <f aca="false">IF($J1146="Y","",IF($F1146="BW",$I1146,$H1146*$I1146))</f>
        <v>0</v>
      </c>
      <c r="L1146" s="4" t="str">
        <f aca="false">IF($D1146="","",$D1146&amp;"|"&amp;$H1146)</f>
        <v/>
      </c>
    </row>
    <row r="1147" customFormat="false" ht="15" hidden="false" customHeight="false" outlineLevel="0" collapsed="false">
      <c r="K1147" s="4" t="n">
        <f aca="false">IF($J1147="Y","",IF($F1147="BW",$I1147,$H1147*$I1147))</f>
        <v>0</v>
      </c>
      <c r="L1147" s="4" t="str">
        <f aca="false">IF($D1147="","",$D1147&amp;"|"&amp;$H1147)</f>
        <v/>
      </c>
    </row>
    <row r="1148" customFormat="false" ht="15" hidden="false" customHeight="false" outlineLevel="0" collapsed="false">
      <c r="K1148" s="4" t="n">
        <f aca="false">IF($J1148="Y","",IF($F1148="BW",$I1148,$H1148*$I1148))</f>
        <v>0</v>
      </c>
      <c r="L1148" s="4" t="str">
        <f aca="false">IF($D1148="","",$D1148&amp;"|"&amp;$H1148)</f>
        <v/>
      </c>
    </row>
    <row r="1149" customFormat="false" ht="15" hidden="false" customHeight="false" outlineLevel="0" collapsed="false">
      <c r="K1149" s="4" t="n">
        <f aca="false">IF($J1149="Y","",IF($F1149="BW",$I1149,$H1149*$I1149))</f>
        <v>0</v>
      </c>
      <c r="L1149" s="4" t="str">
        <f aca="false">IF($D1149="","",$D1149&amp;"|"&amp;$H1149)</f>
        <v/>
      </c>
    </row>
    <row r="1150" customFormat="false" ht="15" hidden="false" customHeight="false" outlineLevel="0" collapsed="false">
      <c r="K1150" s="4" t="n">
        <f aca="false">IF($J1150="Y","",IF($F1150="BW",$I1150,$H1150*$I1150))</f>
        <v>0</v>
      </c>
      <c r="L1150" s="4" t="str">
        <f aca="false">IF($D1150="","",$D1150&amp;"|"&amp;$H1150)</f>
        <v/>
      </c>
    </row>
    <row r="1151" customFormat="false" ht="15" hidden="false" customHeight="false" outlineLevel="0" collapsed="false">
      <c r="K1151" s="4" t="n">
        <f aca="false">IF($J1151="Y","",IF($F1151="BW",$I1151,$H1151*$I1151))</f>
        <v>0</v>
      </c>
      <c r="L1151" s="4" t="str">
        <f aca="false">IF($D1151="","",$D1151&amp;"|"&amp;$H1151)</f>
        <v/>
      </c>
    </row>
    <row r="1152" customFormat="false" ht="15" hidden="false" customHeight="false" outlineLevel="0" collapsed="false">
      <c r="K1152" s="4" t="n">
        <f aca="false">IF($J1152="Y","",IF($F1152="BW",$I1152,$H1152*$I1152))</f>
        <v>0</v>
      </c>
      <c r="L1152" s="4" t="str">
        <f aca="false">IF($D1152="","",$D1152&amp;"|"&amp;$H1152)</f>
        <v/>
      </c>
    </row>
    <row r="1153" customFormat="false" ht="15" hidden="false" customHeight="false" outlineLevel="0" collapsed="false">
      <c r="K1153" s="4" t="n">
        <f aca="false">IF($J1153="Y","",IF($F1153="BW",$I1153,$H1153*$I1153))</f>
        <v>0</v>
      </c>
      <c r="L1153" s="4" t="str">
        <f aca="false">IF($D1153="","",$D1153&amp;"|"&amp;$H1153)</f>
        <v/>
      </c>
    </row>
    <row r="1154" customFormat="false" ht="15" hidden="false" customHeight="false" outlineLevel="0" collapsed="false">
      <c r="K1154" s="4" t="n">
        <f aca="false">IF($J1154="Y","",IF($F1154="BW",$I1154,$H1154*$I1154))</f>
        <v>0</v>
      </c>
      <c r="L1154" s="4" t="str">
        <f aca="false">IF($D1154="","",$D1154&amp;"|"&amp;$H1154)</f>
        <v/>
      </c>
    </row>
    <row r="1155" customFormat="false" ht="15" hidden="false" customHeight="false" outlineLevel="0" collapsed="false">
      <c r="K1155" s="4" t="n">
        <f aca="false">IF($J1155="Y","",IF($F1155="BW",$I1155,$H1155*$I1155))</f>
        <v>0</v>
      </c>
      <c r="L1155" s="4" t="str">
        <f aca="false">IF($D1155="","",$D1155&amp;"|"&amp;$H1155)</f>
        <v/>
      </c>
    </row>
    <row r="1156" customFormat="false" ht="15" hidden="false" customHeight="false" outlineLevel="0" collapsed="false">
      <c r="K1156" s="4" t="n">
        <f aca="false">IF($J1156="Y","",IF($F1156="BW",$I1156,$H1156*$I1156))</f>
        <v>0</v>
      </c>
      <c r="L1156" s="4" t="str">
        <f aca="false">IF($D1156="","",$D1156&amp;"|"&amp;$H1156)</f>
        <v/>
      </c>
    </row>
    <row r="1157" customFormat="false" ht="15" hidden="false" customHeight="false" outlineLevel="0" collapsed="false">
      <c r="K1157" s="4" t="n">
        <f aca="false">IF($J1157="Y","",IF($F1157="BW",$I1157,$H1157*$I1157))</f>
        <v>0</v>
      </c>
      <c r="L1157" s="4" t="str">
        <f aca="false">IF($D1157="","",$D1157&amp;"|"&amp;$H1157)</f>
        <v/>
      </c>
    </row>
    <row r="1158" customFormat="false" ht="15" hidden="false" customHeight="false" outlineLevel="0" collapsed="false">
      <c r="K1158" s="4" t="n">
        <f aca="false">IF($J1158="Y","",IF($F1158="BW",$I1158,$H1158*$I1158))</f>
        <v>0</v>
      </c>
      <c r="L1158" s="4" t="str">
        <f aca="false">IF($D1158="","",$D1158&amp;"|"&amp;$H1158)</f>
        <v/>
      </c>
    </row>
    <row r="1159" customFormat="false" ht="15" hidden="false" customHeight="false" outlineLevel="0" collapsed="false">
      <c r="K1159" s="4" t="n">
        <f aca="false">IF($J1159="Y","",IF($F1159="BW",$I1159,$H1159*$I1159))</f>
        <v>0</v>
      </c>
      <c r="L1159" s="4" t="str">
        <f aca="false">IF($D1159="","",$D1159&amp;"|"&amp;$H1159)</f>
        <v/>
      </c>
    </row>
    <row r="1160" customFormat="false" ht="15" hidden="false" customHeight="false" outlineLevel="0" collapsed="false">
      <c r="K1160" s="4" t="n">
        <f aca="false">IF($J1160="Y","",IF($F1160="BW",$I1160,$H1160*$I1160))</f>
        <v>0</v>
      </c>
      <c r="L1160" s="4" t="str">
        <f aca="false">IF($D1160="","",$D1160&amp;"|"&amp;$H1160)</f>
        <v/>
      </c>
    </row>
    <row r="1161" customFormat="false" ht="15" hidden="false" customHeight="false" outlineLevel="0" collapsed="false">
      <c r="K1161" s="4" t="n">
        <f aca="false">IF($J1161="Y","",IF($F1161="BW",$I1161,$H1161*$I1161))</f>
        <v>0</v>
      </c>
      <c r="L1161" s="4" t="str">
        <f aca="false">IF($D1161="","",$D1161&amp;"|"&amp;$H1161)</f>
        <v/>
      </c>
    </row>
    <row r="1162" customFormat="false" ht="15" hidden="false" customHeight="false" outlineLevel="0" collapsed="false">
      <c r="K1162" s="4" t="n">
        <f aca="false">IF($J1162="Y","",IF($F1162="BW",$I1162,$H1162*$I1162))</f>
        <v>0</v>
      </c>
      <c r="L1162" s="4" t="str">
        <f aca="false">IF($D1162="","",$D1162&amp;"|"&amp;$H1162)</f>
        <v/>
      </c>
    </row>
    <row r="1163" customFormat="false" ht="15" hidden="false" customHeight="false" outlineLevel="0" collapsed="false">
      <c r="K1163" s="4" t="n">
        <f aca="false">IF($J1163="Y","",IF($F1163="BW",$I1163,$H1163*$I1163))</f>
        <v>0</v>
      </c>
      <c r="L1163" s="4" t="str">
        <f aca="false">IF($D1163="","",$D1163&amp;"|"&amp;$H1163)</f>
        <v/>
      </c>
    </row>
    <row r="1164" customFormat="false" ht="15" hidden="false" customHeight="false" outlineLevel="0" collapsed="false">
      <c r="K1164" s="4" t="n">
        <f aca="false">IF($J1164="Y","",IF($F1164="BW",$I1164,$H1164*$I1164))</f>
        <v>0</v>
      </c>
      <c r="L1164" s="4" t="str">
        <f aca="false">IF($D1164="","",$D1164&amp;"|"&amp;$H1164)</f>
        <v/>
      </c>
    </row>
    <row r="1165" customFormat="false" ht="15" hidden="false" customHeight="false" outlineLevel="0" collapsed="false">
      <c r="K1165" s="4" t="n">
        <f aca="false">IF($J1165="Y","",IF($F1165="BW",$I1165,$H1165*$I1165))</f>
        <v>0</v>
      </c>
      <c r="L1165" s="4" t="str">
        <f aca="false">IF($D1165="","",$D1165&amp;"|"&amp;$H1165)</f>
        <v/>
      </c>
    </row>
    <row r="1166" customFormat="false" ht="15" hidden="false" customHeight="false" outlineLevel="0" collapsed="false">
      <c r="K1166" s="4" t="n">
        <f aca="false">IF($J1166="Y","",IF($F1166="BW",$I1166,$H1166*$I1166))</f>
        <v>0</v>
      </c>
      <c r="L1166" s="4" t="str">
        <f aca="false">IF($D1166="","",$D1166&amp;"|"&amp;$H1166)</f>
        <v/>
      </c>
    </row>
    <row r="1167" customFormat="false" ht="15" hidden="false" customHeight="false" outlineLevel="0" collapsed="false">
      <c r="K1167" s="4" t="n">
        <f aca="false">IF($J1167="Y","",IF($F1167="BW",$I1167,$H1167*$I1167))</f>
        <v>0</v>
      </c>
      <c r="L1167" s="4" t="str">
        <f aca="false">IF($D1167="","",$D1167&amp;"|"&amp;$H1167)</f>
        <v/>
      </c>
    </row>
    <row r="1168" customFormat="false" ht="15" hidden="false" customHeight="false" outlineLevel="0" collapsed="false">
      <c r="K1168" s="4" t="n">
        <f aca="false">IF($J1168="Y","",IF($F1168="BW",$I1168,$H1168*$I1168))</f>
        <v>0</v>
      </c>
      <c r="L1168" s="4" t="str">
        <f aca="false">IF($D1168="","",$D1168&amp;"|"&amp;$H1168)</f>
        <v/>
      </c>
    </row>
    <row r="1169" customFormat="false" ht="15" hidden="false" customHeight="false" outlineLevel="0" collapsed="false">
      <c r="K1169" s="4" t="n">
        <f aca="false">IF($J1169="Y","",IF($F1169="BW",$I1169,$H1169*$I1169))</f>
        <v>0</v>
      </c>
      <c r="L1169" s="4" t="str">
        <f aca="false">IF($D1169="","",$D1169&amp;"|"&amp;$H1169)</f>
        <v/>
      </c>
    </row>
    <row r="1170" customFormat="false" ht="15" hidden="false" customHeight="false" outlineLevel="0" collapsed="false">
      <c r="K1170" s="4" t="n">
        <f aca="false">IF($J1170="Y","",IF($F1170="BW",$I1170,$H1170*$I1170))</f>
        <v>0</v>
      </c>
      <c r="L1170" s="4" t="str">
        <f aca="false">IF($D1170="","",$D1170&amp;"|"&amp;$H1170)</f>
        <v/>
      </c>
    </row>
    <row r="1171" customFormat="false" ht="15" hidden="false" customHeight="false" outlineLevel="0" collapsed="false">
      <c r="K1171" s="4" t="n">
        <f aca="false">IF($J1171="Y","",IF($F1171="BW",$I1171,$H1171*$I1171))</f>
        <v>0</v>
      </c>
      <c r="L1171" s="4" t="str">
        <f aca="false">IF($D1171="","",$D1171&amp;"|"&amp;$H1171)</f>
        <v/>
      </c>
    </row>
    <row r="1172" customFormat="false" ht="15" hidden="false" customHeight="false" outlineLevel="0" collapsed="false">
      <c r="K1172" s="4" t="n">
        <f aca="false">IF($J1172="Y","",IF($F1172="BW",$I1172,$H1172*$I1172))</f>
        <v>0</v>
      </c>
      <c r="L1172" s="4" t="str">
        <f aca="false">IF($D1172="","",$D1172&amp;"|"&amp;$H1172)</f>
        <v/>
      </c>
    </row>
    <row r="1173" customFormat="false" ht="15" hidden="false" customHeight="false" outlineLevel="0" collapsed="false">
      <c r="K1173" s="4" t="n">
        <f aca="false">IF($J1173="Y","",IF($F1173="BW",$I1173,$H1173*$I1173))</f>
        <v>0</v>
      </c>
      <c r="L1173" s="4" t="str">
        <f aca="false">IF($D1173="","",$D1173&amp;"|"&amp;$H1173)</f>
        <v/>
      </c>
    </row>
    <row r="1174" customFormat="false" ht="15" hidden="false" customHeight="false" outlineLevel="0" collapsed="false">
      <c r="K1174" s="4" t="n">
        <f aca="false">IF($J1174="Y","",IF($F1174="BW",$I1174,$H1174*$I1174))</f>
        <v>0</v>
      </c>
      <c r="L1174" s="4" t="str">
        <f aca="false">IF($D1174="","",$D1174&amp;"|"&amp;$H1174)</f>
        <v/>
      </c>
    </row>
    <row r="1175" customFormat="false" ht="15" hidden="false" customHeight="false" outlineLevel="0" collapsed="false">
      <c r="K1175" s="4" t="n">
        <f aca="false">IF($J1175="Y","",IF($F1175="BW",$I1175,$H1175*$I1175))</f>
        <v>0</v>
      </c>
      <c r="L1175" s="4" t="str">
        <f aca="false">IF($D1175="","",$D1175&amp;"|"&amp;$H1175)</f>
        <v/>
      </c>
    </row>
    <row r="1176" customFormat="false" ht="15" hidden="false" customHeight="false" outlineLevel="0" collapsed="false">
      <c r="K1176" s="4" t="n">
        <f aca="false">IF($J1176="Y","",IF($F1176="BW",$I1176,$H1176*$I1176))</f>
        <v>0</v>
      </c>
      <c r="L1176" s="4" t="str">
        <f aca="false">IF($D1176="","",$D1176&amp;"|"&amp;$H1176)</f>
        <v/>
      </c>
    </row>
    <row r="1177" customFormat="false" ht="15" hidden="false" customHeight="false" outlineLevel="0" collapsed="false">
      <c r="K1177" s="4" t="n">
        <f aca="false">IF($J1177="Y","",IF($F1177="BW",$I1177,$H1177*$I1177))</f>
        <v>0</v>
      </c>
      <c r="L1177" s="4" t="str">
        <f aca="false">IF($D1177="","",$D1177&amp;"|"&amp;$H1177)</f>
        <v/>
      </c>
    </row>
    <row r="1178" customFormat="false" ht="15" hidden="false" customHeight="false" outlineLevel="0" collapsed="false">
      <c r="K1178" s="4" t="n">
        <f aca="false">IF($J1178="Y","",IF($F1178="BW",$I1178,$H1178*$I1178))</f>
        <v>0</v>
      </c>
      <c r="L1178" s="4" t="str">
        <f aca="false">IF($D1178="","",$D1178&amp;"|"&amp;$H1178)</f>
        <v/>
      </c>
    </row>
    <row r="1179" customFormat="false" ht="15" hidden="false" customHeight="false" outlineLevel="0" collapsed="false">
      <c r="K1179" s="4" t="n">
        <f aca="false">IF($J1179="Y","",IF($F1179="BW",$I1179,$H1179*$I1179))</f>
        <v>0</v>
      </c>
      <c r="L1179" s="4" t="str">
        <f aca="false">IF($D1179="","",$D1179&amp;"|"&amp;$H1179)</f>
        <v/>
      </c>
    </row>
    <row r="1180" customFormat="false" ht="15" hidden="false" customHeight="false" outlineLevel="0" collapsed="false">
      <c r="K1180" s="4" t="n">
        <f aca="false">IF($J1180="Y","",IF($F1180="BW",$I1180,$H1180*$I1180))</f>
        <v>0</v>
      </c>
      <c r="L1180" s="4" t="str">
        <f aca="false">IF($D1180="","",$D1180&amp;"|"&amp;$H1180)</f>
        <v/>
      </c>
    </row>
    <row r="1181" customFormat="false" ht="15" hidden="false" customHeight="false" outlineLevel="0" collapsed="false">
      <c r="K1181" s="4" t="n">
        <f aca="false">IF($J1181="Y","",IF($F1181="BW",$I1181,$H1181*$I1181))</f>
        <v>0</v>
      </c>
      <c r="L1181" s="4" t="str">
        <f aca="false">IF($D1181="","",$D1181&amp;"|"&amp;$H1181)</f>
        <v/>
      </c>
    </row>
    <row r="1182" customFormat="false" ht="15" hidden="false" customHeight="false" outlineLevel="0" collapsed="false">
      <c r="K1182" s="4" t="n">
        <f aca="false">IF($J1182="Y","",IF($F1182="BW",$I1182,$H1182*$I1182))</f>
        <v>0</v>
      </c>
      <c r="L1182" s="4" t="str">
        <f aca="false">IF($D1182="","",$D1182&amp;"|"&amp;$H1182)</f>
        <v/>
      </c>
    </row>
    <row r="1183" customFormat="false" ht="15" hidden="false" customHeight="false" outlineLevel="0" collapsed="false">
      <c r="K1183" s="4" t="n">
        <f aca="false">IF($J1183="Y","",IF($F1183="BW",$I1183,$H1183*$I1183))</f>
        <v>0</v>
      </c>
      <c r="L1183" s="4" t="str">
        <f aca="false">IF($D1183="","",$D1183&amp;"|"&amp;$H1183)</f>
        <v/>
      </c>
    </row>
    <row r="1184" customFormat="false" ht="15" hidden="false" customHeight="false" outlineLevel="0" collapsed="false">
      <c r="K1184" s="4" t="n">
        <f aca="false">IF($J1184="Y","",IF($F1184="BW",$I1184,$H1184*$I1184))</f>
        <v>0</v>
      </c>
      <c r="L1184" s="4" t="str">
        <f aca="false">IF($D1184="","",$D1184&amp;"|"&amp;$H1184)</f>
        <v/>
      </c>
    </row>
    <row r="1185" customFormat="false" ht="15" hidden="false" customHeight="false" outlineLevel="0" collapsed="false">
      <c r="K1185" s="4" t="n">
        <f aca="false">IF($J1185="Y","",IF($F1185="BW",$I1185,$H1185*$I1185))</f>
        <v>0</v>
      </c>
      <c r="L1185" s="4" t="str">
        <f aca="false">IF($D1185="","",$D1185&amp;"|"&amp;$H1185)</f>
        <v/>
      </c>
    </row>
    <row r="1186" customFormat="false" ht="15" hidden="false" customHeight="false" outlineLevel="0" collapsed="false">
      <c r="K1186" s="4" t="n">
        <f aca="false">IF($J1186="Y","",IF($F1186="BW",$I1186,$H1186*$I1186))</f>
        <v>0</v>
      </c>
      <c r="L1186" s="4" t="str">
        <f aca="false">IF($D1186="","",$D1186&amp;"|"&amp;$H1186)</f>
        <v/>
      </c>
    </row>
    <row r="1187" customFormat="false" ht="15" hidden="false" customHeight="false" outlineLevel="0" collapsed="false">
      <c r="K1187" s="4" t="n">
        <f aca="false">IF($J1187="Y","",IF($F1187="BW",$I1187,$H1187*$I1187))</f>
        <v>0</v>
      </c>
      <c r="L1187" s="4" t="str">
        <f aca="false">IF($D1187="","",$D1187&amp;"|"&amp;$H1187)</f>
        <v/>
      </c>
    </row>
    <row r="1188" customFormat="false" ht="15" hidden="false" customHeight="false" outlineLevel="0" collapsed="false">
      <c r="K1188" s="4" t="n">
        <f aca="false">IF($J1188="Y","",IF($F1188="BW",$I1188,$H1188*$I1188))</f>
        <v>0</v>
      </c>
      <c r="L1188" s="4" t="str">
        <f aca="false">IF($D1188="","",$D1188&amp;"|"&amp;$H1188)</f>
        <v/>
      </c>
    </row>
    <row r="1189" customFormat="false" ht="15" hidden="false" customHeight="false" outlineLevel="0" collapsed="false">
      <c r="K1189" s="4" t="n">
        <f aca="false">IF($J1189="Y","",IF($F1189="BW",$I1189,$H1189*$I1189))</f>
        <v>0</v>
      </c>
      <c r="L1189" s="4" t="str">
        <f aca="false">IF($D1189="","",$D1189&amp;"|"&amp;$H1189)</f>
        <v/>
      </c>
    </row>
    <row r="1190" customFormat="false" ht="15" hidden="false" customHeight="false" outlineLevel="0" collapsed="false">
      <c r="K1190" s="4" t="n">
        <f aca="false">IF($J1190="Y","",IF($F1190="BW",$I1190,$H1190*$I1190))</f>
        <v>0</v>
      </c>
      <c r="L1190" s="4" t="str">
        <f aca="false">IF($D1190="","",$D1190&amp;"|"&amp;$H1190)</f>
        <v/>
      </c>
    </row>
    <row r="1191" customFormat="false" ht="15" hidden="false" customHeight="false" outlineLevel="0" collapsed="false">
      <c r="K1191" s="4" t="n">
        <f aca="false">IF($J1191="Y","",IF($F1191="BW",$I1191,$H1191*$I1191))</f>
        <v>0</v>
      </c>
      <c r="L1191" s="4" t="str">
        <f aca="false">IF($D1191="","",$D1191&amp;"|"&amp;$H1191)</f>
        <v/>
      </c>
    </row>
    <row r="1192" customFormat="false" ht="15" hidden="false" customHeight="false" outlineLevel="0" collapsed="false">
      <c r="K1192" s="4" t="n">
        <f aca="false">IF($J1192="Y","",IF($F1192="BW",$I1192,$H1192*$I1192))</f>
        <v>0</v>
      </c>
      <c r="L1192" s="4" t="str">
        <f aca="false">IF($D1192="","",$D1192&amp;"|"&amp;$H1192)</f>
        <v/>
      </c>
    </row>
    <row r="1193" customFormat="false" ht="15" hidden="false" customHeight="false" outlineLevel="0" collapsed="false">
      <c r="K1193" s="4" t="n">
        <f aca="false">IF($J1193="Y","",IF($F1193="BW",$I1193,$H1193*$I1193))</f>
        <v>0</v>
      </c>
      <c r="L1193" s="4" t="str">
        <f aca="false">IF($D1193="","",$D1193&amp;"|"&amp;$H1193)</f>
        <v/>
      </c>
    </row>
    <row r="1194" customFormat="false" ht="15" hidden="false" customHeight="false" outlineLevel="0" collapsed="false">
      <c r="K1194" s="4" t="n">
        <f aca="false">IF($J1194="Y","",IF($F1194="BW",$I1194,$H1194*$I1194))</f>
        <v>0</v>
      </c>
      <c r="L1194" s="4" t="str">
        <f aca="false">IF($D1194="","",$D1194&amp;"|"&amp;$H1194)</f>
        <v/>
      </c>
    </row>
    <row r="1195" customFormat="false" ht="15" hidden="false" customHeight="false" outlineLevel="0" collapsed="false">
      <c r="K1195" s="4" t="n">
        <f aca="false">IF($J1195="Y","",IF($F1195="BW",$I1195,$H1195*$I1195))</f>
        <v>0</v>
      </c>
      <c r="L1195" s="4" t="str">
        <f aca="false">IF($D1195="","",$D1195&amp;"|"&amp;$H1195)</f>
        <v/>
      </c>
    </row>
    <row r="1196" customFormat="false" ht="15" hidden="false" customHeight="false" outlineLevel="0" collapsed="false">
      <c r="K1196" s="4" t="n">
        <f aca="false">IF($J1196="Y","",IF($F1196="BW",$I1196,$H1196*$I1196))</f>
        <v>0</v>
      </c>
      <c r="L1196" s="4" t="str">
        <f aca="false">IF($D1196="","",$D1196&amp;"|"&amp;$H1196)</f>
        <v/>
      </c>
    </row>
    <row r="1197" customFormat="false" ht="15" hidden="false" customHeight="false" outlineLevel="0" collapsed="false">
      <c r="K1197" s="4" t="n">
        <f aca="false">IF($J1197="Y","",IF($F1197="BW",$I1197,$H1197*$I1197))</f>
        <v>0</v>
      </c>
      <c r="L1197" s="4" t="str">
        <f aca="false">IF($D1197="","",$D1197&amp;"|"&amp;$H1197)</f>
        <v/>
      </c>
    </row>
    <row r="1198" customFormat="false" ht="15" hidden="false" customHeight="false" outlineLevel="0" collapsed="false">
      <c r="K1198" s="4" t="n">
        <f aca="false">IF($J1198="Y","",IF($F1198="BW",$I1198,$H1198*$I1198))</f>
        <v>0</v>
      </c>
      <c r="L1198" s="4" t="str">
        <f aca="false">IF($D1198="","",$D1198&amp;"|"&amp;$H1198)</f>
        <v/>
      </c>
    </row>
    <row r="1199" customFormat="false" ht="15" hidden="false" customHeight="false" outlineLevel="0" collapsed="false">
      <c r="K1199" s="4" t="n">
        <f aca="false">IF($J1199="Y","",IF($F1199="BW",$I1199,$H1199*$I1199))</f>
        <v>0</v>
      </c>
      <c r="L1199" s="4" t="str">
        <f aca="false">IF($D1199="","",$D1199&amp;"|"&amp;$H1199)</f>
        <v/>
      </c>
    </row>
    <row r="1200" customFormat="false" ht="15" hidden="false" customHeight="false" outlineLevel="0" collapsed="false">
      <c r="K1200" s="4" t="n">
        <f aca="false">IF($J1200="Y","",IF($F1200="BW",$I1200,$H1200*$I1200))</f>
        <v>0</v>
      </c>
      <c r="L1200" s="4" t="str">
        <f aca="false">IF($D1200="","",$D1200&amp;"|"&amp;$H1200)</f>
        <v/>
      </c>
    </row>
    <row r="1201" customFormat="false" ht="15" hidden="false" customHeight="false" outlineLevel="0" collapsed="false">
      <c r="K1201" s="4" t="n">
        <f aca="false">IF($J1201="Y","",IF($F1201="BW",$I1201,$H1201*$I1201))</f>
        <v>0</v>
      </c>
      <c r="L1201" s="4" t="str">
        <f aca="false">IF($D1201="","",$D1201&amp;"|"&amp;$H1201)</f>
        <v/>
      </c>
    </row>
    <row r="1202" customFormat="false" ht="15" hidden="false" customHeight="false" outlineLevel="0" collapsed="false">
      <c r="K1202" s="4" t="n">
        <f aca="false">IF($J1202="Y","",IF($F1202="BW",$I1202,$H1202*$I1202))</f>
        <v>0</v>
      </c>
      <c r="L1202" s="4" t="str">
        <f aca="false">IF($D1202="","",$D1202&amp;"|"&amp;$H1202)</f>
        <v/>
      </c>
    </row>
    <row r="1203" customFormat="false" ht="15" hidden="false" customHeight="false" outlineLevel="0" collapsed="false">
      <c r="K1203" s="4" t="n">
        <f aca="false">IF($J1203="Y","",IF($F1203="BW",$I1203,$H1203*$I1203))</f>
        <v>0</v>
      </c>
      <c r="L1203" s="4" t="str">
        <f aca="false">IF($D1203="","",$D1203&amp;"|"&amp;$H1203)</f>
        <v/>
      </c>
    </row>
    <row r="1204" customFormat="false" ht="15" hidden="false" customHeight="false" outlineLevel="0" collapsed="false">
      <c r="K1204" s="4" t="n">
        <f aca="false">IF($J1204="Y","",IF($F1204="BW",$I1204,$H1204*$I1204))</f>
        <v>0</v>
      </c>
      <c r="L1204" s="4" t="str">
        <f aca="false">IF($D1204="","",$D1204&amp;"|"&amp;$H1204)</f>
        <v/>
      </c>
    </row>
    <row r="1205" customFormat="false" ht="15" hidden="false" customHeight="false" outlineLevel="0" collapsed="false">
      <c r="K1205" s="4" t="n">
        <f aca="false">IF($J1205="Y","",IF($F1205="BW",$I1205,$H1205*$I1205))</f>
        <v>0</v>
      </c>
      <c r="L1205" s="4" t="str">
        <f aca="false">IF($D1205="","",$D1205&amp;"|"&amp;$H1205)</f>
        <v/>
      </c>
    </row>
    <row r="1206" customFormat="false" ht="15" hidden="false" customHeight="false" outlineLevel="0" collapsed="false">
      <c r="K1206" s="4" t="n">
        <f aca="false">IF($J1206="Y","",IF($F1206="BW",$I1206,$H1206*$I1206))</f>
        <v>0</v>
      </c>
      <c r="L1206" s="4" t="str">
        <f aca="false">IF($D1206="","",$D1206&amp;"|"&amp;$H1206)</f>
        <v/>
      </c>
    </row>
    <row r="1207" customFormat="false" ht="15" hidden="false" customHeight="false" outlineLevel="0" collapsed="false">
      <c r="K1207" s="4" t="n">
        <f aca="false">IF($J1207="Y","",IF($F1207="BW",$I1207,$H1207*$I1207))</f>
        <v>0</v>
      </c>
      <c r="L1207" s="4" t="str">
        <f aca="false">IF($D1207="","",$D1207&amp;"|"&amp;$H1207)</f>
        <v/>
      </c>
    </row>
    <row r="1208" customFormat="false" ht="15" hidden="false" customHeight="false" outlineLevel="0" collapsed="false">
      <c r="K1208" s="4" t="n">
        <f aca="false">IF($J1208="Y","",IF($F1208="BW",$I1208,$H1208*$I1208))</f>
        <v>0</v>
      </c>
      <c r="L1208" s="4" t="str">
        <f aca="false">IF($D1208="","",$D1208&amp;"|"&amp;$H1208)</f>
        <v/>
      </c>
    </row>
    <row r="1209" customFormat="false" ht="15" hidden="false" customHeight="false" outlineLevel="0" collapsed="false">
      <c r="K1209" s="4" t="n">
        <f aca="false">IF($J1209="Y","",IF($F1209="BW",$I1209,$H1209*$I1209))</f>
        <v>0</v>
      </c>
      <c r="L1209" s="4" t="str">
        <f aca="false">IF($D1209="","",$D1209&amp;"|"&amp;$H1209)</f>
        <v/>
      </c>
    </row>
    <row r="1210" customFormat="false" ht="15" hidden="false" customHeight="false" outlineLevel="0" collapsed="false">
      <c r="K1210" s="4" t="n">
        <f aca="false">IF($J1210="Y","",IF($F1210="BW",$I1210,$H1210*$I1210))</f>
        <v>0</v>
      </c>
      <c r="L1210" s="4" t="str">
        <f aca="false">IF($D1210="","",$D1210&amp;"|"&amp;$H1210)</f>
        <v/>
      </c>
    </row>
    <row r="1211" customFormat="false" ht="15" hidden="false" customHeight="false" outlineLevel="0" collapsed="false">
      <c r="K1211" s="4" t="n">
        <f aca="false">IF($J1211="Y","",IF($F1211="BW",$I1211,$H1211*$I1211))</f>
        <v>0</v>
      </c>
      <c r="L1211" s="4" t="str">
        <f aca="false">IF($D1211="","",$D1211&amp;"|"&amp;$H1211)</f>
        <v/>
      </c>
    </row>
    <row r="1212" customFormat="false" ht="15" hidden="false" customHeight="false" outlineLevel="0" collapsed="false">
      <c r="K1212" s="4" t="n">
        <f aca="false">IF($J1212="Y","",IF($F1212="BW",$I1212,$H1212*$I1212))</f>
        <v>0</v>
      </c>
      <c r="L1212" s="4" t="str">
        <f aca="false">IF($D1212="","",$D1212&amp;"|"&amp;$H1212)</f>
        <v/>
      </c>
    </row>
    <row r="1213" customFormat="false" ht="15" hidden="false" customHeight="false" outlineLevel="0" collapsed="false">
      <c r="K1213" s="4" t="n">
        <f aca="false">IF($J1213="Y","",IF($F1213="BW",$I1213,$H1213*$I1213))</f>
        <v>0</v>
      </c>
      <c r="L1213" s="4" t="str">
        <f aca="false">IF($D1213="","",$D1213&amp;"|"&amp;$H1213)</f>
        <v/>
      </c>
    </row>
    <row r="1214" customFormat="false" ht="15" hidden="false" customHeight="false" outlineLevel="0" collapsed="false">
      <c r="K1214" s="4" t="n">
        <f aca="false">IF($J1214="Y","",IF($F1214="BW",$I1214,$H1214*$I1214))</f>
        <v>0</v>
      </c>
      <c r="L1214" s="4" t="str">
        <f aca="false">IF($D1214="","",$D1214&amp;"|"&amp;$H1214)</f>
        <v/>
      </c>
    </row>
    <row r="1215" customFormat="false" ht="15" hidden="false" customHeight="false" outlineLevel="0" collapsed="false">
      <c r="K1215" s="4" t="n">
        <f aca="false">IF($J1215="Y","",IF($F1215="BW",$I1215,$H1215*$I1215))</f>
        <v>0</v>
      </c>
      <c r="L1215" s="4" t="str">
        <f aca="false">IF($D1215="","",$D1215&amp;"|"&amp;$H1215)</f>
        <v/>
      </c>
    </row>
    <row r="1216" customFormat="false" ht="15" hidden="false" customHeight="false" outlineLevel="0" collapsed="false">
      <c r="K1216" s="4" t="n">
        <f aca="false">IF($J1216="Y","",IF($F1216="BW",$I1216,$H1216*$I1216))</f>
        <v>0</v>
      </c>
      <c r="L1216" s="4" t="str">
        <f aca="false">IF($D1216="","",$D1216&amp;"|"&amp;$H1216)</f>
        <v/>
      </c>
    </row>
    <row r="1217" customFormat="false" ht="15" hidden="false" customHeight="false" outlineLevel="0" collapsed="false">
      <c r="K1217" s="4" t="n">
        <f aca="false">IF($J1217="Y","",IF($F1217="BW",$I1217,$H1217*$I1217))</f>
        <v>0</v>
      </c>
      <c r="L1217" s="4" t="str">
        <f aca="false">IF($D1217="","",$D1217&amp;"|"&amp;$H1217)</f>
        <v/>
      </c>
    </row>
    <row r="1218" customFormat="false" ht="15" hidden="false" customHeight="false" outlineLevel="0" collapsed="false">
      <c r="K1218" s="4" t="n">
        <f aca="false">IF($J1218="Y","",IF($F1218="BW",$I1218,$H1218*$I1218))</f>
        <v>0</v>
      </c>
      <c r="L1218" s="4" t="str">
        <f aca="false">IF($D1218="","",$D1218&amp;"|"&amp;$H1218)</f>
        <v/>
      </c>
    </row>
    <row r="1219" customFormat="false" ht="15" hidden="false" customHeight="false" outlineLevel="0" collapsed="false">
      <c r="K1219" s="4" t="n">
        <f aca="false">IF($J1219="Y","",IF($F1219="BW",$I1219,$H1219*$I1219))</f>
        <v>0</v>
      </c>
      <c r="L1219" s="4" t="str">
        <f aca="false">IF($D1219="","",$D1219&amp;"|"&amp;$H1219)</f>
        <v/>
      </c>
    </row>
    <row r="1220" customFormat="false" ht="15" hidden="false" customHeight="false" outlineLevel="0" collapsed="false">
      <c r="K1220" s="4" t="n">
        <f aca="false">IF($J1220="Y","",IF($F1220="BW",$I1220,$H1220*$I1220))</f>
        <v>0</v>
      </c>
      <c r="L1220" s="4" t="str">
        <f aca="false">IF($D1220="","",$D1220&amp;"|"&amp;$H1220)</f>
        <v/>
      </c>
    </row>
    <row r="1221" customFormat="false" ht="15" hidden="false" customHeight="false" outlineLevel="0" collapsed="false">
      <c r="K1221" s="4" t="n">
        <f aca="false">IF($J1221="Y","",IF($F1221="BW",$I1221,$H1221*$I1221))</f>
        <v>0</v>
      </c>
      <c r="L1221" s="4" t="str">
        <f aca="false">IF($D1221="","",$D1221&amp;"|"&amp;$H1221)</f>
        <v/>
      </c>
    </row>
    <row r="1222" customFormat="false" ht="15" hidden="false" customHeight="false" outlineLevel="0" collapsed="false">
      <c r="K1222" s="4" t="n">
        <f aca="false">IF($J1222="Y","",IF($F1222="BW",$I1222,$H1222*$I1222))</f>
        <v>0</v>
      </c>
      <c r="L1222" s="4" t="str">
        <f aca="false">IF($D1222="","",$D1222&amp;"|"&amp;$H1222)</f>
        <v/>
      </c>
    </row>
    <row r="1223" customFormat="false" ht="15" hidden="false" customHeight="false" outlineLevel="0" collapsed="false">
      <c r="K1223" s="4" t="n">
        <f aca="false">IF($J1223="Y","",IF($F1223="BW",$I1223,$H1223*$I1223))</f>
        <v>0</v>
      </c>
      <c r="L1223" s="4" t="str">
        <f aca="false">IF($D1223="","",$D1223&amp;"|"&amp;$H1223)</f>
        <v/>
      </c>
    </row>
    <row r="1224" customFormat="false" ht="15" hidden="false" customHeight="false" outlineLevel="0" collapsed="false">
      <c r="K1224" s="4" t="n">
        <f aca="false">IF($J1224="Y","",IF($F1224="BW",$I1224,$H1224*$I1224))</f>
        <v>0</v>
      </c>
      <c r="L1224" s="4" t="str">
        <f aca="false">IF($D1224="","",$D1224&amp;"|"&amp;$H1224)</f>
        <v/>
      </c>
    </row>
    <row r="1225" customFormat="false" ht="15" hidden="false" customHeight="false" outlineLevel="0" collapsed="false">
      <c r="K1225" s="4" t="n">
        <f aca="false">IF($J1225="Y","",IF($F1225="BW",$I1225,$H1225*$I1225))</f>
        <v>0</v>
      </c>
      <c r="L1225" s="4" t="str">
        <f aca="false">IF($D1225="","",$D1225&amp;"|"&amp;$H1225)</f>
        <v/>
      </c>
    </row>
    <row r="1226" customFormat="false" ht="15" hidden="false" customHeight="false" outlineLevel="0" collapsed="false">
      <c r="K1226" s="4" t="n">
        <f aca="false">IF($J1226="Y","",IF($F1226="BW",$I1226,$H1226*$I1226))</f>
        <v>0</v>
      </c>
      <c r="L1226" s="4" t="str">
        <f aca="false">IF($D1226="","",$D1226&amp;"|"&amp;$H1226)</f>
        <v/>
      </c>
    </row>
    <row r="1227" customFormat="false" ht="15" hidden="false" customHeight="false" outlineLevel="0" collapsed="false">
      <c r="K1227" s="4" t="n">
        <f aca="false">IF($J1227="Y","",IF($F1227="BW",$I1227,$H1227*$I1227))</f>
        <v>0</v>
      </c>
      <c r="L1227" s="4" t="str">
        <f aca="false">IF($D1227="","",$D1227&amp;"|"&amp;$H1227)</f>
        <v/>
      </c>
    </row>
    <row r="1228" customFormat="false" ht="15" hidden="false" customHeight="false" outlineLevel="0" collapsed="false">
      <c r="K1228" s="4" t="n">
        <f aca="false">IF($J1228="Y","",IF($F1228="BW",$I1228,$H1228*$I1228))</f>
        <v>0</v>
      </c>
      <c r="L1228" s="4" t="str">
        <f aca="false">IF($D1228="","",$D1228&amp;"|"&amp;$H1228)</f>
        <v/>
      </c>
    </row>
    <row r="1229" customFormat="false" ht="15" hidden="false" customHeight="false" outlineLevel="0" collapsed="false">
      <c r="K1229" s="4" t="n">
        <f aca="false">IF($J1229="Y","",IF($F1229="BW",$I1229,$H1229*$I1229))</f>
        <v>0</v>
      </c>
      <c r="L1229" s="4" t="str">
        <f aca="false">IF($D1229="","",$D1229&amp;"|"&amp;$H1229)</f>
        <v/>
      </c>
    </row>
    <row r="1230" customFormat="false" ht="15" hidden="false" customHeight="false" outlineLevel="0" collapsed="false">
      <c r="K1230" s="4" t="n">
        <f aca="false">IF($J1230="Y","",IF($F1230="BW",$I1230,$H1230*$I1230))</f>
        <v>0</v>
      </c>
      <c r="L1230" s="4" t="str">
        <f aca="false">IF($D1230="","",$D1230&amp;"|"&amp;$H1230)</f>
        <v/>
      </c>
    </row>
    <row r="1231" customFormat="false" ht="15" hidden="false" customHeight="false" outlineLevel="0" collapsed="false">
      <c r="K1231" s="4" t="n">
        <f aca="false">IF($J1231="Y","",IF($F1231="BW",$I1231,$H1231*$I1231))</f>
        <v>0</v>
      </c>
      <c r="L1231" s="4" t="str">
        <f aca="false">IF($D1231="","",$D1231&amp;"|"&amp;$H1231)</f>
        <v/>
      </c>
    </row>
    <row r="1232" customFormat="false" ht="15" hidden="false" customHeight="false" outlineLevel="0" collapsed="false">
      <c r="K1232" s="4" t="n">
        <f aca="false">IF($J1232="Y","",IF($F1232="BW",$I1232,$H1232*$I1232))</f>
        <v>0</v>
      </c>
      <c r="L1232" s="4" t="str">
        <f aca="false">IF($D1232="","",$D1232&amp;"|"&amp;$H1232)</f>
        <v/>
      </c>
    </row>
    <row r="1233" customFormat="false" ht="15" hidden="false" customHeight="false" outlineLevel="0" collapsed="false">
      <c r="K1233" s="4" t="n">
        <f aca="false">IF($J1233="Y","",IF($F1233="BW",$I1233,$H1233*$I1233))</f>
        <v>0</v>
      </c>
      <c r="L1233" s="4" t="str">
        <f aca="false">IF($D1233="","",$D1233&amp;"|"&amp;$H1233)</f>
        <v/>
      </c>
    </row>
    <row r="1234" customFormat="false" ht="15" hidden="false" customHeight="false" outlineLevel="0" collapsed="false">
      <c r="K1234" s="4" t="n">
        <f aca="false">IF($J1234="Y","",IF($F1234="BW",$I1234,$H1234*$I1234))</f>
        <v>0</v>
      </c>
      <c r="L1234" s="4" t="str">
        <f aca="false">IF($D1234="","",$D1234&amp;"|"&amp;$H1234)</f>
        <v/>
      </c>
    </row>
    <row r="1235" customFormat="false" ht="15" hidden="false" customHeight="false" outlineLevel="0" collapsed="false">
      <c r="K1235" s="4" t="n">
        <f aca="false">IF($J1235="Y","",IF($F1235="BW",$I1235,$H1235*$I1235))</f>
        <v>0</v>
      </c>
      <c r="L1235" s="4" t="str">
        <f aca="false">IF($D1235="","",$D1235&amp;"|"&amp;$H1235)</f>
        <v/>
      </c>
    </row>
    <row r="1236" customFormat="false" ht="15" hidden="false" customHeight="false" outlineLevel="0" collapsed="false">
      <c r="K1236" s="4" t="n">
        <f aca="false">IF($J1236="Y","",IF($F1236="BW",$I1236,$H1236*$I1236))</f>
        <v>0</v>
      </c>
      <c r="L1236" s="4" t="str">
        <f aca="false">IF($D1236="","",$D1236&amp;"|"&amp;$H1236)</f>
        <v/>
      </c>
    </row>
    <row r="1237" customFormat="false" ht="15" hidden="false" customHeight="false" outlineLevel="0" collapsed="false">
      <c r="K1237" s="4" t="n">
        <f aca="false">IF($J1237="Y","",IF($F1237="BW",$I1237,$H1237*$I1237))</f>
        <v>0</v>
      </c>
      <c r="L1237" s="4" t="str">
        <f aca="false">IF($D1237="","",$D1237&amp;"|"&amp;$H1237)</f>
        <v/>
      </c>
    </row>
    <row r="1238" customFormat="false" ht="15" hidden="false" customHeight="false" outlineLevel="0" collapsed="false">
      <c r="K1238" s="4" t="n">
        <f aca="false">IF($J1238="Y","",IF($F1238="BW",$I1238,$H1238*$I1238))</f>
        <v>0</v>
      </c>
      <c r="L1238" s="4" t="str">
        <f aca="false">IF($D1238="","",$D1238&amp;"|"&amp;$H1238)</f>
        <v/>
      </c>
    </row>
    <row r="1239" customFormat="false" ht="15" hidden="false" customHeight="false" outlineLevel="0" collapsed="false">
      <c r="K1239" s="4" t="n">
        <f aca="false">IF($J1239="Y","",IF($F1239="BW",$I1239,$H1239*$I1239))</f>
        <v>0</v>
      </c>
      <c r="L1239" s="4" t="str">
        <f aca="false">IF($D1239="","",$D1239&amp;"|"&amp;$H1239)</f>
        <v/>
      </c>
    </row>
    <row r="1240" customFormat="false" ht="15" hidden="false" customHeight="false" outlineLevel="0" collapsed="false">
      <c r="K1240" s="4" t="n">
        <f aca="false">IF($J1240="Y","",IF($F1240="BW",$I1240,$H1240*$I1240))</f>
        <v>0</v>
      </c>
      <c r="L1240" s="4" t="str">
        <f aca="false">IF($D1240="","",$D1240&amp;"|"&amp;$H1240)</f>
        <v/>
      </c>
    </row>
    <row r="1241" customFormat="false" ht="15" hidden="false" customHeight="false" outlineLevel="0" collapsed="false">
      <c r="K1241" s="4" t="n">
        <f aca="false">IF($J1241="Y","",IF($F1241="BW",$I1241,$H1241*$I1241))</f>
        <v>0</v>
      </c>
      <c r="L1241" s="4" t="str">
        <f aca="false">IF($D1241="","",$D1241&amp;"|"&amp;$H1241)</f>
        <v/>
      </c>
    </row>
    <row r="1242" customFormat="false" ht="15" hidden="false" customHeight="false" outlineLevel="0" collapsed="false">
      <c r="K1242" s="4" t="n">
        <f aca="false">IF($J1242="Y","",IF($F1242="BW",$I1242,$H1242*$I1242))</f>
        <v>0</v>
      </c>
      <c r="L1242" s="4" t="str">
        <f aca="false">IF($D1242="","",$D1242&amp;"|"&amp;$H1242)</f>
        <v/>
      </c>
    </row>
    <row r="1243" customFormat="false" ht="15" hidden="false" customHeight="false" outlineLevel="0" collapsed="false">
      <c r="K1243" s="4" t="n">
        <f aca="false">IF($J1243="Y","",IF($F1243="BW",$I1243,$H1243*$I1243))</f>
        <v>0</v>
      </c>
      <c r="L1243" s="4" t="str">
        <f aca="false">IF($D1243="","",$D1243&amp;"|"&amp;$H1243)</f>
        <v/>
      </c>
    </row>
    <row r="1244" customFormat="false" ht="15" hidden="false" customHeight="false" outlineLevel="0" collapsed="false">
      <c r="K1244" s="4" t="n">
        <f aca="false">IF($J1244="Y","",IF($F1244="BW",$I1244,$H1244*$I1244))</f>
        <v>0</v>
      </c>
      <c r="L1244" s="4" t="str">
        <f aca="false">IF($D1244="","",$D1244&amp;"|"&amp;$H1244)</f>
        <v/>
      </c>
    </row>
    <row r="1245" customFormat="false" ht="15" hidden="false" customHeight="false" outlineLevel="0" collapsed="false">
      <c r="K1245" s="4" t="n">
        <f aca="false">IF($J1245="Y","",IF($F1245="BW",$I1245,$H1245*$I1245))</f>
        <v>0</v>
      </c>
      <c r="L1245" s="4" t="str">
        <f aca="false">IF($D1245="","",$D1245&amp;"|"&amp;$H1245)</f>
        <v/>
      </c>
    </row>
    <row r="1246" customFormat="false" ht="15" hidden="false" customHeight="false" outlineLevel="0" collapsed="false">
      <c r="K1246" s="4" t="n">
        <f aca="false">IF($J1246="Y","",IF($F1246="BW",$I1246,$H1246*$I1246))</f>
        <v>0</v>
      </c>
      <c r="L1246" s="4" t="str">
        <f aca="false">IF($D1246="","",$D1246&amp;"|"&amp;$H1246)</f>
        <v/>
      </c>
    </row>
    <row r="1247" customFormat="false" ht="15" hidden="false" customHeight="false" outlineLevel="0" collapsed="false">
      <c r="K1247" s="4" t="n">
        <f aca="false">IF($J1247="Y","",IF($F1247="BW",$I1247,$H1247*$I1247))</f>
        <v>0</v>
      </c>
      <c r="L1247" s="4" t="str">
        <f aca="false">IF($D1247="","",$D1247&amp;"|"&amp;$H1247)</f>
        <v/>
      </c>
    </row>
    <row r="1248" customFormat="false" ht="15" hidden="false" customHeight="false" outlineLevel="0" collapsed="false">
      <c r="K1248" s="4" t="n">
        <f aca="false">IF($J1248="Y","",IF($F1248="BW",$I1248,$H1248*$I1248))</f>
        <v>0</v>
      </c>
      <c r="L1248" s="4" t="str">
        <f aca="false">IF($D1248="","",$D1248&amp;"|"&amp;$H1248)</f>
        <v/>
      </c>
    </row>
    <row r="1249" customFormat="false" ht="15" hidden="false" customHeight="false" outlineLevel="0" collapsed="false">
      <c r="K1249" s="4" t="n">
        <f aca="false">IF($J1249="Y","",IF($F1249="BW",$I1249,$H1249*$I1249))</f>
        <v>0</v>
      </c>
      <c r="L1249" s="4" t="str">
        <f aca="false">IF($D1249="","",$D1249&amp;"|"&amp;$H1249)</f>
        <v/>
      </c>
    </row>
    <row r="1250" customFormat="false" ht="15" hidden="false" customHeight="false" outlineLevel="0" collapsed="false">
      <c r="K1250" s="4" t="n">
        <f aca="false">IF($J1250="Y","",IF($F1250="BW",$I1250,$H1250*$I1250))</f>
        <v>0</v>
      </c>
      <c r="L1250" s="4" t="str">
        <f aca="false">IF($D1250="","",$D1250&amp;"|"&amp;$H1250)</f>
        <v/>
      </c>
    </row>
    <row r="1251" customFormat="false" ht="15" hidden="false" customHeight="false" outlineLevel="0" collapsed="false">
      <c r="K1251" s="4" t="n">
        <f aca="false">IF($J1251="Y","",IF($F1251="BW",$I1251,$H1251*$I1251))</f>
        <v>0</v>
      </c>
      <c r="L1251" s="4" t="str">
        <f aca="false">IF($D1251="","",$D1251&amp;"|"&amp;$H1251)</f>
        <v/>
      </c>
    </row>
    <row r="1252" customFormat="false" ht="15" hidden="false" customHeight="false" outlineLevel="0" collapsed="false">
      <c r="K1252" s="4" t="n">
        <f aca="false">IF($J1252="Y","",IF($F1252="BW",$I1252,$H1252*$I1252))</f>
        <v>0</v>
      </c>
      <c r="L1252" s="4" t="str">
        <f aca="false">IF($D1252="","",$D1252&amp;"|"&amp;$H1252)</f>
        <v/>
      </c>
    </row>
    <row r="1253" customFormat="false" ht="15" hidden="false" customHeight="false" outlineLevel="0" collapsed="false">
      <c r="K1253" s="4" t="n">
        <f aca="false">IF($J1253="Y","",IF($F1253="BW",$I1253,$H1253*$I1253))</f>
        <v>0</v>
      </c>
      <c r="L1253" s="4" t="str">
        <f aca="false">IF($D1253="","",$D1253&amp;"|"&amp;$H1253)</f>
        <v/>
      </c>
    </row>
    <row r="1254" customFormat="false" ht="15" hidden="false" customHeight="false" outlineLevel="0" collapsed="false">
      <c r="K1254" s="4" t="n">
        <f aca="false">IF($J1254="Y","",IF($F1254="BW",$I1254,$H1254*$I1254))</f>
        <v>0</v>
      </c>
      <c r="L1254" s="4" t="str">
        <f aca="false">IF($D1254="","",$D1254&amp;"|"&amp;$H1254)</f>
        <v/>
      </c>
    </row>
    <row r="1255" customFormat="false" ht="15" hidden="false" customHeight="false" outlineLevel="0" collapsed="false">
      <c r="K1255" s="4" t="n">
        <f aca="false">IF($J1255="Y","",IF($F1255="BW",$I1255,$H1255*$I1255))</f>
        <v>0</v>
      </c>
      <c r="L1255" s="4" t="str">
        <f aca="false">IF($D1255="","",$D1255&amp;"|"&amp;$H1255)</f>
        <v/>
      </c>
    </row>
    <row r="1256" customFormat="false" ht="15" hidden="false" customHeight="false" outlineLevel="0" collapsed="false">
      <c r="K1256" s="4" t="n">
        <f aca="false">IF($J1256="Y","",IF($F1256="BW",$I1256,$H1256*$I1256))</f>
        <v>0</v>
      </c>
      <c r="L1256" s="4" t="str">
        <f aca="false">IF($D1256="","",$D1256&amp;"|"&amp;$H1256)</f>
        <v/>
      </c>
    </row>
    <row r="1257" customFormat="false" ht="15" hidden="false" customHeight="false" outlineLevel="0" collapsed="false">
      <c r="K1257" s="4" t="n">
        <f aca="false">IF($J1257="Y","",IF($F1257="BW",$I1257,$H1257*$I1257))</f>
        <v>0</v>
      </c>
      <c r="L1257" s="4" t="str">
        <f aca="false">IF($D1257="","",$D1257&amp;"|"&amp;$H1257)</f>
        <v/>
      </c>
    </row>
    <row r="1258" customFormat="false" ht="15" hidden="false" customHeight="false" outlineLevel="0" collapsed="false">
      <c r="K1258" s="4" t="n">
        <f aca="false">IF($J1258="Y","",IF($F1258="BW",$I1258,$H1258*$I1258))</f>
        <v>0</v>
      </c>
      <c r="L1258" s="4" t="str">
        <f aca="false">IF($D1258="","",$D1258&amp;"|"&amp;$H1258)</f>
        <v/>
      </c>
    </row>
    <row r="1259" customFormat="false" ht="15" hidden="false" customHeight="false" outlineLevel="0" collapsed="false">
      <c r="K1259" s="4" t="n">
        <f aca="false">IF($J1259="Y","",IF($F1259="BW",$I1259,$H1259*$I1259))</f>
        <v>0</v>
      </c>
      <c r="L1259" s="4" t="str">
        <f aca="false">IF($D1259="","",$D1259&amp;"|"&amp;$H1259)</f>
        <v/>
      </c>
    </row>
    <row r="1260" customFormat="false" ht="15" hidden="false" customHeight="false" outlineLevel="0" collapsed="false">
      <c r="K1260" s="4" t="n">
        <f aca="false">IF($J1260="Y","",IF($F1260="BW",$I1260,$H1260*$I1260))</f>
        <v>0</v>
      </c>
      <c r="L1260" s="4" t="str">
        <f aca="false">IF($D1260="","",$D1260&amp;"|"&amp;$H1260)</f>
        <v/>
      </c>
    </row>
    <row r="1261" customFormat="false" ht="15" hidden="false" customHeight="false" outlineLevel="0" collapsed="false">
      <c r="K1261" s="4" t="n">
        <f aca="false">IF($J1261="Y","",IF($F1261="BW",$I1261,$H1261*$I1261))</f>
        <v>0</v>
      </c>
      <c r="L1261" s="4" t="str">
        <f aca="false">IF($D1261="","",$D1261&amp;"|"&amp;$H1261)</f>
        <v/>
      </c>
    </row>
    <row r="1262" customFormat="false" ht="15" hidden="false" customHeight="false" outlineLevel="0" collapsed="false">
      <c r="K1262" s="4" t="n">
        <f aca="false">IF($J1262="Y","",IF($F1262="BW",$I1262,$H1262*$I1262))</f>
        <v>0</v>
      </c>
      <c r="L1262" s="4" t="str">
        <f aca="false">IF($D1262="","",$D1262&amp;"|"&amp;$H1262)</f>
        <v/>
      </c>
    </row>
    <row r="1263" customFormat="false" ht="15" hidden="false" customHeight="false" outlineLevel="0" collapsed="false">
      <c r="K1263" s="4" t="n">
        <f aca="false">IF($J1263="Y","",IF($F1263="BW",$I1263,$H1263*$I1263))</f>
        <v>0</v>
      </c>
      <c r="L1263" s="4" t="str">
        <f aca="false">IF($D1263="","",$D1263&amp;"|"&amp;$H1263)</f>
        <v/>
      </c>
    </row>
    <row r="1264" customFormat="false" ht="15" hidden="false" customHeight="false" outlineLevel="0" collapsed="false">
      <c r="K1264" s="4" t="n">
        <f aca="false">IF($J1264="Y","",IF($F1264="BW",$I1264,$H1264*$I1264))</f>
        <v>0</v>
      </c>
      <c r="L1264" s="4" t="str">
        <f aca="false">IF($D1264="","",$D1264&amp;"|"&amp;$H1264)</f>
        <v/>
      </c>
    </row>
    <row r="1265" customFormat="false" ht="15" hidden="false" customHeight="false" outlineLevel="0" collapsed="false">
      <c r="K1265" s="4" t="n">
        <f aca="false">IF($J1265="Y","",IF($F1265="BW",$I1265,$H1265*$I1265))</f>
        <v>0</v>
      </c>
      <c r="L1265" s="4" t="str">
        <f aca="false">IF($D1265="","",$D1265&amp;"|"&amp;$H1265)</f>
        <v/>
      </c>
    </row>
    <row r="1266" customFormat="false" ht="15" hidden="false" customHeight="false" outlineLevel="0" collapsed="false">
      <c r="K1266" s="4" t="n">
        <f aca="false">IF($J1266="Y","",IF($F1266="BW",$I1266,$H1266*$I1266))</f>
        <v>0</v>
      </c>
      <c r="L1266" s="4" t="str">
        <f aca="false">IF($D1266="","",$D1266&amp;"|"&amp;$H1266)</f>
        <v/>
      </c>
    </row>
    <row r="1267" customFormat="false" ht="15" hidden="false" customHeight="false" outlineLevel="0" collapsed="false">
      <c r="K1267" s="4" t="n">
        <f aca="false">IF($J1267="Y","",IF($F1267="BW",$I1267,$H1267*$I1267))</f>
        <v>0</v>
      </c>
      <c r="L1267" s="4" t="str">
        <f aca="false">IF($D1267="","",$D1267&amp;"|"&amp;$H1267)</f>
        <v/>
      </c>
    </row>
    <row r="1268" customFormat="false" ht="15" hidden="false" customHeight="false" outlineLevel="0" collapsed="false">
      <c r="K1268" s="4" t="n">
        <f aca="false">IF($J1268="Y","",IF($F1268="BW",$I1268,$H1268*$I1268))</f>
        <v>0</v>
      </c>
      <c r="L1268" s="4" t="str">
        <f aca="false">IF($D1268="","",$D1268&amp;"|"&amp;$H1268)</f>
        <v/>
      </c>
    </row>
    <row r="1269" customFormat="false" ht="15" hidden="false" customHeight="false" outlineLevel="0" collapsed="false">
      <c r="K1269" s="4" t="n">
        <f aca="false">IF($J1269="Y","",IF($F1269="BW",$I1269,$H1269*$I1269))</f>
        <v>0</v>
      </c>
      <c r="L1269" s="4" t="str">
        <f aca="false">IF($D1269="","",$D1269&amp;"|"&amp;$H1269)</f>
        <v/>
      </c>
    </row>
    <row r="1270" customFormat="false" ht="15" hidden="false" customHeight="false" outlineLevel="0" collapsed="false">
      <c r="K1270" s="4" t="n">
        <f aca="false">IF($J1270="Y","",IF($F1270="BW",$I1270,$H1270*$I1270))</f>
        <v>0</v>
      </c>
      <c r="L1270" s="4" t="str">
        <f aca="false">IF($D1270="","",$D1270&amp;"|"&amp;$H1270)</f>
        <v/>
      </c>
    </row>
    <row r="1271" customFormat="false" ht="15" hidden="false" customHeight="false" outlineLevel="0" collapsed="false">
      <c r="K1271" s="4" t="n">
        <f aca="false">IF($J1271="Y","",IF($F1271="BW",$I1271,$H1271*$I1271))</f>
        <v>0</v>
      </c>
      <c r="L1271" s="4" t="str">
        <f aca="false">IF($D1271="","",$D1271&amp;"|"&amp;$H1271)</f>
        <v/>
      </c>
    </row>
    <row r="1272" customFormat="false" ht="15" hidden="false" customHeight="false" outlineLevel="0" collapsed="false">
      <c r="K1272" s="4" t="n">
        <f aca="false">IF($J1272="Y","",IF($F1272="BW",$I1272,$H1272*$I1272))</f>
        <v>0</v>
      </c>
      <c r="L1272" s="4" t="str">
        <f aca="false">IF($D1272="","",$D1272&amp;"|"&amp;$H1272)</f>
        <v/>
      </c>
    </row>
    <row r="1273" customFormat="false" ht="15" hidden="false" customHeight="false" outlineLevel="0" collapsed="false">
      <c r="K1273" s="4" t="n">
        <f aca="false">IF($J1273="Y","",IF($F1273="BW",$I1273,$H1273*$I1273))</f>
        <v>0</v>
      </c>
      <c r="L1273" s="4" t="str">
        <f aca="false">IF($D1273="","",$D1273&amp;"|"&amp;$H1273)</f>
        <v/>
      </c>
    </row>
    <row r="1274" customFormat="false" ht="15" hidden="false" customHeight="false" outlineLevel="0" collapsed="false">
      <c r="K1274" s="4" t="n">
        <f aca="false">IF($J1274="Y","",IF($F1274="BW",$I1274,$H1274*$I1274))</f>
        <v>0</v>
      </c>
      <c r="L1274" s="4" t="str">
        <f aca="false">IF($D1274="","",$D1274&amp;"|"&amp;$H1274)</f>
        <v/>
      </c>
    </row>
    <row r="1275" customFormat="false" ht="15" hidden="false" customHeight="false" outlineLevel="0" collapsed="false">
      <c r="K1275" s="4" t="n">
        <f aca="false">IF($J1275="Y","",IF($F1275="BW",$I1275,$H1275*$I1275))</f>
        <v>0</v>
      </c>
      <c r="L1275" s="4" t="str">
        <f aca="false">IF($D1275="","",$D1275&amp;"|"&amp;$H1275)</f>
        <v/>
      </c>
    </row>
    <row r="1276" customFormat="false" ht="15" hidden="false" customHeight="false" outlineLevel="0" collapsed="false">
      <c r="K1276" s="4" t="n">
        <f aca="false">IF($J1276="Y","",IF($F1276="BW",$I1276,$H1276*$I1276))</f>
        <v>0</v>
      </c>
      <c r="L1276" s="4" t="str">
        <f aca="false">IF($D1276="","",$D1276&amp;"|"&amp;$H1276)</f>
        <v/>
      </c>
    </row>
    <row r="1277" customFormat="false" ht="15" hidden="false" customHeight="false" outlineLevel="0" collapsed="false">
      <c r="K1277" s="4" t="n">
        <f aca="false">IF($J1277="Y","",IF($F1277="BW",$I1277,$H1277*$I1277))</f>
        <v>0</v>
      </c>
      <c r="L1277" s="4" t="str">
        <f aca="false">IF($D1277="","",$D1277&amp;"|"&amp;$H1277)</f>
        <v/>
      </c>
    </row>
    <row r="1278" customFormat="false" ht="15" hidden="false" customHeight="false" outlineLevel="0" collapsed="false">
      <c r="K1278" s="4" t="n">
        <f aca="false">IF($J1278="Y","",IF($F1278="BW",$I1278,$H1278*$I1278))</f>
        <v>0</v>
      </c>
      <c r="L1278" s="4" t="str">
        <f aca="false">IF($D1278="","",$D1278&amp;"|"&amp;$H1278)</f>
        <v/>
      </c>
    </row>
    <row r="1279" customFormat="false" ht="15" hidden="false" customHeight="false" outlineLevel="0" collapsed="false">
      <c r="K1279" s="4" t="n">
        <f aca="false">IF($J1279="Y","",IF($F1279="BW",$I1279,$H1279*$I1279))</f>
        <v>0</v>
      </c>
      <c r="L1279" s="4" t="str">
        <f aca="false">IF($D1279="","",$D1279&amp;"|"&amp;$H1279)</f>
        <v/>
      </c>
    </row>
    <row r="1280" customFormat="false" ht="15" hidden="false" customHeight="false" outlineLevel="0" collapsed="false">
      <c r="K1280" s="4" t="n">
        <f aca="false">IF($J1280="Y","",IF($F1280="BW",$I1280,$H1280*$I1280))</f>
        <v>0</v>
      </c>
      <c r="L1280" s="4" t="str">
        <f aca="false">IF($D1280="","",$D1280&amp;"|"&amp;$H1280)</f>
        <v/>
      </c>
    </row>
    <row r="1281" customFormat="false" ht="15" hidden="false" customHeight="false" outlineLevel="0" collapsed="false">
      <c r="K1281" s="4" t="n">
        <f aca="false">IF($J1281="Y","",IF($F1281="BW",$I1281,$H1281*$I1281))</f>
        <v>0</v>
      </c>
      <c r="L1281" s="4" t="str">
        <f aca="false">IF($D1281="","",$D1281&amp;"|"&amp;$H1281)</f>
        <v/>
      </c>
    </row>
    <row r="1282" customFormat="false" ht="15" hidden="false" customHeight="false" outlineLevel="0" collapsed="false">
      <c r="K1282" s="4" t="n">
        <f aca="false">IF($J1282="Y","",IF($F1282="BW",$I1282,$H1282*$I1282))</f>
        <v>0</v>
      </c>
      <c r="L1282" s="4" t="str">
        <f aca="false">IF($D1282="","",$D1282&amp;"|"&amp;$H1282)</f>
        <v/>
      </c>
    </row>
    <row r="1283" customFormat="false" ht="15" hidden="false" customHeight="false" outlineLevel="0" collapsed="false">
      <c r="K1283" s="4" t="n">
        <f aca="false">IF($J1283="Y","",IF($F1283="BW",$I1283,$H1283*$I1283))</f>
        <v>0</v>
      </c>
      <c r="L1283" s="4" t="str">
        <f aca="false">IF($D1283="","",$D1283&amp;"|"&amp;$H1283)</f>
        <v/>
      </c>
    </row>
    <row r="1284" customFormat="false" ht="15" hidden="false" customHeight="false" outlineLevel="0" collapsed="false">
      <c r="K1284" s="4" t="n">
        <f aca="false">IF($J1284="Y","",IF($F1284="BW",$I1284,$H1284*$I1284))</f>
        <v>0</v>
      </c>
      <c r="L1284" s="4" t="str">
        <f aca="false">IF($D1284="","",$D1284&amp;"|"&amp;$H1284)</f>
        <v/>
      </c>
    </row>
    <row r="1285" customFormat="false" ht="15" hidden="false" customHeight="false" outlineLevel="0" collapsed="false">
      <c r="K1285" s="4" t="n">
        <f aca="false">IF($J1285="Y","",IF($F1285="BW",$I1285,$H1285*$I1285))</f>
        <v>0</v>
      </c>
      <c r="L1285" s="4" t="str">
        <f aca="false">IF($D1285="","",$D1285&amp;"|"&amp;$H1285)</f>
        <v/>
      </c>
    </row>
    <row r="1286" customFormat="false" ht="15" hidden="false" customHeight="false" outlineLevel="0" collapsed="false">
      <c r="K1286" s="4" t="n">
        <f aca="false">IF($J1286="Y","",IF($F1286="BW",$I1286,$H1286*$I1286))</f>
        <v>0</v>
      </c>
      <c r="L1286" s="4" t="str">
        <f aca="false">IF($D1286="","",$D1286&amp;"|"&amp;$H1286)</f>
        <v/>
      </c>
    </row>
    <row r="1287" customFormat="false" ht="15" hidden="false" customHeight="false" outlineLevel="0" collapsed="false">
      <c r="K1287" s="4" t="n">
        <f aca="false">IF($J1287="Y","",IF($F1287="BW",$I1287,$H1287*$I1287))</f>
        <v>0</v>
      </c>
      <c r="L1287" s="4" t="str">
        <f aca="false">IF($D1287="","",$D1287&amp;"|"&amp;$H1287)</f>
        <v/>
      </c>
    </row>
    <row r="1288" customFormat="false" ht="15" hidden="false" customHeight="false" outlineLevel="0" collapsed="false">
      <c r="K1288" s="4" t="n">
        <f aca="false">IF($J1288="Y","",IF($F1288="BW",$I1288,$H1288*$I1288))</f>
        <v>0</v>
      </c>
      <c r="L1288" s="4" t="str">
        <f aca="false">IF($D1288="","",$D1288&amp;"|"&amp;$H1288)</f>
        <v/>
      </c>
    </row>
    <row r="1289" customFormat="false" ht="15" hidden="false" customHeight="false" outlineLevel="0" collapsed="false">
      <c r="K1289" s="4" t="n">
        <f aca="false">IF($J1289="Y","",IF($F1289="BW",$I1289,$H1289*$I1289))</f>
        <v>0</v>
      </c>
      <c r="L1289" s="4" t="str">
        <f aca="false">IF($D1289="","",$D1289&amp;"|"&amp;$H1289)</f>
        <v/>
      </c>
    </row>
    <row r="1290" customFormat="false" ht="15" hidden="false" customHeight="false" outlineLevel="0" collapsed="false">
      <c r="K1290" s="4" t="n">
        <f aca="false">IF($J1290="Y","",IF($F1290="BW",$I1290,$H1290*$I1290))</f>
        <v>0</v>
      </c>
      <c r="L1290" s="4" t="str">
        <f aca="false">IF($D1290="","",$D1290&amp;"|"&amp;$H1290)</f>
        <v/>
      </c>
    </row>
    <row r="1291" customFormat="false" ht="15" hidden="false" customHeight="false" outlineLevel="0" collapsed="false">
      <c r="K1291" s="4" t="n">
        <f aca="false">IF($J1291="Y","",IF($F1291="BW",$I1291,$H1291*$I1291))</f>
        <v>0</v>
      </c>
      <c r="L1291" s="4" t="str">
        <f aca="false">IF($D1291="","",$D1291&amp;"|"&amp;$H1291)</f>
        <v/>
      </c>
    </row>
    <row r="1292" customFormat="false" ht="15" hidden="false" customHeight="false" outlineLevel="0" collapsed="false">
      <c r="K1292" s="4" t="n">
        <f aca="false">IF($J1292="Y","",IF($F1292="BW",$I1292,$H1292*$I1292))</f>
        <v>0</v>
      </c>
      <c r="L1292" s="4" t="str">
        <f aca="false">IF($D1292="","",$D1292&amp;"|"&amp;$H1292)</f>
        <v/>
      </c>
    </row>
    <row r="1293" customFormat="false" ht="15" hidden="false" customHeight="false" outlineLevel="0" collapsed="false">
      <c r="K1293" s="4" t="n">
        <f aca="false">IF($J1293="Y","",IF($F1293="BW",$I1293,$H1293*$I1293))</f>
        <v>0</v>
      </c>
      <c r="L1293" s="4" t="str">
        <f aca="false">IF($D1293="","",$D1293&amp;"|"&amp;$H1293)</f>
        <v/>
      </c>
    </row>
    <row r="1294" customFormat="false" ht="15" hidden="false" customHeight="false" outlineLevel="0" collapsed="false">
      <c r="K1294" s="4" t="n">
        <f aca="false">IF($J1294="Y","",IF($F1294="BW",$I1294,$H1294*$I1294))</f>
        <v>0</v>
      </c>
      <c r="L1294" s="4" t="str">
        <f aca="false">IF($D1294="","",$D1294&amp;"|"&amp;$H1294)</f>
        <v/>
      </c>
    </row>
    <row r="1295" customFormat="false" ht="15" hidden="false" customHeight="false" outlineLevel="0" collapsed="false">
      <c r="K1295" s="4" t="n">
        <f aca="false">IF($J1295="Y","",IF($F1295="BW",$I1295,$H1295*$I1295))</f>
        <v>0</v>
      </c>
      <c r="L1295" s="4" t="str">
        <f aca="false">IF($D1295="","",$D1295&amp;"|"&amp;$H1295)</f>
        <v/>
      </c>
    </row>
    <row r="1296" customFormat="false" ht="15" hidden="false" customHeight="false" outlineLevel="0" collapsed="false">
      <c r="K1296" s="4" t="n">
        <f aca="false">IF($J1296="Y","",IF($F1296="BW",$I1296,$H1296*$I1296))</f>
        <v>0</v>
      </c>
      <c r="L1296" s="4" t="str">
        <f aca="false">IF($D1296="","",$D1296&amp;"|"&amp;$H1296)</f>
        <v/>
      </c>
    </row>
    <row r="1297" customFormat="false" ht="15" hidden="false" customHeight="false" outlineLevel="0" collapsed="false">
      <c r="K1297" s="4" t="n">
        <f aca="false">IF($J1297="Y","",IF($F1297="BW",$I1297,$H1297*$I1297))</f>
        <v>0</v>
      </c>
      <c r="L1297" s="4" t="str">
        <f aca="false">IF($D1297="","",$D1297&amp;"|"&amp;$H1297)</f>
        <v/>
      </c>
    </row>
    <row r="1298" customFormat="false" ht="15" hidden="false" customHeight="false" outlineLevel="0" collapsed="false">
      <c r="K1298" s="4" t="n">
        <f aca="false">IF($J1298="Y","",IF($F1298="BW",$I1298,$H1298*$I1298))</f>
        <v>0</v>
      </c>
      <c r="L1298" s="4" t="str">
        <f aca="false">IF($D1298="","",$D1298&amp;"|"&amp;$H1298)</f>
        <v/>
      </c>
    </row>
    <row r="1299" customFormat="false" ht="15" hidden="false" customHeight="false" outlineLevel="0" collapsed="false">
      <c r="K1299" s="4" t="n">
        <f aca="false">IF($J1299="Y","",IF($F1299="BW",$I1299,$H1299*$I1299))</f>
        <v>0</v>
      </c>
      <c r="L1299" s="4" t="str">
        <f aca="false">IF($D1299="","",$D1299&amp;"|"&amp;$H1299)</f>
        <v/>
      </c>
    </row>
    <row r="1300" customFormat="false" ht="15" hidden="false" customHeight="false" outlineLevel="0" collapsed="false">
      <c r="K1300" s="4" t="n">
        <f aca="false">IF($J1300="Y","",IF($F1300="BW",$I1300,$H1300*$I1300))</f>
        <v>0</v>
      </c>
      <c r="L1300" s="4" t="str">
        <f aca="false">IF($D1300="","",$D1300&amp;"|"&amp;$H1300)</f>
        <v/>
      </c>
    </row>
    <row r="1301" customFormat="false" ht="15" hidden="false" customHeight="false" outlineLevel="0" collapsed="false">
      <c r="K1301" s="4" t="n">
        <f aca="false">IF($J1301="Y","",IF($F1301="BW",$I1301,$H1301*$I1301))</f>
        <v>0</v>
      </c>
      <c r="L1301" s="4" t="str">
        <f aca="false">IF($D1301="","",$D1301&amp;"|"&amp;$H1301)</f>
        <v/>
      </c>
    </row>
    <row r="1302" customFormat="false" ht="15" hidden="false" customHeight="false" outlineLevel="0" collapsed="false">
      <c r="K1302" s="4" t="n">
        <f aca="false">IF($J1302="Y","",IF($F1302="BW",$I1302,$H1302*$I1302))</f>
        <v>0</v>
      </c>
      <c r="L1302" s="4" t="str">
        <f aca="false">IF($D1302="","",$D1302&amp;"|"&amp;$H1302)</f>
        <v/>
      </c>
    </row>
    <row r="1303" customFormat="false" ht="15" hidden="false" customHeight="false" outlineLevel="0" collapsed="false">
      <c r="K1303" s="4" t="n">
        <f aca="false">IF($J1303="Y","",IF($F1303="BW",$I1303,$H1303*$I1303))</f>
        <v>0</v>
      </c>
      <c r="L1303" s="4" t="str">
        <f aca="false">IF($D1303="","",$D1303&amp;"|"&amp;$H1303)</f>
        <v/>
      </c>
    </row>
    <row r="1304" customFormat="false" ht="15" hidden="false" customHeight="false" outlineLevel="0" collapsed="false">
      <c r="K1304" s="4" t="n">
        <f aca="false">IF($J1304="Y","",IF($F1304="BW",$I1304,$H1304*$I1304))</f>
        <v>0</v>
      </c>
      <c r="L1304" s="4" t="str">
        <f aca="false">IF($D1304="","",$D1304&amp;"|"&amp;$H1304)</f>
        <v/>
      </c>
    </row>
    <row r="1305" customFormat="false" ht="15" hidden="false" customHeight="false" outlineLevel="0" collapsed="false">
      <c r="K1305" s="4" t="n">
        <f aca="false">IF($J1305="Y","",IF($F1305="BW",$I1305,$H1305*$I1305))</f>
        <v>0</v>
      </c>
      <c r="L1305" s="4" t="str">
        <f aca="false">IF($D1305="","",$D1305&amp;"|"&amp;$H1305)</f>
        <v/>
      </c>
    </row>
    <row r="1306" customFormat="false" ht="15" hidden="false" customHeight="false" outlineLevel="0" collapsed="false">
      <c r="K1306" s="4" t="n">
        <f aca="false">IF($J1306="Y","",IF($F1306="BW",$I1306,$H1306*$I1306))</f>
        <v>0</v>
      </c>
      <c r="L1306" s="4" t="str">
        <f aca="false">IF($D1306="","",$D1306&amp;"|"&amp;$H1306)</f>
        <v/>
      </c>
    </row>
    <row r="1307" customFormat="false" ht="15" hidden="false" customHeight="false" outlineLevel="0" collapsed="false">
      <c r="K1307" s="4" t="n">
        <f aca="false">IF($J1307="Y","",IF($F1307="BW",$I1307,$H1307*$I1307))</f>
        <v>0</v>
      </c>
      <c r="L1307" s="4" t="str">
        <f aca="false">IF($D1307="","",$D1307&amp;"|"&amp;$H1307)</f>
        <v/>
      </c>
    </row>
    <row r="1308" customFormat="false" ht="15" hidden="false" customHeight="false" outlineLevel="0" collapsed="false">
      <c r="K1308" s="4" t="n">
        <f aca="false">IF($J1308="Y","",IF($F1308="BW",$I1308,$H1308*$I1308))</f>
        <v>0</v>
      </c>
      <c r="L1308" s="4" t="str">
        <f aca="false">IF($D1308="","",$D1308&amp;"|"&amp;$H1308)</f>
        <v/>
      </c>
    </row>
    <row r="1309" customFormat="false" ht="15" hidden="false" customHeight="false" outlineLevel="0" collapsed="false">
      <c r="K1309" s="4" t="n">
        <f aca="false">IF($J1309="Y","",IF($F1309="BW",$I1309,$H1309*$I1309))</f>
        <v>0</v>
      </c>
      <c r="L1309" s="4" t="str">
        <f aca="false">IF($D1309="","",$D1309&amp;"|"&amp;$H1309)</f>
        <v/>
      </c>
    </row>
    <row r="1310" customFormat="false" ht="15" hidden="false" customHeight="false" outlineLevel="0" collapsed="false">
      <c r="K1310" s="4" t="n">
        <f aca="false">IF($J1310="Y","",IF($F1310="BW",$I1310,$H1310*$I1310))</f>
        <v>0</v>
      </c>
      <c r="L1310" s="4" t="str">
        <f aca="false">IF($D1310="","",$D1310&amp;"|"&amp;$H1310)</f>
        <v/>
      </c>
    </row>
    <row r="1311" customFormat="false" ht="15" hidden="false" customHeight="false" outlineLevel="0" collapsed="false">
      <c r="K1311" s="4" t="n">
        <f aca="false">IF($J1311="Y","",IF($F1311="BW",$I1311,$H1311*$I1311))</f>
        <v>0</v>
      </c>
      <c r="L1311" s="4" t="str">
        <f aca="false">IF($D1311="","",$D1311&amp;"|"&amp;$H1311)</f>
        <v/>
      </c>
    </row>
    <row r="1312" customFormat="false" ht="15" hidden="false" customHeight="false" outlineLevel="0" collapsed="false">
      <c r="K1312" s="4" t="n">
        <f aca="false">IF($J1312="Y","",IF($F1312="BW",$I1312,$H1312*$I1312))</f>
        <v>0</v>
      </c>
      <c r="L1312" s="4" t="str">
        <f aca="false">IF($D1312="","",$D1312&amp;"|"&amp;$H1312)</f>
        <v/>
      </c>
    </row>
    <row r="1313" customFormat="false" ht="15" hidden="false" customHeight="false" outlineLevel="0" collapsed="false">
      <c r="K1313" s="4" t="n">
        <f aca="false">IF($J1313="Y","",IF($F1313="BW",$I1313,$H1313*$I1313))</f>
        <v>0</v>
      </c>
      <c r="L1313" s="4" t="str">
        <f aca="false">IF($D1313="","",$D1313&amp;"|"&amp;$H1313)</f>
        <v/>
      </c>
    </row>
    <row r="1314" customFormat="false" ht="15" hidden="false" customHeight="false" outlineLevel="0" collapsed="false">
      <c r="K1314" s="4" t="n">
        <f aca="false">IF($J1314="Y","",IF($F1314="BW",$I1314,$H1314*$I1314))</f>
        <v>0</v>
      </c>
      <c r="L1314" s="4" t="str">
        <f aca="false">IF($D1314="","",$D1314&amp;"|"&amp;$H1314)</f>
        <v/>
      </c>
    </row>
    <row r="1315" customFormat="false" ht="15" hidden="false" customHeight="false" outlineLevel="0" collapsed="false">
      <c r="K1315" s="4" t="n">
        <f aca="false">IF($J1315="Y","",IF($F1315="BW",$I1315,$H1315*$I1315))</f>
        <v>0</v>
      </c>
      <c r="L1315" s="4" t="str">
        <f aca="false">IF($D1315="","",$D1315&amp;"|"&amp;$H1315)</f>
        <v/>
      </c>
    </row>
    <row r="1316" customFormat="false" ht="15" hidden="false" customHeight="false" outlineLevel="0" collapsed="false">
      <c r="K1316" s="4" t="n">
        <f aca="false">IF($J1316="Y","",IF($F1316="BW",$I1316,$H1316*$I1316))</f>
        <v>0</v>
      </c>
      <c r="L1316" s="4" t="str">
        <f aca="false">IF($D1316="","",$D1316&amp;"|"&amp;$H1316)</f>
        <v/>
      </c>
    </row>
    <row r="1317" customFormat="false" ht="15" hidden="false" customHeight="false" outlineLevel="0" collapsed="false">
      <c r="K1317" s="4" t="n">
        <f aca="false">IF($J1317="Y","",IF($F1317="BW",$I1317,$H1317*$I1317))</f>
        <v>0</v>
      </c>
      <c r="L1317" s="4" t="str">
        <f aca="false">IF($D1317="","",$D1317&amp;"|"&amp;$H1317)</f>
        <v/>
      </c>
    </row>
    <row r="1318" customFormat="false" ht="15" hidden="false" customHeight="false" outlineLevel="0" collapsed="false">
      <c r="K1318" s="4" t="n">
        <f aca="false">IF($J1318="Y","",IF($F1318="BW",$I1318,$H1318*$I1318))</f>
        <v>0</v>
      </c>
      <c r="L1318" s="4" t="str">
        <f aca="false">IF($D1318="","",$D1318&amp;"|"&amp;$H1318)</f>
        <v/>
      </c>
    </row>
    <row r="1319" customFormat="false" ht="15" hidden="false" customHeight="false" outlineLevel="0" collapsed="false">
      <c r="K1319" s="4" t="n">
        <f aca="false">IF($J1319="Y","",IF($F1319="BW",$I1319,$H1319*$I1319))</f>
        <v>0</v>
      </c>
      <c r="L1319" s="4" t="str">
        <f aca="false">IF($D1319="","",$D1319&amp;"|"&amp;$H1319)</f>
        <v/>
      </c>
    </row>
    <row r="1320" customFormat="false" ht="15" hidden="false" customHeight="false" outlineLevel="0" collapsed="false">
      <c r="K1320" s="4" t="n">
        <f aca="false">IF($J1320="Y","",IF($F1320="BW",$I1320,$H1320*$I1320))</f>
        <v>0</v>
      </c>
      <c r="L1320" s="4" t="str">
        <f aca="false">IF($D1320="","",$D1320&amp;"|"&amp;$H1320)</f>
        <v/>
      </c>
    </row>
    <row r="1321" customFormat="false" ht="15" hidden="false" customHeight="false" outlineLevel="0" collapsed="false">
      <c r="K1321" s="4" t="n">
        <f aca="false">IF($J1321="Y","",IF($F1321="BW",$I1321,$H1321*$I1321))</f>
        <v>0</v>
      </c>
      <c r="L1321" s="4" t="str">
        <f aca="false">IF($D1321="","",$D1321&amp;"|"&amp;$H1321)</f>
        <v/>
      </c>
    </row>
    <row r="1322" customFormat="false" ht="15" hidden="false" customHeight="false" outlineLevel="0" collapsed="false">
      <c r="K1322" s="4" t="n">
        <f aca="false">IF($J1322="Y","",IF($F1322="BW",$I1322,$H1322*$I1322))</f>
        <v>0</v>
      </c>
      <c r="L1322" s="4" t="str">
        <f aca="false">IF($D1322="","",$D1322&amp;"|"&amp;$H1322)</f>
        <v/>
      </c>
    </row>
    <row r="1323" customFormat="false" ht="15" hidden="false" customHeight="false" outlineLevel="0" collapsed="false">
      <c r="K1323" s="4" t="n">
        <f aca="false">IF($J1323="Y","",IF($F1323="BW",$I1323,$H1323*$I1323))</f>
        <v>0</v>
      </c>
      <c r="L1323" s="4" t="str">
        <f aca="false">IF($D1323="","",$D1323&amp;"|"&amp;$H1323)</f>
        <v/>
      </c>
    </row>
    <row r="1324" customFormat="false" ht="15" hidden="false" customHeight="false" outlineLevel="0" collapsed="false">
      <c r="K1324" s="4" t="n">
        <f aca="false">IF($J1324="Y","",IF($F1324="BW",$I1324,$H1324*$I1324))</f>
        <v>0</v>
      </c>
      <c r="L1324" s="4" t="str">
        <f aca="false">IF($D1324="","",$D1324&amp;"|"&amp;$H1324)</f>
        <v/>
      </c>
    </row>
    <row r="1325" customFormat="false" ht="15" hidden="false" customHeight="false" outlineLevel="0" collapsed="false">
      <c r="K1325" s="4" t="n">
        <f aca="false">IF($J1325="Y","",IF($F1325="BW",$I1325,$H1325*$I1325))</f>
        <v>0</v>
      </c>
      <c r="L1325" s="4" t="str">
        <f aca="false">IF($D1325="","",$D1325&amp;"|"&amp;$H1325)</f>
        <v/>
      </c>
    </row>
    <row r="1326" customFormat="false" ht="15" hidden="false" customHeight="false" outlineLevel="0" collapsed="false">
      <c r="K1326" s="4" t="n">
        <f aca="false">IF($J1326="Y","",IF($F1326="BW",$I1326,$H1326*$I1326))</f>
        <v>0</v>
      </c>
      <c r="L1326" s="4" t="str">
        <f aca="false">IF($D1326="","",$D1326&amp;"|"&amp;$H1326)</f>
        <v/>
      </c>
    </row>
    <row r="1327" customFormat="false" ht="15" hidden="false" customHeight="false" outlineLevel="0" collapsed="false">
      <c r="K1327" s="4" t="n">
        <f aca="false">IF($J1327="Y","",IF($F1327="BW",$I1327,$H1327*$I1327))</f>
        <v>0</v>
      </c>
      <c r="L1327" s="4" t="str">
        <f aca="false">IF($D1327="","",$D1327&amp;"|"&amp;$H1327)</f>
        <v/>
      </c>
    </row>
    <row r="1328" customFormat="false" ht="15" hidden="false" customHeight="false" outlineLevel="0" collapsed="false">
      <c r="K1328" s="4" t="n">
        <f aca="false">IF($J1328="Y","",IF($F1328="BW",$I1328,$H1328*$I1328))</f>
        <v>0</v>
      </c>
      <c r="L1328" s="4" t="str">
        <f aca="false">IF($D1328="","",$D1328&amp;"|"&amp;$H1328)</f>
        <v/>
      </c>
    </row>
    <row r="1329" customFormat="false" ht="15" hidden="false" customHeight="false" outlineLevel="0" collapsed="false">
      <c r="K1329" s="4" t="n">
        <f aca="false">IF($J1329="Y","",IF($F1329="BW",$I1329,$H1329*$I1329))</f>
        <v>0</v>
      </c>
      <c r="L1329" s="4" t="str">
        <f aca="false">IF($D1329="","",$D1329&amp;"|"&amp;$H1329)</f>
        <v/>
      </c>
    </row>
    <row r="1330" customFormat="false" ht="15" hidden="false" customHeight="false" outlineLevel="0" collapsed="false">
      <c r="K1330" s="4" t="n">
        <f aca="false">IF($J1330="Y","",IF($F1330="BW",$I1330,$H1330*$I1330))</f>
        <v>0</v>
      </c>
      <c r="L1330" s="4" t="str">
        <f aca="false">IF($D1330="","",$D1330&amp;"|"&amp;$H1330)</f>
        <v/>
      </c>
    </row>
    <row r="1331" customFormat="false" ht="15" hidden="false" customHeight="false" outlineLevel="0" collapsed="false">
      <c r="K1331" s="4" t="n">
        <f aca="false">IF($J1331="Y","",IF($F1331="BW",$I1331,$H1331*$I1331))</f>
        <v>0</v>
      </c>
      <c r="L1331" s="4" t="str">
        <f aca="false">IF($D1331="","",$D1331&amp;"|"&amp;$H1331)</f>
        <v/>
      </c>
    </row>
    <row r="1332" customFormat="false" ht="15" hidden="false" customHeight="false" outlineLevel="0" collapsed="false">
      <c r="K1332" s="4" t="n">
        <f aca="false">IF($J1332="Y","",IF($F1332="BW",$I1332,$H1332*$I1332))</f>
        <v>0</v>
      </c>
      <c r="L1332" s="4" t="str">
        <f aca="false">IF($D1332="","",$D1332&amp;"|"&amp;$H1332)</f>
        <v/>
      </c>
    </row>
    <row r="1333" customFormat="false" ht="15" hidden="false" customHeight="false" outlineLevel="0" collapsed="false">
      <c r="K1333" s="4" t="n">
        <f aca="false">IF($J1333="Y","",IF($F1333="BW",$I1333,$H1333*$I1333))</f>
        <v>0</v>
      </c>
      <c r="L1333" s="4" t="str">
        <f aca="false">IF($D1333="","",$D1333&amp;"|"&amp;$H1333)</f>
        <v/>
      </c>
    </row>
    <row r="1334" customFormat="false" ht="15" hidden="false" customHeight="false" outlineLevel="0" collapsed="false">
      <c r="K1334" s="4" t="n">
        <f aca="false">IF($J1334="Y","",IF($F1334="BW",$I1334,$H1334*$I1334))</f>
        <v>0</v>
      </c>
      <c r="L1334" s="4" t="str">
        <f aca="false">IF($D1334="","",$D1334&amp;"|"&amp;$H1334)</f>
        <v/>
      </c>
    </row>
    <row r="1335" customFormat="false" ht="15" hidden="false" customHeight="false" outlineLevel="0" collapsed="false">
      <c r="K1335" s="4" t="n">
        <f aca="false">IF($J1335="Y","",IF($F1335="BW",$I1335,$H1335*$I1335))</f>
        <v>0</v>
      </c>
      <c r="L1335" s="4" t="str">
        <f aca="false">IF($D1335="","",$D1335&amp;"|"&amp;$H1335)</f>
        <v/>
      </c>
    </row>
    <row r="1336" customFormat="false" ht="15" hidden="false" customHeight="false" outlineLevel="0" collapsed="false">
      <c r="K1336" s="4" t="n">
        <f aca="false">IF($J1336="Y","",IF($F1336="BW",$I1336,$H1336*$I1336))</f>
        <v>0</v>
      </c>
      <c r="L1336" s="4" t="str">
        <f aca="false">IF($D1336="","",$D1336&amp;"|"&amp;$H1336)</f>
        <v/>
      </c>
    </row>
    <row r="1337" customFormat="false" ht="15" hidden="false" customHeight="false" outlineLevel="0" collapsed="false">
      <c r="K1337" s="4" t="n">
        <f aca="false">IF($J1337="Y","",IF($F1337="BW",$I1337,$H1337*$I1337))</f>
        <v>0</v>
      </c>
      <c r="L1337" s="4" t="str">
        <f aca="false">IF($D1337="","",$D1337&amp;"|"&amp;$H1337)</f>
        <v/>
      </c>
    </row>
    <row r="1338" customFormat="false" ht="15" hidden="false" customHeight="false" outlineLevel="0" collapsed="false">
      <c r="K1338" s="4" t="n">
        <f aca="false">IF($J1338="Y","",IF($F1338="BW",$I1338,$H1338*$I1338))</f>
        <v>0</v>
      </c>
      <c r="L1338" s="4" t="str">
        <f aca="false">IF($D1338="","",$D1338&amp;"|"&amp;$H1338)</f>
        <v/>
      </c>
    </row>
    <row r="1339" customFormat="false" ht="15" hidden="false" customHeight="false" outlineLevel="0" collapsed="false">
      <c r="K1339" s="4" t="n">
        <f aca="false">IF($J1339="Y","",IF($F1339="BW",$I1339,$H1339*$I1339))</f>
        <v>0</v>
      </c>
      <c r="L1339" s="4" t="str">
        <f aca="false">IF($D1339="","",$D1339&amp;"|"&amp;$H1339)</f>
        <v/>
      </c>
    </row>
    <row r="1340" customFormat="false" ht="15" hidden="false" customHeight="false" outlineLevel="0" collapsed="false">
      <c r="K1340" s="4" t="n">
        <f aca="false">IF($J1340="Y","",IF($F1340="BW",$I1340,$H1340*$I1340))</f>
        <v>0</v>
      </c>
      <c r="L1340" s="4" t="str">
        <f aca="false">IF($D1340="","",$D1340&amp;"|"&amp;$H1340)</f>
        <v/>
      </c>
    </row>
    <row r="1341" customFormat="false" ht="15" hidden="false" customHeight="false" outlineLevel="0" collapsed="false">
      <c r="K1341" s="4" t="n">
        <f aca="false">IF($J1341="Y","",IF($F1341="BW",$I1341,$H1341*$I1341))</f>
        <v>0</v>
      </c>
      <c r="L1341" s="4" t="str">
        <f aca="false">IF($D1341="","",$D1341&amp;"|"&amp;$H1341)</f>
        <v/>
      </c>
    </row>
    <row r="1342" customFormat="false" ht="15" hidden="false" customHeight="false" outlineLevel="0" collapsed="false">
      <c r="K1342" s="4" t="n">
        <f aca="false">IF($J1342="Y","",IF($F1342="BW",$I1342,$H1342*$I1342))</f>
        <v>0</v>
      </c>
      <c r="L1342" s="4" t="str">
        <f aca="false">IF($D1342="","",$D1342&amp;"|"&amp;$H1342)</f>
        <v/>
      </c>
    </row>
    <row r="1343" customFormat="false" ht="15" hidden="false" customHeight="false" outlineLevel="0" collapsed="false">
      <c r="K1343" s="4" t="n">
        <f aca="false">IF($J1343="Y","",IF($F1343="BW",$I1343,$H1343*$I1343))</f>
        <v>0</v>
      </c>
      <c r="L1343" s="4" t="str">
        <f aca="false">IF($D1343="","",$D1343&amp;"|"&amp;$H1343)</f>
        <v/>
      </c>
    </row>
    <row r="1344" customFormat="false" ht="15" hidden="false" customHeight="false" outlineLevel="0" collapsed="false">
      <c r="K1344" s="4" t="n">
        <f aca="false">IF($J1344="Y","",IF($F1344="BW",$I1344,$H1344*$I1344))</f>
        <v>0</v>
      </c>
      <c r="L1344" s="4" t="str">
        <f aca="false">IF($D1344="","",$D1344&amp;"|"&amp;$H1344)</f>
        <v/>
      </c>
    </row>
    <row r="1345" customFormat="false" ht="15" hidden="false" customHeight="false" outlineLevel="0" collapsed="false">
      <c r="K1345" s="4" t="n">
        <f aca="false">IF($J1345="Y","",IF($F1345="BW",$I1345,$H1345*$I1345))</f>
        <v>0</v>
      </c>
      <c r="L1345" s="4" t="str">
        <f aca="false">IF($D1345="","",$D1345&amp;"|"&amp;$H1345)</f>
        <v/>
      </c>
    </row>
    <row r="1346" customFormat="false" ht="15" hidden="false" customHeight="false" outlineLevel="0" collapsed="false">
      <c r="K1346" s="4" t="n">
        <f aca="false">IF($J1346="Y","",IF($F1346="BW",$I1346,$H1346*$I1346))</f>
        <v>0</v>
      </c>
      <c r="L1346" s="4" t="str">
        <f aca="false">IF($D1346="","",$D1346&amp;"|"&amp;$H1346)</f>
        <v/>
      </c>
    </row>
    <row r="1347" customFormat="false" ht="15" hidden="false" customHeight="false" outlineLevel="0" collapsed="false">
      <c r="K1347" s="4" t="n">
        <f aca="false">IF($J1347="Y","",IF($F1347="BW",$I1347,$H1347*$I1347))</f>
        <v>0</v>
      </c>
      <c r="L1347" s="4" t="str">
        <f aca="false">IF($D1347="","",$D1347&amp;"|"&amp;$H1347)</f>
        <v/>
      </c>
    </row>
    <row r="1348" customFormat="false" ht="15" hidden="false" customHeight="false" outlineLevel="0" collapsed="false">
      <c r="K1348" s="4" t="n">
        <f aca="false">IF($J1348="Y","",IF($F1348="BW",$I1348,$H1348*$I1348))</f>
        <v>0</v>
      </c>
      <c r="L1348" s="4" t="str">
        <f aca="false">IF($D1348="","",$D1348&amp;"|"&amp;$H1348)</f>
        <v/>
      </c>
    </row>
    <row r="1349" customFormat="false" ht="15" hidden="false" customHeight="false" outlineLevel="0" collapsed="false">
      <c r="K1349" s="4" t="n">
        <f aca="false">IF($J1349="Y","",IF($F1349="BW",$I1349,$H1349*$I1349))</f>
        <v>0</v>
      </c>
      <c r="L1349" s="4" t="str">
        <f aca="false">IF($D1349="","",$D1349&amp;"|"&amp;$H1349)</f>
        <v/>
      </c>
    </row>
    <row r="1350" customFormat="false" ht="15" hidden="false" customHeight="false" outlineLevel="0" collapsed="false">
      <c r="K1350" s="4" t="n">
        <f aca="false">IF($J1350="Y","",IF($F1350="BW",$I1350,$H1350*$I1350))</f>
        <v>0</v>
      </c>
      <c r="L1350" s="4" t="str">
        <f aca="false">IF($D1350="","",$D1350&amp;"|"&amp;$H1350)</f>
        <v/>
      </c>
    </row>
    <row r="1351" customFormat="false" ht="15" hidden="false" customHeight="false" outlineLevel="0" collapsed="false">
      <c r="K1351" s="4" t="n">
        <f aca="false">IF($J1351="Y","",IF($F1351="BW",$I1351,$H1351*$I1351))</f>
        <v>0</v>
      </c>
      <c r="L1351" s="4" t="str">
        <f aca="false">IF($D1351="","",$D1351&amp;"|"&amp;$H1351)</f>
        <v/>
      </c>
    </row>
    <row r="1352" customFormat="false" ht="15" hidden="false" customHeight="false" outlineLevel="0" collapsed="false">
      <c r="K1352" s="4" t="n">
        <f aca="false">IF($J1352="Y","",IF($F1352="BW",$I1352,$H1352*$I1352))</f>
        <v>0</v>
      </c>
      <c r="L1352" s="4" t="str">
        <f aca="false">IF($D1352="","",$D1352&amp;"|"&amp;$H1352)</f>
        <v/>
      </c>
    </row>
    <row r="1353" customFormat="false" ht="15" hidden="false" customHeight="false" outlineLevel="0" collapsed="false">
      <c r="K1353" s="4" t="n">
        <f aca="false">IF($J1353="Y","",IF($F1353="BW",$I1353,$H1353*$I1353))</f>
        <v>0</v>
      </c>
      <c r="L1353" s="4" t="str">
        <f aca="false">IF($D1353="","",$D1353&amp;"|"&amp;$H1353)</f>
        <v/>
      </c>
    </row>
    <row r="1354" customFormat="false" ht="15" hidden="false" customHeight="false" outlineLevel="0" collapsed="false">
      <c r="K1354" s="4" t="n">
        <f aca="false">IF($J1354="Y","",IF($F1354="BW",$I1354,$H1354*$I1354))</f>
        <v>0</v>
      </c>
      <c r="L1354" s="4" t="str">
        <f aca="false">IF($D1354="","",$D1354&amp;"|"&amp;$H1354)</f>
        <v/>
      </c>
    </row>
    <row r="1355" customFormat="false" ht="15" hidden="false" customHeight="false" outlineLevel="0" collapsed="false">
      <c r="K1355" s="4" t="n">
        <f aca="false">IF($J1355="Y","",IF($F1355="BW",$I1355,$H1355*$I1355))</f>
        <v>0</v>
      </c>
      <c r="L1355" s="4" t="str">
        <f aca="false">IF($D1355="","",$D1355&amp;"|"&amp;$H1355)</f>
        <v/>
      </c>
    </row>
    <row r="1356" customFormat="false" ht="15" hidden="false" customHeight="false" outlineLevel="0" collapsed="false">
      <c r="K1356" s="4" t="n">
        <f aca="false">IF($J1356="Y","",IF($F1356="BW",$I1356,$H1356*$I1356))</f>
        <v>0</v>
      </c>
      <c r="L1356" s="4" t="str">
        <f aca="false">IF($D1356="","",$D1356&amp;"|"&amp;$H1356)</f>
        <v/>
      </c>
    </row>
    <row r="1357" customFormat="false" ht="15" hidden="false" customHeight="false" outlineLevel="0" collapsed="false">
      <c r="K1357" s="4" t="n">
        <f aca="false">IF($J1357="Y","",IF($F1357="BW",$I1357,$H1357*$I1357))</f>
        <v>0</v>
      </c>
      <c r="L1357" s="4" t="str">
        <f aca="false">IF($D1357="","",$D1357&amp;"|"&amp;$H1357)</f>
        <v/>
      </c>
    </row>
    <row r="1358" customFormat="false" ht="15" hidden="false" customHeight="false" outlineLevel="0" collapsed="false">
      <c r="K1358" s="4" t="n">
        <f aca="false">IF($J1358="Y","",IF($F1358="BW",$I1358,$H1358*$I1358))</f>
        <v>0</v>
      </c>
      <c r="L1358" s="4" t="str">
        <f aca="false">IF($D1358="","",$D1358&amp;"|"&amp;$H1358)</f>
        <v/>
      </c>
    </row>
    <row r="1359" customFormat="false" ht="15" hidden="false" customHeight="false" outlineLevel="0" collapsed="false">
      <c r="K1359" s="4" t="n">
        <f aca="false">IF($J1359="Y","",IF($F1359="BW",$I1359,$H1359*$I1359))</f>
        <v>0</v>
      </c>
      <c r="L1359" s="4" t="str">
        <f aca="false">IF($D1359="","",$D1359&amp;"|"&amp;$H1359)</f>
        <v/>
      </c>
    </row>
    <row r="1360" customFormat="false" ht="15" hidden="false" customHeight="false" outlineLevel="0" collapsed="false">
      <c r="K1360" s="4" t="n">
        <f aca="false">IF($J1360="Y","",IF($F1360="BW",$I1360,$H1360*$I1360))</f>
        <v>0</v>
      </c>
      <c r="L1360" s="4" t="str">
        <f aca="false">IF($D1360="","",$D1360&amp;"|"&amp;$H1360)</f>
        <v/>
      </c>
    </row>
    <row r="1361" customFormat="false" ht="15" hidden="false" customHeight="false" outlineLevel="0" collapsed="false">
      <c r="K1361" s="4" t="n">
        <f aca="false">IF($J1361="Y","",IF($F1361="BW",$I1361,$H1361*$I1361))</f>
        <v>0</v>
      </c>
      <c r="L1361" s="4" t="str">
        <f aca="false">IF($D1361="","",$D1361&amp;"|"&amp;$H1361)</f>
        <v/>
      </c>
    </row>
    <row r="1362" customFormat="false" ht="15" hidden="false" customHeight="false" outlineLevel="0" collapsed="false">
      <c r="K1362" s="4" t="n">
        <f aca="false">IF($J1362="Y","",IF($F1362="BW",$I1362,$H1362*$I1362))</f>
        <v>0</v>
      </c>
      <c r="L1362" s="4" t="str">
        <f aca="false">IF($D1362="","",$D1362&amp;"|"&amp;$H1362)</f>
        <v/>
      </c>
    </row>
    <row r="1363" customFormat="false" ht="15" hidden="false" customHeight="false" outlineLevel="0" collapsed="false">
      <c r="K1363" s="4" t="n">
        <f aca="false">IF($J1363="Y","",IF($F1363="BW",$I1363,$H1363*$I1363))</f>
        <v>0</v>
      </c>
      <c r="L1363" s="4" t="str">
        <f aca="false">IF($D1363="","",$D1363&amp;"|"&amp;$H1363)</f>
        <v/>
      </c>
    </row>
    <row r="1364" customFormat="false" ht="15" hidden="false" customHeight="false" outlineLevel="0" collapsed="false">
      <c r="K1364" s="4" t="n">
        <f aca="false">IF($J1364="Y","",IF($F1364="BW",$I1364,$H1364*$I1364))</f>
        <v>0</v>
      </c>
      <c r="L1364" s="4" t="str">
        <f aca="false">IF($D1364="","",$D1364&amp;"|"&amp;$H1364)</f>
        <v/>
      </c>
    </row>
    <row r="1365" customFormat="false" ht="15" hidden="false" customHeight="false" outlineLevel="0" collapsed="false">
      <c r="K1365" s="4" t="n">
        <f aca="false">IF($J1365="Y","",IF($F1365="BW",$I1365,$H1365*$I1365))</f>
        <v>0</v>
      </c>
      <c r="L1365" s="4" t="str">
        <f aca="false">IF($D1365="","",$D1365&amp;"|"&amp;$H1365)</f>
        <v/>
      </c>
    </row>
    <row r="1366" customFormat="false" ht="15" hidden="false" customHeight="false" outlineLevel="0" collapsed="false">
      <c r="K1366" s="4" t="n">
        <f aca="false">IF($J1366="Y","",IF($F1366="BW",$I1366,$H1366*$I1366))</f>
        <v>0</v>
      </c>
      <c r="L1366" s="4" t="str">
        <f aca="false">IF($D1366="","",$D1366&amp;"|"&amp;$H1366)</f>
        <v/>
      </c>
    </row>
    <row r="1367" customFormat="false" ht="15" hidden="false" customHeight="false" outlineLevel="0" collapsed="false">
      <c r="K1367" s="4" t="n">
        <f aca="false">IF($J1367="Y","",IF($F1367="BW",$I1367,$H1367*$I1367))</f>
        <v>0</v>
      </c>
      <c r="L1367" s="4" t="str">
        <f aca="false">IF($D1367="","",$D1367&amp;"|"&amp;$H1367)</f>
        <v/>
      </c>
    </row>
    <row r="1368" customFormat="false" ht="15" hidden="false" customHeight="false" outlineLevel="0" collapsed="false">
      <c r="K1368" s="4" t="n">
        <f aca="false">IF($J1368="Y","",IF($F1368="BW",$I1368,$H1368*$I1368))</f>
        <v>0</v>
      </c>
      <c r="L1368" s="4" t="str">
        <f aca="false">IF($D1368="","",$D1368&amp;"|"&amp;$H1368)</f>
        <v/>
      </c>
    </row>
    <row r="1369" customFormat="false" ht="15" hidden="false" customHeight="false" outlineLevel="0" collapsed="false">
      <c r="K1369" s="4" t="n">
        <f aca="false">IF($J1369="Y","",IF($F1369="BW",$I1369,$H1369*$I1369))</f>
        <v>0</v>
      </c>
      <c r="L1369" s="4" t="str">
        <f aca="false">IF($D1369="","",$D1369&amp;"|"&amp;$H1369)</f>
        <v/>
      </c>
    </row>
    <row r="1370" customFormat="false" ht="15" hidden="false" customHeight="false" outlineLevel="0" collapsed="false">
      <c r="K1370" s="4" t="n">
        <f aca="false">IF($J1370="Y","",IF($F1370="BW",$I1370,$H1370*$I1370))</f>
        <v>0</v>
      </c>
      <c r="L1370" s="4" t="str">
        <f aca="false">IF($D1370="","",$D1370&amp;"|"&amp;$H1370)</f>
        <v/>
      </c>
    </row>
    <row r="1371" customFormat="false" ht="15" hidden="false" customHeight="false" outlineLevel="0" collapsed="false">
      <c r="K1371" s="4" t="n">
        <f aca="false">IF($J1371="Y","",IF($F1371="BW",$I1371,$H1371*$I1371))</f>
        <v>0</v>
      </c>
      <c r="L1371" s="4" t="str">
        <f aca="false">IF($D1371="","",$D1371&amp;"|"&amp;$H1371)</f>
        <v/>
      </c>
    </row>
    <row r="1372" customFormat="false" ht="15" hidden="false" customHeight="false" outlineLevel="0" collapsed="false">
      <c r="K1372" s="4" t="n">
        <f aca="false">IF($J1372="Y","",IF($F1372="BW",$I1372,$H1372*$I1372))</f>
        <v>0</v>
      </c>
      <c r="L1372" s="4" t="str">
        <f aca="false">IF($D1372="","",$D1372&amp;"|"&amp;$H1372)</f>
        <v/>
      </c>
    </row>
    <row r="1373" customFormat="false" ht="15" hidden="false" customHeight="false" outlineLevel="0" collapsed="false">
      <c r="K1373" s="4" t="n">
        <f aca="false">IF($J1373="Y","",IF($F1373="BW",$I1373,$H1373*$I1373))</f>
        <v>0</v>
      </c>
      <c r="L1373" s="4" t="str">
        <f aca="false">IF($D1373="","",$D1373&amp;"|"&amp;$H1373)</f>
        <v/>
      </c>
    </row>
    <row r="1374" customFormat="false" ht="15" hidden="false" customHeight="false" outlineLevel="0" collapsed="false">
      <c r="K1374" s="4" t="n">
        <f aca="false">IF($J1374="Y","",IF($F1374="BW",$I1374,$H1374*$I1374))</f>
        <v>0</v>
      </c>
      <c r="L1374" s="4" t="str">
        <f aca="false">IF($D1374="","",$D1374&amp;"|"&amp;$H1374)</f>
        <v/>
      </c>
    </row>
    <row r="1375" customFormat="false" ht="15" hidden="false" customHeight="false" outlineLevel="0" collapsed="false">
      <c r="K1375" s="4" t="n">
        <f aca="false">IF($J1375="Y","",IF($F1375="BW",$I1375,$H1375*$I1375))</f>
        <v>0</v>
      </c>
      <c r="L1375" s="4" t="str">
        <f aca="false">IF($D1375="","",$D1375&amp;"|"&amp;$H1375)</f>
        <v/>
      </c>
    </row>
    <row r="1376" customFormat="false" ht="15" hidden="false" customHeight="false" outlineLevel="0" collapsed="false">
      <c r="K1376" s="4" t="n">
        <f aca="false">IF($J1376="Y","",IF($F1376="BW",$I1376,$H1376*$I1376))</f>
        <v>0</v>
      </c>
      <c r="L1376" s="4" t="str">
        <f aca="false">IF($D1376="","",$D1376&amp;"|"&amp;$H1376)</f>
        <v/>
      </c>
    </row>
    <row r="1377" customFormat="false" ht="15" hidden="false" customHeight="false" outlineLevel="0" collapsed="false">
      <c r="K1377" s="4" t="n">
        <f aca="false">IF($J1377="Y","",IF($F1377="BW",$I1377,$H1377*$I1377))</f>
        <v>0</v>
      </c>
      <c r="L1377" s="4" t="str">
        <f aca="false">IF($D1377="","",$D1377&amp;"|"&amp;$H1377)</f>
        <v/>
      </c>
    </row>
    <row r="1378" customFormat="false" ht="15" hidden="false" customHeight="false" outlineLevel="0" collapsed="false">
      <c r="K1378" s="4" t="n">
        <f aca="false">IF($J1378="Y","",IF($F1378="BW",$I1378,$H1378*$I1378))</f>
        <v>0</v>
      </c>
      <c r="L1378" s="4" t="str">
        <f aca="false">IF($D1378="","",$D1378&amp;"|"&amp;$H1378)</f>
        <v/>
      </c>
    </row>
    <row r="1379" customFormat="false" ht="15" hidden="false" customHeight="false" outlineLevel="0" collapsed="false">
      <c r="K1379" s="4" t="n">
        <f aca="false">IF($J1379="Y","",IF($F1379="BW",$I1379,$H1379*$I1379))</f>
        <v>0</v>
      </c>
      <c r="L1379" s="4" t="str">
        <f aca="false">IF($D1379="","",$D1379&amp;"|"&amp;$H1379)</f>
        <v/>
      </c>
    </row>
    <row r="1380" customFormat="false" ht="15" hidden="false" customHeight="false" outlineLevel="0" collapsed="false">
      <c r="K1380" s="4" t="n">
        <f aca="false">IF($J1380="Y","",IF($F1380="BW",$I1380,$H1380*$I1380))</f>
        <v>0</v>
      </c>
      <c r="L1380" s="4" t="str">
        <f aca="false">IF($D1380="","",$D1380&amp;"|"&amp;$H1380)</f>
        <v/>
      </c>
    </row>
    <row r="1381" customFormat="false" ht="15" hidden="false" customHeight="false" outlineLevel="0" collapsed="false">
      <c r="K1381" s="4" t="n">
        <f aca="false">IF($J1381="Y","",IF($F1381="BW",$I1381,$H1381*$I1381))</f>
        <v>0</v>
      </c>
      <c r="L1381" s="4" t="str">
        <f aca="false">IF($D1381="","",$D1381&amp;"|"&amp;$H1381)</f>
        <v/>
      </c>
    </row>
    <row r="1382" customFormat="false" ht="15" hidden="false" customHeight="false" outlineLevel="0" collapsed="false">
      <c r="K1382" s="4" t="n">
        <f aca="false">IF($J1382="Y","",IF($F1382="BW",$I1382,$H1382*$I1382))</f>
        <v>0</v>
      </c>
      <c r="L1382" s="4" t="str">
        <f aca="false">IF($D1382="","",$D1382&amp;"|"&amp;$H1382)</f>
        <v/>
      </c>
    </row>
    <row r="1383" customFormat="false" ht="15" hidden="false" customHeight="false" outlineLevel="0" collapsed="false">
      <c r="K1383" s="4" t="n">
        <f aca="false">IF($J1383="Y","",IF($F1383="BW",$I1383,$H1383*$I1383))</f>
        <v>0</v>
      </c>
      <c r="L1383" s="4" t="str">
        <f aca="false">IF($D1383="","",$D1383&amp;"|"&amp;$H1383)</f>
        <v/>
      </c>
    </row>
    <row r="1384" customFormat="false" ht="15" hidden="false" customHeight="false" outlineLevel="0" collapsed="false">
      <c r="K1384" s="4" t="n">
        <f aca="false">IF($J1384="Y","",IF($F1384="BW",$I1384,$H1384*$I1384))</f>
        <v>0</v>
      </c>
      <c r="L1384" s="4" t="str">
        <f aca="false">IF($D1384="","",$D1384&amp;"|"&amp;$H1384)</f>
        <v/>
      </c>
    </row>
    <row r="1385" customFormat="false" ht="15" hidden="false" customHeight="false" outlineLevel="0" collapsed="false">
      <c r="K1385" s="4" t="n">
        <f aca="false">IF($J1385="Y","",IF($F1385="BW",$I1385,$H1385*$I1385))</f>
        <v>0</v>
      </c>
      <c r="L1385" s="4" t="str">
        <f aca="false">IF($D1385="","",$D1385&amp;"|"&amp;$H1385)</f>
        <v/>
      </c>
    </row>
    <row r="1386" customFormat="false" ht="15" hidden="false" customHeight="false" outlineLevel="0" collapsed="false">
      <c r="K1386" s="4" t="n">
        <f aca="false">IF($J1386="Y","",IF($F1386="BW",$I1386,$H1386*$I1386))</f>
        <v>0</v>
      </c>
      <c r="L1386" s="4" t="str">
        <f aca="false">IF($D1386="","",$D1386&amp;"|"&amp;$H1386)</f>
        <v/>
      </c>
    </row>
    <row r="1387" customFormat="false" ht="15" hidden="false" customHeight="false" outlineLevel="0" collapsed="false">
      <c r="K1387" s="4" t="n">
        <f aca="false">IF($J1387="Y","",IF($F1387="BW",$I1387,$H1387*$I1387))</f>
        <v>0</v>
      </c>
      <c r="L1387" s="4" t="str">
        <f aca="false">IF($D1387="","",$D1387&amp;"|"&amp;$H1387)</f>
        <v/>
      </c>
    </row>
    <row r="1388" customFormat="false" ht="15" hidden="false" customHeight="false" outlineLevel="0" collapsed="false">
      <c r="K1388" s="4" t="n">
        <f aca="false">IF($J1388="Y","",IF($F1388="BW",$I1388,$H1388*$I1388))</f>
        <v>0</v>
      </c>
      <c r="L1388" s="4" t="str">
        <f aca="false">IF($D1388="","",$D1388&amp;"|"&amp;$H1388)</f>
        <v/>
      </c>
    </row>
    <row r="1389" customFormat="false" ht="15" hidden="false" customHeight="false" outlineLevel="0" collapsed="false">
      <c r="K1389" s="4" t="n">
        <f aca="false">IF($J1389="Y","",IF($F1389="BW",$I1389,$H1389*$I1389))</f>
        <v>0</v>
      </c>
      <c r="L1389" s="4" t="str">
        <f aca="false">IF($D1389="","",$D1389&amp;"|"&amp;$H1389)</f>
        <v/>
      </c>
    </row>
    <row r="1390" customFormat="false" ht="15" hidden="false" customHeight="false" outlineLevel="0" collapsed="false">
      <c r="K1390" s="4" t="n">
        <f aca="false">IF($J1390="Y","",IF($F1390="BW",$I1390,$H1390*$I1390))</f>
        <v>0</v>
      </c>
      <c r="L1390" s="4" t="str">
        <f aca="false">IF($D1390="","",$D1390&amp;"|"&amp;$H1390)</f>
        <v/>
      </c>
    </row>
    <row r="1391" customFormat="false" ht="15" hidden="false" customHeight="false" outlineLevel="0" collapsed="false">
      <c r="K1391" s="4" t="n">
        <f aca="false">IF($J1391="Y","",IF($F1391="BW",$I1391,$H1391*$I1391))</f>
        <v>0</v>
      </c>
      <c r="L1391" s="4" t="str">
        <f aca="false">IF($D1391="","",$D1391&amp;"|"&amp;$H1391)</f>
        <v/>
      </c>
    </row>
    <row r="1392" customFormat="false" ht="15" hidden="false" customHeight="false" outlineLevel="0" collapsed="false">
      <c r="K1392" s="4" t="n">
        <f aca="false">IF($J1392="Y","",IF($F1392="BW",$I1392,$H1392*$I1392))</f>
        <v>0</v>
      </c>
      <c r="L1392" s="4" t="str">
        <f aca="false">IF($D1392="","",$D1392&amp;"|"&amp;$H1392)</f>
        <v/>
      </c>
    </row>
    <row r="1393" customFormat="false" ht="15" hidden="false" customHeight="false" outlineLevel="0" collapsed="false">
      <c r="K1393" s="4" t="n">
        <f aca="false">IF($J1393="Y","",IF($F1393="BW",$I1393,$H1393*$I1393))</f>
        <v>0</v>
      </c>
      <c r="L1393" s="4" t="str">
        <f aca="false">IF($D1393="","",$D1393&amp;"|"&amp;$H1393)</f>
        <v/>
      </c>
    </row>
    <row r="1394" customFormat="false" ht="15" hidden="false" customHeight="false" outlineLevel="0" collapsed="false">
      <c r="K1394" s="4" t="n">
        <f aca="false">IF($J1394="Y","",IF($F1394="BW",$I1394,$H1394*$I1394))</f>
        <v>0</v>
      </c>
      <c r="L1394" s="4" t="str">
        <f aca="false">IF($D1394="","",$D1394&amp;"|"&amp;$H1394)</f>
        <v/>
      </c>
    </row>
    <row r="1395" customFormat="false" ht="15" hidden="false" customHeight="false" outlineLevel="0" collapsed="false">
      <c r="K1395" s="4" t="n">
        <f aca="false">IF($J1395="Y","",IF($F1395="BW",$I1395,$H1395*$I1395))</f>
        <v>0</v>
      </c>
      <c r="L1395" s="4" t="str">
        <f aca="false">IF($D1395="","",$D1395&amp;"|"&amp;$H1395)</f>
        <v/>
      </c>
    </row>
    <row r="1396" customFormat="false" ht="15" hidden="false" customHeight="false" outlineLevel="0" collapsed="false">
      <c r="K1396" s="4" t="n">
        <f aca="false">IF($J1396="Y","",IF($F1396="BW",$I1396,$H1396*$I1396))</f>
        <v>0</v>
      </c>
      <c r="L1396" s="4" t="str">
        <f aca="false">IF($D1396="","",$D1396&amp;"|"&amp;$H1396)</f>
        <v/>
      </c>
    </row>
    <row r="1397" customFormat="false" ht="15" hidden="false" customHeight="false" outlineLevel="0" collapsed="false">
      <c r="K1397" s="4" t="n">
        <f aca="false">IF($J1397="Y","",IF($F1397="BW",$I1397,$H1397*$I1397))</f>
        <v>0</v>
      </c>
      <c r="L1397" s="4" t="str">
        <f aca="false">IF($D1397="","",$D1397&amp;"|"&amp;$H1397)</f>
        <v/>
      </c>
    </row>
    <row r="1398" customFormat="false" ht="15" hidden="false" customHeight="false" outlineLevel="0" collapsed="false">
      <c r="K1398" s="4" t="n">
        <f aca="false">IF($J1398="Y","",IF($F1398="BW",$I1398,$H1398*$I1398))</f>
        <v>0</v>
      </c>
      <c r="L1398" s="4" t="str">
        <f aca="false">IF($D1398="","",$D1398&amp;"|"&amp;$H1398)</f>
        <v/>
      </c>
    </row>
    <row r="1399" customFormat="false" ht="15" hidden="false" customHeight="false" outlineLevel="0" collapsed="false">
      <c r="K1399" s="4" t="n">
        <f aca="false">IF($J1399="Y","",IF($F1399="BW",$I1399,$H1399*$I1399))</f>
        <v>0</v>
      </c>
      <c r="L1399" s="4" t="str">
        <f aca="false">IF($D1399="","",$D1399&amp;"|"&amp;$H1399)</f>
        <v/>
      </c>
    </row>
    <row r="1400" customFormat="false" ht="15" hidden="false" customHeight="false" outlineLevel="0" collapsed="false">
      <c r="K1400" s="4" t="n">
        <f aca="false">IF($J1400="Y","",IF($F1400="BW",$I1400,$H1400*$I1400))</f>
        <v>0</v>
      </c>
      <c r="L1400" s="4" t="str">
        <f aca="false">IF($D1400="","",$D1400&amp;"|"&amp;$H1400)</f>
        <v/>
      </c>
    </row>
    <row r="1401" customFormat="false" ht="15" hidden="false" customHeight="false" outlineLevel="0" collapsed="false">
      <c r="K1401" s="4" t="n">
        <f aca="false">IF($J1401="Y","",IF($F1401="BW",$I1401,$H1401*$I1401))</f>
        <v>0</v>
      </c>
      <c r="L1401" s="4" t="str">
        <f aca="false">IF($D1401="","",$D1401&amp;"|"&amp;$H1401)</f>
        <v/>
      </c>
    </row>
    <row r="1402" customFormat="false" ht="15" hidden="false" customHeight="false" outlineLevel="0" collapsed="false">
      <c r="K1402" s="4" t="n">
        <f aca="false">IF($J1402="Y","",IF($F1402="BW",$I1402,$H1402*$I1402))</f>
        <v>0</v>
      </c>
      <c r="L1402" s="4" t="str">
        <f aca="false">IF($D1402="","",$D1402&amp;"|"&amp;$H1402)</f>
        <v/>
      </c>
    </row>
    <row r="1403" customFormat="false" ht="15" hidden="false" customHeight="false" outlineLevel="0" collapsed="false">
      <c r="K1403" s="4" t="n">
        <f aca="false">IF($J1403="Y","",IF($F1403="BW",$I1403,$H1403*$I1403))</f>
        <v>0</v>
      </c>
      <c r="L1403" s="4" t="str">
        <f aca="false">IF($D1403="","",$D1403&amp;"|"&amp;$H1403)</f>
        <v/>
      </c>
    </row>
    <row r="1404" customFormat="false" ht="15" hidden="false" customHeight="false" outlineLevel="0" collapsed="false">
      <c r="K1404" s="4" t="n">
        <f aca="false">IF($J1404="Y","",IF($F1404="BW",$I1404,$H1404*$I1404))</f>
        <v>0</v>
      </c>
      <c r="L1404" s="4" t="str">
        <f aca="false">IF($D1404="","",$D1404&amp;"|"&amp;$H1404)</f>
        <v/>
      </c>
    </row>
    <row r="1405" customFormat="false" ht="15" hidden="false" customHeight="false" outlineLevel="0" collapsed="false">
      <c r="K1405" s="4" t="n">
        <f aca="false">IF($J1405="Y","",IF($F1405="BW",$I1405,$H1405*$I1405))</f>
        <v>0</v>
      </c>
      <c r="L1405" s="4" t="str">
        <f aca="false">IF($D1405="","",$D1405&amp;"|"&amp;$H1405)</f>
        <v/>
      </c>
    </row>
    <row r="1406" customFormat="false" ht="15" hidden="false" customHeight="false" outlineLevel="0" collapsed="false">
      <c r="K1406" s="4" t="n">
        <f aca="false">IF($J1406="Y","",IF($F1406="BW",$I1406,$H1406*$I1406))</f>
        <v>0</v>
      </c>
      <c r="L1406" s="4" t="str">
        <f aca="false">IF($D1406="","",$D1406&amp;"|"&amp;$H1406)</f>
        <v/>
      </c>
    </row>
    <row r="1407" customFormat="false" ht="15" hidden="false" customHeight="false" outlineLevel="0" collapsed="false">
      <c r="K1407" s="4" t="n">
        <f aca="false">IF($J1407="Y","",IF($F1407="BW",$I1407,$H1407*$I1407))</f>
        <v>0</v>
      </c>
      <c r="L1407" s="4" t="str">
        <f aca="false">IF($D1407="","",$D1407&amp;"|"&amp;$H1407)</f>
        <v/>
      </c>
    </row>
    <row r="1408" customFormat="false" ht="15" hidden="false" customHeight="false" outlineLevel="0" collapsed="false">
      <c r="K1408" s="4" t="n">
        <f aca="false">IF($J1408="Y","",IF($F1408="BW",$I1408,$H1408*$I1408))</f>
        <v>0</v>
      </c>
      <c r="L1408" s="4" t="str">
        <f aca="false">IF($D1408="","",$D1408&amp;"|"&amp;$H1408)</f>
        <v/>
      </c>
    </row>
    <row r="1409" customFormat="false" ht="15" hidden="false" customHeight="false" outlineLevel="0" collapsed="false">
      <c r="K1409" s="4" t="n">
        <f aca="false">IF($J1409="Y","",IF($F1409="BW",$I1409,$H1409*$I1409))</f>
        <v>0</v>
      </c>
      <c r="L1409" s="4" t="str">
        <f aca="false">IF($D1409="","",$D1409&amp;"|"&amp;$H1409)</f>
        <v/>
      </c>
    </row>
    <row r="1410" customFormat="false" ht="15" hidden="false" customHeight="false" outlineLevel="0" collapsed="false">
      <c r="K1410" s="4" t="n">
        <f aca="false">IF($J1410="Y","",IF($F1410="BW",$I1410,$H1410*$I1410))</f>
        <v>0</v>
      </c>
      <c r="L1410" s="4" t="str">
        <f aca="false">IF($D1410="","",$D1410&amp;"|"&amp;$H1410)</f>
        <v/>
      </c>
    </row>
    <row r="1411" customFormat="false" ht="15" hidden="false" customHeight="false" outlineLevel="0" collapsed="false">
      <c r="K1411" s="4" t="n">
        <f aca="false">IF($J1411="Y","",IF($F1411="BW",$I1411,$H1411*$I1411))</f>
        <v>0</v>
      </c>
      <c r="L1411" s="4" t="str">
        <f aca="false">IF($D1411="","",$D1411&amp;"|"&amp;$H1411)</f>
        <v/>
      </c>
    </row>
    <row r="1412" customFormat="false" ht="15" hidden="false" customHeight="false" outlineLevel="0" collapsed="false">
      <c r="K1412" s="4" t="n">
        <f aca="false">IF($J1412="Y","",IF($F1412="BW",$I1412,$H1412*$I1412))</f>
        <v>0</v>
      </c>
      <c r="L1412" s="4" t="str">
        <f aca="false">IF($D1412="","",$D1412&amp;"|"&amp;$H1412)</f>
        <v/>
      </c>
    </row>
    <row r="1413" customFormat="false" ht="15" hidden="false" customHeight="false" outlineLevel="0" collapsed="false">
      <c r="K1413" s="4" t="n">
        <f aca="false">IF($J1413="Y","",IF($F1413="BW",$I1413,$H1413*$I1413))</f>
        <v>0</v>
      </c>
      <c r="L1413" s="4" t="str">
        <f aca="false">IF($D1413="","",$D1413&amp;"|"&amp;$H1413)</f>
        <v/>
      </c>
    </row>
    <row r="1414" customFormat="false" ht="15" hidden="false" customHeight="false" outlineLevel="0" collapsed="false">
      <c r="K1414" s="4" t="n">
        <f aca="false">IF($J1414="Y","",IF($F1414="BW",$I1414,$H1414*$I1414))</f>
        <v>0</v>
      </c>
      <c r="L1414" s="4" t="str">
        <f aca="false">IF($D1414="","",$D1414&amp;"|"&amp;$H1414)</f>
        <v/>
      </c>
    </row>
    <row r="1415" customFormat="false" ht="15" hidden="false" customHeight="false" outlineLevel="0" collapsed="false">
      <c r="K1415" s="4" t="n">
        <f aca="false">IF($J1415="Y","",IF($F1415="BW",$I1415,$H1415*$I1415))</f>
        <v>0</v>
      </c>
      <c r="L1415" s="4" t="str">
        <f aca="false">IF($D1415="","",$D1415&amp;"|"&amp;$H1415)</f>
        <v/>
      </c>
    </row>
    <row r="1416" customFormat="false" ht="15" hidden="false" customHeight="false" outlineLevel="0" collapsed="false">
      <c r="K1416" s="4" t="n">
        <f aca="false">IF($J1416="Y","",IF($F1416="BW",$I1416,$H1416*$I1416))</f>
        <v>0</v>
      </c>
      <c r="L1416" s="4" t="str">
        <f aca="false">IF($D1416="","",$D1416&amp;"|"&amp;$H1416)</f>
        <v/>
      </c>
    </row>
    <row r="1417" customFormat="false" ht="15" hidden="false" customHeight="false" outlineLevel="0" collapsed="false">
      <c r="K1417" s="4" t="n">
        <f aca="false">IF($J1417="Y","",IF($F1417="BW",$I1417,$H1417*$I1417))</f>
        <v>0</v>
      </c>
      <c r="L1417" s="4" t="str">
        <f aca="false">IF($D1417="","",$D1417&amp;"|"&amp;$H1417)</f>
        <v/>
      </c>
    </row>
    <row r="1418" customFormat="false" ht="15" hidden="false" customHeight="false" outlineLevel="0" collapsed="false">
      <c r="K1418" s="4" t="n">
        <f aca="false">IF($J1418="Y","",IF($F1418="BW",$I1418,$H1418*$I1418))</f>
        <v>0</v>
      </c>
      <c r="L1418" s="4" t="str">
        <f aca="false">IF($D1418="","",$D1418&amp;"|"&amp;$H1418)</f>
        <v/>
      </c>
    </row>
    <row r="1419" customFormat="false" ht="15" hidden="false" customHeight="false" outlineLevel="0" collapsed="false">
      <c r="K1419" s="4" t="n">
        <f aca="false">IF($J1419="Y","",IF($F1419="BW",$I1419,$H1419*$I1419))</f>
        <v>0</v>
      </c>
      <c r="L1419" s="4" t="str">
        <f aca="false">IF($D1419="","",$D1419&amp;"|"&amp;$H1419)</f>
        <v/>
      </c>
    </row>
    <row r="1420" customFormat="false" ht="15" hidden="false" customHeight="false" outlineLevel="0" collapsed="false">
      <c r="K1420" s="4" t="n">
        <f aca="false">IF($J1420="Y","",IF($F1420="BW",$I1420,$H1420*$I1420))</f>
        <v>0</v>
      </c>
      <c r="L1420" s="4" t="str">
        <f aca="false">IF($D1420="","",$D1420&amp;"|"&amp;$H1420)</f>
        <v/>
      </c>
    </row>
    <row r="1421" customFormat="false" ht="15" hidden="false" customHeight="false" outlineLevel="0" collapsed="false">
      <c r="K1421" s="4" t="n">
        <f aca="false">IF($J1421="Y","",IF($F1421="BW",$I1421,$H1421*$I1421))</f>
        <v>0</v>
      </c>
      <c r="L1421" s="4" t="str">
        <f aca="false">IF($D1421="","",$D1421&amp;"|"&amp;$H1421)</f>
        <v/>
      </c>
    </row>
    <row r="1422" customFormat="false" ht="15" hidden="false" customHeight="false" outlineLevel="0" collapsed="false">
      <c r="K1422" s="4" t="n">
        <f aca="false">IF($J1422="Y","",IF($F1422="BW",$I1422,$H1422*$I1422))</f>
        <v>0</v>
      </c>
      <c r="L1422" s="4" t="str">
        <f aca="false">IF($D1422="","",$D1422&amp;"|"&amp;$H1422)</f>
        <v/>
      </c>
    </row>
    <row r="1423" customFormat="false" ht="15" hidden="false" customHeight="false" outlineLevel="0" collapsed="false">
      <c r="K1423" s="4" t="n">
        <f aca="false">IF($J1423="Y","",IF($F1423="BW",$I1423,$H1423*$I1423))</f>
        <v>0</v>
      </c>
      <c r="L1423" s="4" t="str">
        <f aca="false">IF($D1423="","",$D1423&amp;"|"&amp;$H1423)</f>
        <v/>
      </c>
    </row>
    <row r="1424" customFormat="false" ht="15" hidden="false" customHeight="false" outlineLevel="0" collapsed="false">
      <c r="K1424" s="4" t="n">
        <f aca="false">IF($J1424="Y","",IF($F1424="BW",$I1424,$H1424*$I1424))</f>
        <v>0</v>
      </c>
      <c r="L1424" s="4" t="str">
        <f aca="false">IF($D1424="","",$D1424&amp;"|"&amp;$H1424)</f>
        <v/>
      </c>
    </row>
    <row r="1425" customFormat="false" ht="15" hidden="false" customHeight="false" outlineLevel="0" collapsed="false">
      <c r="K1425" s="4" t="n">
        <f aca="false">IF($J1425="Y","",IF($F1425="BW",$I1425,$H1425*$I1425))</f>
        <v>0</v>
      </c>
      <c r="L1425" s="4" t="str">
        <f aca="false">IF($D1425="","",$D1425&amp;"|"&amp;$H1425)</f>
        <v/>
      </c>
    </row>
    <row r="1426" customFormat="false" ht="15" hidden="false" customHeight="false" outlineLevel="0" collapsed="false">
      <c r="K1426" s="4" t="n">
        <f aca="false">IF($J1426="Y","",IF($F1426="BW",$I1426,$H1426*$I1426))</f>
        <v>0</v>
      </c>
      <c r="L1426" s="4" t="str">
        <f aca="false">IF($D1426="","",$D1426&amp;"|"&amp;$H1426)</f>
        <v/>
      </c>
    </row>
    <row r="1427" customFormat="false" ht="15" hidden="false" customHeight="false" outlineLevel="0" collapsed="false">
      <c r="K1427" s="4" t="n">
        <f aca="false">IF($J1427="Y","",IF($F1427="BW",$I1427,$H1427*$I1427))</f>
        <v>0</v>
      </c>
      <c r="L1427" s="4" t="str">
        <f aca="false">IF($D1427="","",$D1427&amp;"|"&amp;$H1427)</f>
        <v/>
      </c>
    </row>
    <row r="1428" customFormat="false" ht="15" hidden="false" customHeight="false" outlineLevel="0" collapsed="false">
      <c r="K1428" s="4" t="n">
        <f aca="false">IF($J1428="Y","",IF($F1428="BW",$I1428,$H1428*$I1428))</f>
        <v>0</v>
      </c>
      <c r="L1428" s="4" t="str">
        <f aca="false">IF($D1428="","",$D1428&amp;"|"&amp;$H1428)</f>
        <v/>
      </c>
    </row>
    <row r="1429" customFormat="false" ht="15" hidden="false" customHeight="false" outlineLevel="0" collapsed="false">
      <c r="K1429" s="4" t="n">
        <f aca="false">IF($J1429="Y","",IF($F1429="BW",$I1429,$H1429*$I1429))</f>
        <v>0</v>
      </c>
      <c r="L1429" s="4" t="str">
        <f aca="false">IF($D1429="","",$D1429&amp;"|"&amp;$H1429)</f>
        <v/>
      </c>
    </row>
    <row r="1430" customFormat="false" ht="15" hidden="false" customHeight="false" outlineLevel="0" collapsed="false">
      <c r="K1430" s="4" t="n">
        <f aca="false">IF($J1430="Y","",IF($F1430="BW",$I1430,$H1430*$I1430))</f>
        <v>0</v>
      </c>
      <c r="L1430" s="4" t="str">
        <f aca="false">IF($D1430="","",$D1430&amp;"|"&amp;$H1430)</f>
        <v/>
      </c>
    </row>
    <row r="1431" customFormat="false" ht="15" hidden="false" customHeight="false" outlineLevel="0" collapsed="false">
      <c r="K1431" s="4" t="n">
        <f aca="false">IF($J1431="Y","",IF($F1431="BW",$I1431,$H1431*$I1431))</f>
        <v>0</v>
      </c>
      <c r="L1431" s="4" t="str">
        <f aca="false">IF($D1431="","",$D1431&amp;"|"&amp;$H1431)</f>
        <v/>
      </c>
    </row>
    <row r="1432" customFormat="false" ht="15" hidden="false" customHeight="false" outlineLevel="0" collapsed="false">
      <c r="K1432" s="4" t="n">
        <f aca="false">IF($J1432="Y","",IF($F1432="BW",$I1432,$H1432*$I1432))</f>
        <v>0</v>
      </c>
      <c r="L1432" s="4" t="str">
        <f aca="false">IF($D1432="","",$D1432&amp;"|"&amp;$H1432)</f>
        <v/>
      </c>
    </row>
    <row r="1433" customFormat="false" ht="15" hidden="false" customHeight="false" outlineLevel="0" collapsed="false">
      <c r="K1433" s="4" t="n">
        <f aca="false">IF($J1433="Y","",IF($F1433="BW",$I1433,$H1433*$I1433))</f>
        <v>0</v>
      </c>
      <c r="L1433" s="4" t="str">
        <f aca="false">IF($D1433="","",$D1433&amp;"|"&amp;$H1433)</f>
        <v/>
      </c>
    </row>
    <row r="1434" customFormat="false" ht="15" hidden="false" customHeight="false" outlineLevel="0" collapsed="false">
      <c r="K1434" s="4" t="n">
        <f aca="false">IF($J1434="Y","",IF($F1434="BW",$I1434,$H1434*$I1434))</f>
        <v>0</v>
      </c>
      <c r="L1434" s="4" t="str">
        <f aca="false">IF($D1434="","",$D1434&amp;"|"&amp;$H1434)</f>
        <v/>
      </c>
    </row>
    <row r="1435" customFormat="false" ht="15" hidden="false" customHeight="false" outlineLevel="0" collapsed="false">
      <c r="K1435" s="4" t="n">
        <f aca="false">IF($J1435="Y","",IF($F1435="BW",$I1435,$H1435*$I1435))</f>
        <v>0</v>
      </c>
      <c r="L1435" s="4" t="str">
        <f aca="false">IF($D1435="","",$D1435&amp;"|"&amp;$H1435)</f>
        <v/>
      </c>
    </row>
    <row r="1436" customFormat="false" ht="15" hidden="false" customHeight="false" outlineLevel="0" collapsed="false">
      <c r="K1436" s="4" t="n">
        <f aca="false">IF($J1436="Y","",IF($F1436="BW",$I1436,$H1436*$I1436))</f>
        <v>0</v>
      </c>
      <c r="L1436" s="4" t="str">
        <f aca="false">IF($D1436="","",$D1436&amp;"|"&amp;$H1436)</f>
        <v/>
      </c>
    </row>
    <row r="1437" customFormat="false" ht="15" hidden="false" customHeight="false" outlineLevel="0" collapsed="false">
      <c r="K1437" s="4" t="n">
        <f aca="false">IF($J1437="Y","",IF($F1437="BW",$I1437,$H1437*$I1437))</f>
        <v>0</v>
      </c>
      <c r="L1437" s="4" t="str">
        <f aca="false">IF($D1437="","",$D1437&amp;"|"&amp;$H1437)</f>
        <v/>
      </c>
    </row>
    <row r="1438" customFormat="false" ht="15" hidden="false" customHeight="false" outlineLevel="0" collapsed="false">
      <c r="K1438" s="4" t="n">
        <f aca="false">IF($J1438="Y","",IF($F1438="BW",$I1438,$H1438*$I1438))</f>
        <v>0</v>
      </c>
      <c r="L1438" s="4" t="str">
        <f aca="false">IF($D1438="","",$D1438&amp;"|"&amp;$H1438)</f>
        <v/>
      </c>
    </row>
    <row r="1439" customFormat="false" ht="15" hidden="false" customHeight="false" outlineLevel="0" collapsed="false">
      <c r="K1439" s="4" t="n">
        <f aca="false">IF($J1439="Y","",IF($F1439="BW",$I1439,$H1439*$I1439))</f>
        <v>0</v>
      </c>
      <c r="L1439" s="4" t="str">
        <f aca="false">IF($D1439="","",$D1439&amp;"|"&amp;$H1439)</f>
        <v/>
      </c>
    </row>
    <row r="1440" customFormat="false" ht="15" hidden="false" customHeight="false" outlineLevel="0" collapsed="false">
      <c r="K1440" s="4" t="n">
        <f aca="false">IF($J1440="Y","",IF($F1440="BW",$I1440,$H1440*$I1440))</f>
        <v>0</v>
      </c>
      <c r="L1440" s="4" t="str">
        <f aca="false">IF($D1440="","",$D1440&amp;"|"&amp;$H1440)</f>
        <v/>
      </c>
    </row>
    <row r="1441" customFormat="false" ht="15" hidden="false" customHeight="false" outlineLevel="0" collapsed="false">
      <c r="K1441" s="4" t="n">
        <f aca="false">IF($J1441="Y","",IF($F1441="BW",$I1441,$H1441*$I1441))</f>
        <v>0</v>
      </c>
      <c r="L1441" s="4" t="str">
        <f aca="false">IF($D1441="","",$D1441&amp;"|"&amp;$H1441)</f>
        <v/>
      </c>
    </row>
    <row r="1442" customFormat="false" ht="15" hidden="false" customHeight="false" outlineLevel="0" collapsed="false">
      <c r="K1442" s="4" t="n">
        <f aca="false">IF($J1442="Y","",IF($F1442="BW",$I1442,$H1442*$I1442))</f>
        <v>0</v>
      </c>
      <c r="L1442" s="4" t="str">
        <f aca="false">IF($D1442="","",$D1442&amp;"|"&amp;$H1442)</f>
        <v/>
      </c>
    </row>
    <row r="1443" customFormat="false" ht="15" hidden="false" customHeight="false" outlineLevel="0" collapsed="false">
      <c r="K1443" s="4" t="n">
        <f aca="false">IF($J1443="Y","",IF($F1443="BW",$I1443,$H1443*$I1443))</f>
        <v>0</v>
      </c>
      <c r="L1443" s="4" t="str">
        <f aca="false">IF($D1443="","",$D1443&amp;"|"&amp;$H1443)</f>
        <v/>
      </c>
    </row>
    <row r="1444" customFormat="false" ht="15" hidden="false" customHeight="false" outlineLevel="0" collapsed="false">
      <c r="K1444" s="4" t="n">
        <f aca="false">IF($J1444="Y","",IF($F1444="BW",$I1444,$H1444*$I1444))</f>
        <v>0</v>
      </c>
      <c r="L1444" s="4" t="str">
        <f aca="false">IF($D1444="","",$D1444&amp;"|"&amp;$H1444)</f>
        <v/>
      </c>
    </row>
    <row r="1445" customFormat="false" ht="15" hidden="false" customHeight="false" outlineLevel="0" collapsed="false">
      <c r="K1445" s="4" t="n">
        <f aca="false">IF($J1445="Y","",IF($F1445="BW",$I1445,$H1445*$I1445))</f>
        <v>0</v>
      </c>
      <c r="L1445" s="4" t="str">
        <f aca="false">IF($D1445="","",$D1445&amp;"|"&amp;$H1445)</f>
        <v/>
      </c>
    </row>
    <row r="1446" customFormat="false" ht="15" hidden="false" customHeight="false" outlineLevel="0" collapsed="false">
      <c r="K1446" s="4" t="n">
        <f aca="false">IF($J1446="Y","",IF($F1446="BW",$I1446,$H1446*$I1446))</f>
        <v>0</v>
      </c>
      <c r="L1446" s="4" t="str">
        <f aca="false">IF($D1446="","",$D1446&amp;"|"&amp;$H1446)</f>
        <v/>
      </c>
    </row>
    <row r="1447" customFormat="false" ht="15" hidden="false" customHeight="false" outlineLevel="0" collapsed="false">
      <c r="K1447" s="4" t="n">
        <f aca="false">IF($J1447="Y","",IF($F1447="BW",$I1447,$H1447*$I1447))</f>
        <v>0</v>
      </c>
      <c r="L1447" s="4" t="str">
        <f aca="false">IF($D1447="","",$D1447&amp;"|"&amp;$H1447)</f>
        <v/>
      </c>
    </row>
    <row r="1448" customFormat="false" ht="15" hidden="false" customHeight="false" outlineLevel="0" collapsed="false">
      <c r="K1448" s="4" t="n">
        <f aca="false">IF($J1448="Y","",IF($F1448="BW",$I1448,$H1448*$I1448))</f>
        <v>0</v>
      </c>
      <c r="L1448" s="4" t="str">
        <f aca="false">IF($D1448="","",$D1448&amp;"|"&amp;$H1448)</f>
        <v/>
      </c>
    </row>
    <row r="1449" customFormat="false" ht="15" hidden="false" customHeight="false" outlineLevel="0" collapsed="false">
      <c r="K1449" s="4" t="n">
        <f aca="false">IF($J1449="Y","",IF($F1449="BW",$I1449,$H1449*$I1449))</f>
        <v>0</v>
      </c>
      <c r="L1449" s="4" t="str">
        <f aca="false">IF($D1449="","",$D1449&amp;"|"&amp;$H1449)</f>
        <v/>
      </c>
    </row>
    <row r="1450" customFormat="false" ht="15" hidden="false" customHeight="false" outlineLevel="0" collapsed="false">
      <c r="K1450" s="4" t="n">
        <f aca="false">IF($J1450="Y","",IF($F1450="BW",$I1450,$H1450*$I1450))</f>
        <v>0</v>
      </c>
      <c r="L1450" s="4" t="str">
        <f aca="false">IF($D1450="","",$D1450&amp;"|"&amp;$H1450)</f>
        <v/>
      </c>
    </row>
    <row r="1451" customFormat="false" ht="15" hidden="false" customHeight="false" outlineLevel="0" collapsed="false">
      <c r="K1451" s="4" t="n">
        <f aca="false">IF($J1451="Y","",IF($F1451="BW",$I1451,$H1451*$I1451))</f>
        <v>0</v>
      </c>
      <c r="L1451" s="4" t="str">
        <f aca="false">IF($D1451="","",$D1451&amp;"|"&amp;$H1451)</f>
        <v/>
      </c>
    </row>
    <row r="1452" customFormat="false" ht="15" hidden="false" customHeight="false" outlineLevel="0" collapsed="false">
      <c r="K1452" s="4" t="n">
        <f aca="false">IF($J1452="Y","",IF($F1452="BW",$I1452,$H1452*$I1452))</f>
        <v>0</v>
      </c>
      <c r="L1452" s="4" t="str">
        <f aca="false">IF($D1452="","",$D1452&amp;"|"&amp;$H1452)</f>
        <v/>
      </c>
    </row>
    <row r="1453" customFormat="false" ht="15" hidden="false" customHeight="false" outlineLevel="0" collapsed="false">
      <c r="K1453" s="4" t="n">
        <f aca="false">IF($J1453="Y","",IF($F1453="BW",$I1453,$H1453*$I1453))</f>
        <v>0</v>
      </c>
      <c r="L1453" s="4" t="str">
        <f aca="false">IF($D1453="","",$D1453&amp;"|"&amp;$H1453)</f>
        <v/>
      </c>
    </row>
    <row r="1454" customFormat="false" ht="15" hidden="false" customHeight="false" outlineLevel="0" collapsed="false">
      <c r="K1454" s="4" t="n">
        <f aca="false">IF($J1454="Y","",IF($F1454="BW",$I1454,$H1454*$I1454))</f>
        <v>0</v>
      </c>
      <c r="L1454" s="4" t="str">
        <f aca="false">IF($D1454="","",$D1454&amp;"|"&amp;$H1454)</f>
        <v/>
      </c>
    </row>
    <row r="1455" customFormat="false" ht="15" hidden="false" customHeight="false" outlineLevel="0" collapsed="false">
      <c r="K1455" s="4" t="n">
        <f aca="false">IF($J1455="Y","",IF($F1455="BW",$I1455,$H1455*$I1455))</f>
        <v>0</v>
      </c>
      <c r="L1455" s="4" t="str">
        <f aca="false">IF($D1455="","",$D1455&amp;"|"&amp;$H1455)</f>
        <v/>
      </c>
    </row>
    <row r="1456" customFormat="false" ht="15" hidden="false" customHeight="false" outlineLevel="0" collapsed="false">
      <c r="K1456" s="4" t="n">
        <f aca="false">IF($J1456="Y","",IF($F1456="BW",$I1456,$H1456*$I1456))</f>
        <v>0</v>
      </c>
      <c r="L1456" s="4" t="str">
        <f aca="false">IF($D1456="","",$D1456&amp;"|"&amp;$H1456)</f>
        <v/>
      </c>
    </row>
    <row r="1457" customFormat="false" ht="15" hidden="false" customHeight="false" outlineLevel="0" collapsed="false">
      <c r="K1457" s="4" t="n">
        <f aca="false">IF($J1457="Y","",IF($F1457="BW",$I1457,$H1457*$I1457))</f>
        <v>0</v>
      </c>
      <c r="L1457" s="4" t="str">
        <f aca="false">IF($D1457="","",$D1457&amp;"|"&amp;$H1457)</f>
        <v/>
      </c>
    </row>
    <row r="1458" customFormat="false" ht="15" hidden="false" customHeight="false" outlineLevel="0" collapsed="false">
      <c r="K1458" s="4" t="n">
        <f aca="false">IF($J1458="Y","",IF($F1458="BW",$I1458,$H1458*$I1458))</f>
        <v>0</v>
      </c>
      <c r="L1458" s="4" t="str">
        <f aca="false">IF($D1458="","",$D1458&amp;"|"&amp;$H1458)</f>
        <v/>
      </c>
    </row>
    <row r="1459" customFormat="false" ht="15" hidden="false" customHeight="false" outlineLevel="0" collapsed="false">
      <c r="K1459" s="4" t="n">
        <f aca="false">IF($J1459="Y","",IF($F1459="BW",$I1459,$H1459*$I1459))</f>
        <v>0</v>
      </c>
      <c r="L1459" s="4" t="str">
        <f aca="false">IF($D1459="","",$D1459&amp;"|"&amp;$H1459)</f>
        <v/>
      </c>
    </row>
    <row r="1460" customFormat="false" ht="15" hidden="false" customHeight="false" outlineLevel="0" collapsed="false">
      <c r="K1460" s="4" t="n">
        <f aca="false">IF($J1460="Y","",IF($F1460="BW",$I1460,$H1460*$I1460))</f>
        <v>0</v>
      </c>
      <c r="L1460" s="4" t="str">
        <f aca="false">IF($D1460="","",$D1460&amp;"|"&amp;$H1460)</f>
        <v/>
      </c>
    </row>
    <row r="1461" customFormat="false" ht="15" hidden="false" customHeight="false" outlineLevel="0" collapsed="false">
      <c r="K1461" s="4" t="n">
        <f aca="false">IF($J1461="Y","",IF($F1461="BW",$I1461,$H1461*$I1461))</f>
        <v>0</v>
      </c>
      <c r="L1461" s="4" t="str">
        <f aca="false">IF($D1461="","",$D1461&amp;"|"&amp;$H1461)</f>
        <v/>
      </c>
    </row>
    <row r="1462" customFormat="false" ht="15" hidden="false" customHeight="false" outlineLevel="0" collapsed="false">
      <c r="K1462" s="4" t="n">
        <f aca="false">IF($J1462="Y","",IF($F1462="BW",$I1462,$H1462*$I1462))</f>
        <v>0</v>
      </c>
      <c r="L1462" s="4" t="str">
        <f aca="false">IF($D1462="","",$D1462&amp;"|"&amp;$H1462)</f>
        <v/>
      </c>
    </row>
    <row r="1463" customFormat="false" ht="15" hidden="false" customHeight="false" outlineLevel="0" collapsed="false">
      <c r="K1463" s="4" t="n">
        <f aca="false">IF($J1463="Y","",IF($F1463="BW",$I1463,$H1463*$I1463))</f>
        <v>0</v>
      </c>
      <c r="L1463" s="4" t="str">
        <f aca="false">IF($D1463="","",$D1463&amp;"|"&amp;$H1463)</f>
        <v/>
      </c>
    </row>
    <row r="1464" customFormat="false" ht="15" hidden="false" customHeight="false" outlineLevel="0" collapsed="false">
      <c r="K1464" s="4" t="n">
        <f aca="false">IF($J1464="Y","",IF($F1464="BW",$I1464,$H1464*$I1464))</f>
        <v>0</v>
      </c>
      <c r="L1464" s="4" t="str">
        <f aca="false">IF($D1464="","",$D1464&amp;"|"&amp;$H1464)</f>
        <v/>
      </c>
    </row>
    <row r="1465" customFormat="false" ht="15" hidden="false" customHeight="false" outlineLevel="0" collapsed="false">
      <c r="K1465" s="4" t="n">
        <f aca="false">IF($J1465="Y","",IF($F1465="BW",$I1465,$H1465*$I1465))</f>
        <v>0</v>
      </c>
      <c r="L1465" s="4" t="str">
        <f aca="false">IF($D1465="","",$D1465&amp;"|"&amp;$H1465)</f>
        <v/>
      </c>
    </row>
    <row r="1466" customFormat="false" ht="15" hidden="false" customHeight="false" outlineLevel="0" collapsed="false">
      <c r="K1466" s="4" t="n">
        <f aca="false">IF($J1466="Y","",IF($F1466="BW",$I1466,$H1466*$I1466))</f>
        <v>0</v>
      </c>
      <c r="L1466" s="4" t="str">
        <f aca="false">IF($D1466="","",$D1466&amp;"|"&amp;$H1466)</f>
        <v/>
      </c>
    </row>
    <row r="1467" customFormat="false" ht="15" hidden="false" customHeight="false" outlineLevel="0" collapsed="false">
      <c r="K1467" s="4" t="n">
        <f aca="false">IF($J1467="Y","",IF($F1467="BW",$I1467,$H1467*$I1467))</f>
        <v>0</v>
      </c>
      <c r="L1467" s="4" t="str">
        <f aca="false">IF($D1467="","",$D1467&amp;"|"&amp;$H1467)</f>
        <v/>
      </c>
    </row>
    <row r="1468" customFormat="false" ht="15" hidden="false" customHeight="false" outlineLevel="0" collapsed="false">
      <c r="K1468" s="4" t="n">
        <f aca="false">IF($J1468="Y","",IF($F1468="BW",$I1468,$H1468*$I1468))</f>
        <v>0</v>
      </c>
      <c r="L1468" s="4" t="str">
        <f aca="false">IF($D1468="","",$D1468&amp;"|"&amp;$H1468)</f>
        <v/>
      </c>
    </row>
    <row r="1469" customFormat="false" ht="15" hidden="false" customHeight="false" outlineLevel="0" collapsed="false">
      <c r="K1469" s="4" t="n">
        <f aca="false">IF($J1469="Y","",IF($F1469="BW",$I1469,$H1469*$I1469))</f>
        <v>0</v>
      </c>
      <c r="L1469" s="4" t="str">
        <f aca="false">IF($D1469="","",$D1469&amp;"|"&amp;$H1469)</f>
        <v/>
      </c>
    </row>
    <row r="1470" customFormat="false" ht="15" hidden="false" customHeight="false" outlineLevel="0" collapsed="false">
      <c r="K1470" s="4" t="n">
        <f aca="false">IF($J1470="Y","",IF($F1470="BW",$I1470,$H1470*$I1470))</f>
        <v>0</v>
      </c>
      <c r="L1470" s="4" t="str">
        <f aca="false">IF($D1470="","",$D1470&amp;"|"&amp;$H1470)</f>
        <v/>
      </c>
    </row>
    <row r="1471" customFormat="false" ht="15" hidden="false" customHeight="false" outlineLevel="0" collapsed="false">
      <c r="K1471" s="4" t="n">
        <f aca="false">IF($J1471="Y","",IF($F1471="BW",$I1471,$H1471*$I1471))</f>
        <v>0</v>
      </c>
      <c r="L1471" s="4" t="str">
        <f aca="false">IF($D1471="","",$D1471&amp;"|"&amp;$H1471)</f>
        <v/>
      </c>
    </row>
    <row r="1472" customFormat="false" ht="15" hidden="false" customHeight="false" outlineLevel="0" collapsed="false">
      <c r="K1472" s="4" t="n">
        <f aca="false">IF($J1472="Y","",IF($F1472="BW",$I1472,$H1472*$I1472))</f>
        <v>0</v>
      </c>
      <c r="L1472" s="4" t="str">
        <f aca="false">IF($D1472="","",$D1472&amp;"|"&amp;$H1472)</f>
        <v/>
      </c>
    </row>
    <row r="1473" customFormat="false" ht="15" hidden="false" customHeight="false" outlineLevel="0" collapsed="false">
      <c r="K1473" s="4" t="n">
        <f aca="false">IF($J1473="Y","",IF($F1473="BW",$I1473,$H1473*$I1473))</f>
        <v>0</v>
      </c>
      <c r="L1473" s="4" t="str">
        <f aca="false">IF($D1473="","",$D1473&amp;"|"&amp;$H1473)</f>
        <v/>
      </c>
    </row>
    <row r="1474" customFormat="false" ht="15" hidden="false" customHeight="false" outlineLevel="0" collapsed="false">
      <c r="K1474" s="4" t="n">
        <f aca="false">IF($J1474="Y","",IF($F1474="BW",$I1474,$H1474*$I1474))</f>
        <v>0</v>
      </c>
      <c r="L1474" s="4" t="str">
        <f aca="false">IF($D1474="","",$D1474&amp;"|"&amp;$H1474)</f>
        <v/>
      </c>
    </row>
    <row r="1475" customFormat="false" ht="15" hidden="false" customHeight="false" outlineLevel="0" collapsed="false">
      <c r="K1475" s="4" t="n">
        <f aca="false">IF($J1475="Y","",IF($F1475="BW",$I1475,$H1475*$I1475))</f>
        <v>0</v>
      </c>
      <c r="L1475" s="4" t="str">
        <f aca="false">IF($D1475="","",$D1475&amp;"|"&amp;$H1475)</f>
        <v/>
      </c>
    </row>
    <row r="1476" customFormat="false" ht="15" hidden="false" customHeight="false" outlineLevel="0" collapsed="false">
      <c r="K1476" s="4" t="n">
        <f aca="false">IF($J1476="Y","",IF($F1476="BW",$I1476,$H1476*$I1476))</f>
        <v>0</v>
      </c>
      <c r="L1476" s="4" t="str">
        <f aca="false">IF($D1476="","",$D1476&amp;"|"&amp;$H1476)</f>
        <v/>
      </c>
    </row>
    <row r="1477" customFormat="false" ht="15" hidden="false" customHeight="false" outlineLevel="0" collapsed="false">
      <c r="K1477" s="4" t="n">
        <f aca="false">IF($J1477="Y","",IF($F1477="BW",$I1477,$H1477*$I1477))</f>
        <v>0</v>
      </c>
      <c r="L1477" s="4" t="str">
        <f aca="false">IF($D1477="","",$D1477&amp;"|"&amp;$H1477)</f>
        <v/>
      </c>
    </row>
    <row r="1478" customFormat="false" ht="15" hidden="false" customHeight="false" outlineLevel="0" collapsed="false">
      <c r="K1478" s="4" t="n">
        <f aca="false">IF($J1478="Y","",IF($F1478="BW",$I1478,$H1478*$I1478))</f>
        <v>0</v>
      </c>
      <c r="L1478" s="4" t="str">
        <f aca="false">IF($D1478="","",$D1478&amp;"|"&amp;$H1478)</f>
        <v/>
      </c>
    </row>
    <row r="1479" customFormat="false" ht="15" hidden="false" customHeight="false" outlineLevel="0" collapsed="false">
      <c r="K1479" s="4" t="n">
        <f aca="false">IF($J1479="Y","",IF($F1479="BW",$I1479,$H1479*$I1479))</f>
        <v>0</v>
      </c>
      <c r="L1479" s="4" t="str">
        <f aca="false">IF($D1479="","",$D1479&amp;"|"&amp;$H1479)</f>
        <v/>
      </c>
    </row>
    <row r="1480" customFormat="false" ht="15" hidden="false" customHeight="false" outlineLevel="0" collapsed="false">
      <c r="K1480" s="4" t="n">
        <f aca="false">IF($J1480="Y","",IF($F1480="BW",$I1480,$H1480*$I1480))</f>
        <v>0</v>
      </c>
      <c r="L1480" s="4" t="str">
        <f aca="false">IF($D1480="","",$D1480&amp;"|"&amp;$H1480)</f>
        <v/>
      </c>
    </row>
    <row r="1481" customFormat="false" ht="15" hidden="false" customHeight="false" outlineLevel="0" collapsed="false">
      <c r="K1481" s="4" t="n">
        <f aca="false">IF($J1481="Y","",IF($F1481="BW",$I1481,$H1481*$I1481))</f>
        <v>0</v>
      </c>
      <c r="L1481" s="4" t="str">
        <f aca="false">IF($D1481="","",$D1481&amp;"|"&amp;$H1481)</f>
        <v/>
      </c>
    </row>
    <row r="1482" customFormat="false" ht="15" hidden="false" customHeight="false" outlineLevel="0" collapsed="false">
      <c r="K1482" s="4" t="n">
        <f aca="false">IF($J1482="Y","",IF($F1482="BW",$I1482,$H1482*$I1482))</f>
        <v>0</v>
      </c>
      <c r="L1482" s="4" t="str">
        <f aca="false">IF($D1482="","",$D1482&amp;"|"&amp;$H1482)</f>
        <v/>
      </c>
    </row>
    <row r="1483" customFormat="false" ht="15" hidden="false" customHeight="false" outlineLevel="0" collapsed="false">
      <c r="K1483" s="4" t="n">
        <f aca="false">IF($J1483="Y","",IF($F1483="BW",$I1483,$H1483*$I1483))</f>
        <v>0</v>
      </c>
      <c r="L1483" s="4" t="str">
        <f aca="false">IF($D1483="","",$D1483&amp;"|"&amp;$H1483)</f>
        <v/>
      </c>
    </row>
    <row r="1484" customFormat="false" ht="15" hidden="false" customHeight="false" outlineLevel="0" collapsed="false">
      <c r="K1484" s="4" t="n">
        <f aca="false">IF($J1484="Y","",IF($F1484="BW",$I1484,$H1484*$I1484))</f>
        <v>0</v>
      </c>
      <c r="L1484" s="4" t="str">
        <f aca="false">IF($D1484="","",$D1484&amp;"|"&amp;$H1484)</f>
        <v/>
      </c>
    </row>
    <row r="1485" customFormat="false" ht="15" hidden="false" customHeight="false" outlineLevel="0" collapsed="false">
      <c r="K1485" s="4" t="n">
        <f aca="false">IF($J1485="Y","",IF($F1485="BW",$I1485,$H1485*$I1485))</f>
        <v>0</v>
      </c>
      <c r="L1485" s="4" t="str">
        <f aca="false">IF($D1485="","",$D1485&amp;"|"&amp;$H1485)</f>
        <v/>
      </c>
    </row>
    <row r="1486" customFormat="false" ht="15" hidden="false" customHeight="false" outlineLevel="0" collapsed="false">
      <c r="K1486" s="4" t="n">
        <f aca="false">IF($J1486="Y","",IF($F1486="BW",$I1486,$H1486*$I1486))</f>
        <v>0</v>
      </c>
      <c r="L1486" s="4" t="str">
        <f aca="false">IF($D1486="","",$D1486&amp;"|"&amp;$H1486)</f>
        <v/>
      </c>
    </row>
    <row r="1487" customFormat="false" ht="15" hidden="false" customHeight="false" outlineLevel="0" collapsed="false">
      <c r="K1487" s="4" t="n">
        <f aca="false">IF($J1487="Y","",IF($F1487="BW",$I1487,$H1487*$I1487))</f>
        <v>0</v>
      </c>
      <c r="L1487" s="4" t="str">
        <f aca="false">IF($D1487="","",$D1487&amp;"|"&amp;$H1487)</f>
        <v/>
      </c>
    </row>
    <row r="1488" customFormat="false" ht="15" hidden="false" customHeight="false" outlineLevel="0" collapsed="false">
      <c r="K1488" s="4" t="n">
        <f aca="false">IF($J1488="Y","",IF($F1488="BW",$I1488,$H1488*$I1488))</f>
        <v>0</v>
      </c>
      <c r="L1488" s="4" t="str">
        <f aca="false">IF($D1488="","",$D1488&amp;"|"&amp;$H1488)</f>
        <v/>
      </c>
    </row>
    <row r="1489" customFormat="false" ht="15" hidden="false" customHeight="false" outlineLevel="0" collapsed="false">
      <c r="K1489" s="4" t="n">
        <f aca="false">IF($J1489="Y","",IF($F1489="BW",$I1489,$H1489*$I1489))</f>
        <v>0</v>
      </c>
      <c r="L1489" s="4" t="str">
        <f aca="false">IF($D1489="","",$D1489&amp;"|"&amp;$H1489)</f>
        <v/>
      </c>
    </row>
    <row r="1490" customFormat="false" ht="15" hidden="false" customHeight="false" outlineLevel="0" collapsed="false">
      <c r="K1490" s="4" t="n">
        <f aca="false">IF($J1490="Y","",IF($F1490="BW",$I1490,$H1490*$I1490))</f>
        <v>0</v>
      </c>
      <c r="L1490" s="4" t="str">
        <f aca="false">IF($D1490="","",$D1490&amp;"|"&amp;$H1490)</f>
        <v/>
      </c>
    </row>
    <row r="1491" customFormat="false" ht="15" hidden="false" customHeight="false" outlineLevel="0" collapsed="false">
      <c r="K1491" s="4" t="n">
        <f aca="false">IF($J1491="Y","",IF($F1491="BW",$I1491,$H1491*$I1491))</f>
        <v>0</v>
      </c>
      <c r="L1491" s="4" t="str">
        <f aca="false">IF($D1491="","",$D1491&amp;"|"&amp;$H1491)</f>
        <v/>
      </c>
    </row>
    <row r="1492" customFormat="false" ht="15" hidden="false" customHeight="false" outlineLevel="0" collapsed="false">
      <c r="K1492" s="4" t="n">
        <f aca="false">IF($J1492="Y","",IF($F1492="BW",$I1492,$H1492*$I1492))</f>
        <v>0</v>
      </c>
      <c r="L1492" s="4" t="str">
        <f aca="false">IF($D1492="","",$D1492&amp;"|"&amp;$H1492)</f>
        <v/>
      </c>
    </row>
    <row r="1493" customFormat="false" ht="15" hidden="false" customHeight="false" outlineLevel="0" collapsed="false">
      <c r="K1493" s="4" t="n">
        <f aca="false">IF($J1493="Y","",IF($F1493="BW",$I1493,$H1493*$I1493))</f>
        <v>0</v>
      </c>
      <c r="L1493" s="4" t="str">
        <f aca="false">IF($D1493="","",$D1493&amp;"|"&amp;$H1493)</f>
        <v/>
      </c>
    </row>
    <row r="1494" customFormat="false" ht="15" hidden="false" customHeight="false" outlineLevel="0" collapsed="false">
      <c r="K1494" s="4" t="n">
        <f aca="false">IF($J1494="Y","",IF($F1494="BW",$I1494,$H1494*$I1494))</f>
        <v>0</v>
      </c>
      <c r="L1494" s="4" t="str">
        <f aca="false">IF($D1494="","",$D1494&amp;"|"&amp;$H1494)</f>
        <v/>
      </c>
    </row>
    <row r="1495" customFormat="false" ht="15" hidden="false" customHeight="false" outlineLevel="0" collapsed="false">
      <c r="K1495" s="4" t="n">
        <f aca="false">IF($J1495="Y","",IF($F1495="BW",$I1495,$H1495*$I1495))</f>
        <v>0</v>
      </c>
      <c r="L1495" s="4" t="str">
        <f aca="false">IF($D1495="","",$D1495&amp;"|"&amp;$H1495)</f>
        <v/>
      </c>
    </row>
    <row r="1496" customFormat="false" ht="15" hidden="false" customHeight="false" outlineLevel="0" collapsed="false">
      <c r="K1496" s="4" t="n">
        <f aca="false">IF($J1496="Y","",IF($F1496="BW",$I1496,$H1496*$I1496))</f>
        <v>0</v>
      </c>
      <c r="L1496" s="4" t="str">
        <f aca="false">IF($D1496="","",$D1496&amp;"|"&amp;$H1496)</f>
        <v/>
      </c>
    </row>
    <row r="1497" customFormat="false" ht="15" hidden="false" customHeight="false" outlineLevel="0" collapsed="false">
      <c r="K1497" s="4" t="n">
        <f aca="false">IF($J1497="Y","",IF($F1497="BW",$I1497,$H1497*$I1497))</f>
        <v>0</v>
      </c>
      <c r="L1497" s="4" t="str">
        <f aca="false">IF($D1497="","",$D1497&amp;"|"&amp;$H1497)</f>
        <v/>
      </c>
    </row>
    <row r="1498" customFormat="false" ht="15" hidden="false" customHeight="false" outlineLevel="0" collapsed="false">
      <c r="K1498" s="4" t="n">
        <f aca="false">IF($J1498="Y","",IF($F1498="BW",$I1498,$H1498*$I1498))</f>
        <v>0</v>
      </c>
      <c r="L1498" s="4" t="str">
        <f aca="false">IF($D1498="","",$D1498&amp;"|"&amp;$H1498)</f>
        <v/>
      </c>
    </row>
    <row r="1499" customFormat="false" ht="15" hidden="false" customHeight="false" outlineLevel="0" collapsed="false">
      <c r="K1499" s="4" t="n">
        <f aca="false">IF($J1499="Y","",IF($F1499="BW",$I1499,$H1499*$I1499))</f>
        <v>0</v>
      </c>
      <c r="L1499" s="4" t="str">
        <f aca="false">IF($D1499="","",$D1499&amp;"|"&amp;$H1499)</f>
        <v/>
      </c>
    </row>
    <row r="1500" customFormat="false" ht="15" hidden="false" customHeight="false" outlineLevel="0" collapsed="false">
      <c r="K1500" s="4" t="n">
        <f aca="false">IF($J1500="Y","",IF($F1500="BW",$I1500,$H1500*$I1500))</f>
        <v>0</v>
      </c>
      <c r="L1500" s="4" t="str">
        <f aca="false">IF($D1500="","",$D1500&amp;"|"&amp;$H1500)</f>
        <v/>
      </c>
    </row>
    <row r="1501" customFormat="false" ht="15" hidden="false" customHeight="false" outlineLevel="0" collapsed="false">
      <c r="K1501" s="4" t="n">
        <f aca="false">IF($J1501="Y","",IF($F1501="BW",$I1501,$H1501*$I1501))</f>
        <v>0</v>
      </c>
      <c r="L1501" s="4" t="str">
        <f aca="false">IF($D1501="","",$D1501&amp;"|"&amp;$H1501)</f>
        <v/>
      </c>
    </row>
    <row r="1502" customFormat="false" ht="15" hidden="false" customHeight="false" outlineLevel="0" collapsed="false">
      <c r="K1502" s="4" t="n">
        <f aca="false">IF($J1502="Y","",IF($F1502="BW",$I1502,$H1502*$I1502))</f>
        <v>0</v>
      </c>
      <c r="L1502" s="4" t="str">
        <f aca="false">IF($D1502="","",$D1502&amp;"|"&amp;$H1502)</f>
        <v/>
      </c>
    </row>
    <row r="1503" customFormat="false" ht="15" hidden="false" customHeight="false" outlineLevel="0" collapsed="false">
      <c r="K1503" s="4" t="n">
        <f aca="false">IF($J1503="Y","",IF($F1503="BW",$I1503,$H1503*$I1503))</f>
        <v>0</v>
      </c>
      <c r="L1503" s="4" t="str">
        <f aca="false">IF($D1503="","",$D1503&amp;"|"&amp;$H1503)</f>
        <v/>
      </c>
    </row>
    <row r="1504" customFormat="false" ht="15" hidden="false" customHeight="false" outlineLevel="0" collapsed="false">
      <c r="K1504" s="4" t="n">
        <f aca="false">IF($J1504="Y","",IF($F1504="BW",$I1504,$H1504*$I1504))</f>
        <v>0</v>
      </c>
      <c r="L1504" s="4" t="str">
        <f aca="false">IF($D1504="","",$D1504&amp;"|"&amp;$H1504)</f>
        <v/>
      </c>
    </row>
    <row r="1505" customFormat="false" ht="15" hidden="false" customHeight="false" outlineLevel="0" collapsed="false">
      <c r="K1505" s="4" t="n">
        <f aca="false">IF($J1505="Y","",IF($F1505="BW",$I1505,$H1505*$I1505))</f>
        <v>0</v>
      </c>
      <c r="L1505" s="4" t="str">
        <f aca="false">IF($D1505="","",$D1505&amp;"|"&amp;$H1505)</f>
        <v/>
      </c>
    </row>
    <row r="1506" customFormat="false" ht="15" hidden="false" customHeight="false" outlineLevel="0" collapsed="false">
      <c r="K1506" s="4" t="n">
        <f aca="false">IF($J1506="Y","",IF($F1506="BW",$I1506,$H1506*$I1506))</f>
        <v>0</v>
      </c>
      <c r="L1506" s="4" t="str">
        <f aca="false">IF($D1506="","",$D1506&amp;"|"&amp;$H1506)</f>
        <v/>
      </c>
    </row>
    <row r="1507" customFormat="false" ht="15" hidden="false" customHeight="false" outlineLevel="0" collapsed="false">
      <c r="K1507" s="4" t="n">
        <f aca="false">IF($J1507="Y","",IF($F1507="BW",$I1507,$H1507*$I1507))</f>
        <v>0</v>
      </c>
      <c r="L1507" s="4" t="str">
        <f aca="false">IF($D1507="","",$D1507&amp;"|"&amp;$H1507)</f>
        <v/>
      </c>
    </row>
    <row r="1508" customFormat="false" ht="15" hidden="false" customHeight="false" outlineLevel="0" collapsed="false">
      <c r="K1508" s="4" t="n">
        <f aca="false">IF($J1508="Y","",IF($F1508="BW",$I1508,$H1508*$I1508))</f>
        <v>0</v>
      </c>
      <c r="L1508" s="4" t="str">
        <f aca="false">IF($D1508="","",$D1508&amp;"|"&amp;$H1508)</f>
        <v/>
      </c>
    </row>
    <row r="1509" customFormat="false" ht="15" hidden="false" customHeight="false" outlineLevel="0" collapsed="false">
      <c r="K1509" s="4" t="n">
        <f aca="false">IF($J1509="Y","",IF($F1509="BW",$I1509,$H1509*$I1509))</f>
        <v>0</v>
      </c>
      <c r="L1509" s="4" t="str">
        <f aca="false">IF($D1509="","",$D1509&amp;"|"&amp;$H1509)</f>
        <v/>
      </c>
    </row>
    <row r="1510" customFormat="false" ht="15" hidden="false" customHeight="false" outlineLevel="0" collapsed="false">
      <c r="K1510" s="4" t="n">
        <f aca="false">IF($J1510="Y","",IF($F1510="BW",$I1510,$H1510*$I1510))</f>
        <v>0</v>
      </c>
      <c r="L1510" s="4" t="str">
        <f aca="false">IF($D1510="","",$D1510&amp;"|"&amp;$H1510)</f>
        <v/>
      </c>
    </row>
    <row r="1511" customFormat="false" ht="15" hidden="false" customHeight="false" outlineLevel="0" collapsed="false">
      <c r="K1511" s="4" t="n">
        <f aca="false">IF($J1511="Y","",IF($F1511="BW",$I1511,$H1511*$I1511))</f>
        <v>0</v>
      </c>
      <c r="L1511" s="4" t="str">
        <f aca="false">IF($D1511="","",$D1511&amp;"|"&amp;$H1511)</f>
        <v/>
      </c>
    </row>
    <row r="1512" customFormat="false" ht="15" hidden="false" customHeight="false" outlineLevel="0" collapsed="false">
      <c r="K1512" s="4" t="n">
        <f aca="false">IF($J1512="Y","",IF($F1512="BW",$I1512,$H1512*$I1512))</f>
        <v>0</v>
      </c>
      <c r="L1512" s="4" t="str">
        <f aca="false">IF($D1512="","",$D1512&amp;"|"&amp;$H1512)</f>
        <v/>
      </c>
    </row>
    <row r="1513" customFormat="false" ht="15" hidden="false" customHeight="false" outlineLevel="0" collapsed="false">
      <c r="K1513" s="4" t="n">
        <f aca="false">IF($J1513="Y","",IF($F1513="BW",$I1513,$H1513*$I1513))</f>
        <v>0</v>
      </c>
      <c r="L1513" s="4" t="str">
        <f aca="false">IF($D1513="","",$D1513&amp;"|"&amp;$H1513)</f>
        <v/>
      </c>
    </row>
    <row r="1514" customFormat="false" ht="15" hidden="false" customHeight="false" outlineLevel="0" collapsed="false">
      <c r="K1514" s="4" t="n">
        <f aca="false">IF($J1514="Y","",IF($F1514="BW",$I1514,$H1514*$I1514))</f>
        <v>0</v>
      </c>
      <c r="L1514" s="4" t="str">
        <f aca="false">IF($D1514="","",$D1514&amp;"|"&amp;$H1514)</f>
        <v/>
      </c>
    </row>
    <row r="1515" customFormat="false" ht="15" hidden="false" customHeight="false" outlineLevel="0" collapsed="false">
      <c r="K1515" s="4" t="n">
        <f aca="false">IF($J1515="Y","",IF($F1515="BW",$I1515,$H1515*$I1515))</f>
        <v>0</v>
      </c>
      <c r="L1515" s="4" t="str">
        <f aca="false">IF($D1515="","",$D1515&amp;"|"&amp;$H1515)</f>
        <v/>
      </c>
    </row>
    <row r="1516" customFormat="false" ht="15" hidden="false" customHeight="false" outlineLevel="0" collapsed="false">
      <c r="K1516" s="4" t="n">
        <f aca="false">IF($J1516="Y","",IF($F1516="BW",$I1516,$H1516*$I1516))</f>
        <v>0</v>
      </c>
      <c r="L1516" s="4" t="str">
        <f aca="false">IF($D1516="","",$D1516&amp;"|"&amp;$H1516)</f>
        <v/>
      </c>
    </row>
    <row r="1517" customFormat="false" ht="15" hidden="false" customHeight="false" outlineLevel="0" collapsed="false">
      <c r="K1517" s="4" t="n">
        <f aca="false">IF($J1517="Y","",IF($F1517="BW",$I1517,$H1517*$I1517))</f>
        <v>0</v>
      </c>
      <c r="L1517" s="4" t="str">
        <f aca="false">IF($D1517="","",$D1517&amp;"|"&amp;$H1517)</f>
        <v/>
      </c>
    </row>
    <row r="1518" customFormat="false" ht="15" hidden="false" customHeight="false" outlineLevel="0" collapsed="false">
      <c r="K1518" s="4" t="n">
        <f aca="false">IF($J1518="Y","",IF($F1518="BW",$I1518,$H1518*$I1518))</f>
        <v>0</v>
      </c>
      <c r="L1518" s="4" t="str">
        <f aca="false">IF($D1518="","",$D1518&amp;"|"&amp;$H1518)</f>
        <v/>
      </c>
    </row>
    <row r="1519" customFormat="false" ht="15" hidden="false" customHeight="false" outlineLevel="0" collapsed="false">
      <c r="K1519" s="4" t="n">
        <f aca="false">IF($J1519="Y","",IF($F1519="BW",$I1519,$H1519*$I1519))</f>
        <v>0</v>
      </c>
      <c r="L1519" s="4" t="str">
        <f aca="false">IF($D1519="","",$D1519&amp;"|"&amp;$H1519)</f>
        <v/>
      </c>
    </row>
    <row r="1520" customFormat="false" ht="15" hidden="false" customHeight="false" outlineLevel="0" collapsed="false">
      <c r="K1520" s="4" t="n">
        <f aca="false">IF($J1520="Y","",IF($F1520="BW",$I1520,$H1520*$I1520))</f>
        <v>0</v>
      </c>
      <c r="L1520" s="4" t="str">
        <f aca="false">IF($D1520="","",$D1520&amp;"|"&amp;$H1520)</f>
        <v/>
      </c>
    </row>
    <row r="1521" customFormat="false" ht="15" hidden="false" customHeight="false" outlineLevel="0" collapsed="false">
      <c r="K1521" s="4" t="n">
        <f aca="false">IF($J1521="Y","",IF($F1521="BW",$I1521,$H1521*$I1521))</f>
        <v>0</v>
      </c>
      <c r="L1521" s="4" t="str">
        <f aca="false">IF($D1521="","",$D1521&amp;"|"&amp;$H1521)</f>
        <v/>
      </c>
    </row>
    <row r="1522" customFormat="false" ht="15" hidden="false" customHeight="false" outlineLevel="0" collapsed="false">
      <c r="K1522" s="4" t="n">
        <f aca="false">IF($J1522="Y","",IF($F1522="BW",$I1522,$H1522*$I1522))</f>
        <v>0</v>
      </c>
      <c r="L1522" s="4" t="str">
        <f aca="false">IF($D1522="","",$D1522&amp;"|"&amp;$H1522)</f>
        <v/>
      </c>
    </row>
    <row r="1523" customFormat="false" ht="15" hidden="false" customHeight="false" outlineLevel="0" collapsed="false">
      <c r="K1523" s="4" t="n">
        <f aca="false">IF($J1523="Y","",IF($F1523="BW",$I1523,$H1523*$I1523))</f>
        <v>0</v>
      </c>
      <c r="L1523" s="4" t="str">
        <f aca="false">IF($D1523="","",$D1523&amp;"|"&amp;$H1523)</f>
        <v/>
      </c>
    </row>
    <row r="1524" customFormat="false" ht="15" hidden="false" customHeight="false" outlineLevel="0" collapsed="false">
      <c r="K1524" s="4" t="n">
        <f aca="false">IF($J1524="Y","",IF($F1524="BW",$I1524,$H1524*$I1524))</f>
        <v>0</v>
      </c>
      <c r="L1524" s="4" t="str">
        <f aca="false">IF($D1524="","",$D1524&amp;"|"&amp;$H1524)</f>
        <v/>
      </c>
    </row>
    <row r="1525" customFormat="false" ht="15" hidden="false" customHeight="false" outlineLevel="0" collapsed="false">
      <c r="K1525" s="4" t="n">
        <f aca="false">IF($J1525="Y","",IF($F1525="BW",$I1525,$H1525*$I1525))</f>
        <v>0</v>
      </c>
      <c r="L1525" s="4" t="str">
        <f aca="false">IF($D1525="","",$D1525&amp;"|"&amp;$H1525)</f>
        <v/>
      </c>
    </row>
    <row r="1526" customFormat="false" ht="15" hidden="false" customHeight="false" outlineLevel="0" collapsed="false">
      <c r="K1526" s="4" t="n">
        <f aca="false">IF($J1526="Y","",IF($F1526="BW",$I1526,$H1526*$I1526))</f>
        <v>0</v>
      </c>
      <c r="L1526" s="4" t="str">
        <f aca="false">IF($D1526="","",$D1526&amp;"|"&amp;$H1526)</f>
        <v/>
      </c>
    </row>
    <row r="1527" customFormat="false" ht="15" hidden="false" customHeight="false" outlineLevel="0" collapsed="false">
      <c r="K1527" s="4" t="n">
        <f aca="false">IF($J1527="Y","",IF($F1527="BW",$I1527,$H1527*$I1527))</f>
        <v>0</v>
      </c>
      <c r="L1527" s="4" t="str">
        <f aca="false">IF($D1527="","",$D1527&amp;"|"&amp;$H1527)</f>
        <v/>
      </c>
    </row>
    <row r="1528" customFormat="false" ht="15" hidden="false" customHeight="false" outlineLevel="0" collapsed="false">
      <c r="K1528" s="4" t="n">
        <f aca="false">IF($J1528="Y","",IF($F1528="BW",$I1528,$H1528*$I1528))</f>
        <v>0</v>
      </c>
      <c r="L1528" s="4" t="str">
        <f aca="false">IF($D1528="","",$D1528&amp;"|"&amp;$H1528)</f>
        <v/>
      </c>
    </row>
    <row r="1529" customFormat="false" ht="15" hidden="false" customHeight="false" outlineLevel="0" collapsed="false">
      <c r="K1529" s="4" t="n">
        <f aca="false">IF($J1529="Y","",IF($F1529="BW",$I1529,$H1529*$I1529))</f>
        <v>0</v>
      </c>
      <c r="L1529" s="4" t="str">
        <f aca="false">IF($D1529="","",$D1529&amp;"|"&amp;$H1529)</f>
        <v/>
      </c>
    </row>
    <row r="1530" customFormat="false" ht="15" hidden="false" customHeight="false" outlineLevel="0" collapsed="false">
      <c r="K1530" s="4" t="n">
        <f aca="false">IF($J1530="Y","",IF($F1530="BW",$I1530,$H1530*$I1530))</f>
        <v>0</v>
      </c>
      <c r="L1530" s="4" t="str">
        <f aca="false">IF($D1530="","",$D1530&amp;"|"&amp;$H1530)</f>
        <v/>
      </c>
    </row>
    <row r="1531" customFormat="false" ht="15" hidden="false" customHeight="false" outlineLevel="0" collapsed="false">
      <c r="K1531" s="4" t="n">
        <f aca="false">IF($J1531="Y","",IF($F1531="BW",$I1531,$H1531*$I1531))</f>
        <v>0</v>
      </c>
      <c r="L1531" s="4" t="str">
        <f aca="false">IF($D1531="","",$D1531&amp;"|"&amp;$H1531)</f>
        <v/>
      </c>
    </row>
    <row r="1532" customFormat="false" ht="15" hidden="false" customHeight="false" outlineLevel="0" collapsed="false">
      <c r="K1532" s="4" t="n">
        <f aca="false">IF($J1532="Y","",IF($F1532="BW",$I1532,$H1532*$I1532))</f>
        <v>0</v>
      </c>
      <c r="L1532" s="4" t="str">
        <f aca="false">IF($D1532="","",$D1532&amp;"|"&amp;$H1532)</f>
        <v/>
      </c>
    </row>
    <row r="1533" customFormat="false" ht="15" hidden="false" customHeight="false" outlineLevel="0" collapsed="false">
      <c r="K1533" s="4" t="n">
        <f aca="false">IF($J1533="Y","",IF($F1533="BW",$I1533,$H1533*$I1533))</f>
        <v>0</v>
      </c>
      <c r="L1533" s="4" t="str">
        <f aca="false">IF($D1533="","",$D1533&amp;"|"&amp;$H1533)</f>
        <v/>
      </c>
    </row>
    <row r="1534" customFormat="false" ht="15" hidden="false" customHeight="false" outlineLevel="0" collapsed="false">
      <c r="K1534" s="4" t="n">
        <f aca="false">IF($J1534="Y","",IF($F1534="BW",$I1534,$H1534*$I1534))</f>
        <v>0</v>
      </c>
      <c r="L1534" s="4" t="str">
        <f aca="false">IF($D1534="","",$D1534&amp;"|"&amp;$H1534)</f>
        <v/>
      </c>
    </row>
    <row r="1535" customFormat="false" ht="15" hidden="false" customHeight="false" outlineLevel="0" collapsed="false">
      <c r="K1535" s="4" t="n">
        <f aca="false">IF($J1535="Y","",IF($F1535="BW",$I1535,$H1535*$I1535))</f>
        <v>0</v>
      </c>
      <c r="L1535" s="4" t="str">
        <f aca="false">IF($D1535="","",$D1535&amp;"|"&amp;$H1535)</f>
        <v/>
      </c>
    </row>
    <row r="1536" customFormat="false" ht="15" hidden="false" customHeight="false" outlineLevel="0" collapsed="false">
      <c r="K1536" s="4" t="n">
        <f aca="false">IF($J1536="Y","",IF($F1536="BW",$I1536,$H1536*$I1536))</f>
        <v>0</v>
      </c>
      <c r="L1536" s="4" t="str">
        <f aca="false">IF($D1536="","",$D1536&amp;"|"&amp;$H1536)</f>
        <v/>
      </c>
    </row>
    <row r="1537" customFormat="false" ht="15" hidden="false" customHeight="false" outlineLevel="0" collapsed="false">
      <c r="K1537" s="4" t="n">
        <f aca="false">IF($J1537="Y","",IF($F1537="BW",$I1537,$H1537*$I1537))</f>
        <v>0</v>
      </c>
      <c r="L1537" s="4" t="str">
        <f aca="false">IF($D1537="","",$D1537&amp;"|"&amp;$H1537)</f>
        <v/>
      </c>
    </row>
    <row r="1538" customFormat="false" ht="15" hidden="false" customHeight="false" outlineLevel="0" collapsed="false">
      <c r="K1538" s="4" t="n">
        <f aca="false">IF($J1538="Y","",IF($F1538="BW",$I1538,$H1538*$I1538))</f>
        <v>0</v>
      </c>
      <c r="L1538" s="4" t="str">
        <f aca="false">IF($D1538="","",$D1538&amp;"|"&amp;$H1538)</f>
        <v/>
      </c>
    </row>
    <row r="1539" customFormat="false" ht="15" hidden="false" customHeight="false" outlineLevel="0" collapsed="false">
      <c r="K1539" s="4" t="n">
        <f aca="false">IF($J1539="Y","",IF($F1539="BW",$I1539,$H1539*$I1539))</f>
        <v>0</v>
      </c>
      <c r="L1539" s="4" t="str">
        <f aca="false">IF($D1539="","",$D1539&amp;"|"&amp;$H1539)</f>
        <v/>
      </c>
    </row>
    <row r="1540" customFormat="false" ht="15" hidden="false" customHeight="false" outlineLevel="0" collapsed="false">
      <c r="K1540" s="4" t="n">
        <f aca="false">IF($J1540="Y","",IF($F1540="BW",$I1540,$H1540*$I1540))</f>
        <v>0</v>
      </c>
      <c r="L1540" s="4" t="str">
        <f aca="false">IF($D1540="","",$D1540&amp;"|"&amp;$H1540)</f>
        <v/>
      </c>
    </row>
    <row r="1541" customFormat="false" ht="15" hidden="false" customHeight="false" outlineLevel="0" collapsed="false">
      <c r="K1541" s="4" t="n">
        <f aca="false">IF($J1541="Y","",IF($F1541="BW",$I1541,$H1541*$I1541))</f>
        <v>0</v>
      </c>
      <c r="L1541" s="4" t="str">
        <f aca="false">IF($D1541="","",$D1541&amp;"|"&amp;$H1541)</f>
        <v/>
      </c>
    </row>
    <row r="1542" customFormat="false" ht="15" hidden="false" customHeight="false" outlineLevel="0" collapsed="false">
      <c r="K1542" s="4" t="n">
        <f aca="false">IF($J1542="Y","",IF($F1542="BW",$I1542,$H1542*$I1542))</f>
        <v>0</v>
      </c>
      <c r="L1542" s="4" t="str">
        <f aca="false">IF($D1542="","",$D1542&amp;"|"&amp;$H1542)</f>
        <v/>
      </c>
    </row>
    <row r="1543" customFormat="false" ht="15" hidden="false" customHeight="false" outlineLevel="0" collapsed="false">
      <c r="K1543" s="4" t="n">
        <f aca="false">IF($J1543="Y","",IF($F1543="BW",$I1543,$H1543*$I1543))</f>
        <v>0</v>
      </c>
      <c r="L1543" s="4" t="str">
        <f aca="false">IF($D1543="","",$D1543&amp;"|"&amp;$H1543)</f>
        <v/>
      </c>
    </row>
    <row r="1544" customFormat="false" ht="15" hidden="false" customHeight="false" outlineLevel="0" collapsed="false">
      <c r="K1544" s="4" t="n">
        <f aca="false">IF($J1544="Y","",IF($F1544="BW",$I1544,$H1544*$I1544))</f>
        <v>0</v>
      </c>
      <c r="L1544" s="4" t="str">
        <f aca="false">IF($D1544="","",$D1544&amp;"|"&amp;$H1544)</f>
        <v/>
      </c>
    </row>
    <row r="1545" customFormat="false" ht="15" hidden="false" customHeight="false" outlineLevel="0" collapsed="false">
      <c r="K1545" s="4" t="n">
        <f aca="false">IF($J1545="Y","",IF($F1545="BW",$I1545,$H1545*$I1545))</f>
        <v>0</v>
      </c>
      <c r="L1545" s="4" t="str">
        <f aca="false">IF($D1545="","",$D1545&amp;"|"&amp;$H1545)</f>
        <v/>
      </c>
    </row>
    <row r="1546" customFormat="false" ht="15" hidden="false" customHeight="false" outlineLevel="0" collapsed="false">
      <c r="K1546" s="4" t="n">
        <f aca="false">IF($J1546="Y","",IF($F1546="BW",$I1546,$H1546*$I1546))</f>
        <v>0</v>
      </c>
      <c r="L1546" s="4" t="str">
        <f aca="false">IF($D1546="","",$D1546&amp;"|"&amp;$H1546)</f>
        <v/>
      </c>
    </row>
    <row r="1547" customFormat="false" ht="15" hidden="false" customHeight="false" outlineLevel="0" collapsed="false">
      <c r="K1547" s="4" t="n">
        <f aca="false">IF($J1547="Y","",IF($F1547="BW",$I1547,$H1547*$I1547))</f>
        <v>0</v>
      </c>
      <c r="L1547" s="4" t="str">
        <f aca="false">IF($D1547="","",$D1547&amp;"|"&amp;$H1547)</f>
        <v/>
      </c>
    </row>
    <row r="1548" customFormat="false" ht="15" hidden="false" customHeight="false" outlineLevel="0" collapsed="false">
      <c r="K1548" s="4" t="n">
        <f aca="false">IF($J1548="Y","",IF($F1548="BW",$I1548,$H1548*$I1548))</f>
        <v>0</v>
      </c>
      <c r="L1548" s="4" t="str">
        <f aca="false">IF($D1548="","",$D1548&amp;"|"&amp;$H1548)</f>
        <v/>
      </c>
    </row>
    <row r="1549" customFormat="false" ht="15" hidden="false" customHeight="false" outlineLevel="0" collapsed="false">
      <c r="K1549" s="4" t="n">
        <f aca="false">IF($J1549="Y","",IF($F1549="BW",$I1549,$H1549*$I1549))</f>
        <v>0</v>
      </c>
      <c r="L1549" s="4" t="str">
        <f aca="false">IF($D1549="","",$D1549&amp;"|"&amp;$H1549)</f>
        <v/>
      </c>
    </row>
    <row r="1550" customFormat="false" ht="15" hidden="false" customHeight="false" outlineLevel="0" collapsed="false">
      <c r="K1550" s="4" t="n">
        <f aca="false">IF($J1550="Y","",IF($F1550="BW",$I1550,$H1550*$I1550))</f>
        <v>0</v>
      </c>
      <c r="L1550" s="4" t="str">
        <f aca="false">IF($D1550="","",$D1550&amp;"|"&amp;$H1550)</f>
        <v/>
      </c>
    </row>
    <row r="1551" customFormat="false" ht="15" hidden="false" customHeight="false" outlineLevel="0" collapsed="false">
      <c r="K1551" s="4" t="n">
        <f aca="false">IF($J1551="Y","",IF($F1551="BW",$I1551,$H1551*$I1551))</f>
        <v>0</v>
      </c>
      <c r="L1551" s="4" t="str">
        <f aca="false">IF($D1551="","",$D1551&amp;"|"&amp;$H1551)</f>
        <v/>
      </c>
    </row>
    <row r="1552" customFormat="false" ht="15" hidden="false" customHeight="false" outlineLevel="0" collapsed="false">
      <c r="K1552" s="4" t="n">
        <f aca="false">IF($J1552="Y","",IF($F1552="BW",$I1552,$H1552*$I1552))</f>
        <v>0</v>
      </c>
      <c r="L1552" s="4" t="str">
        <f aca="false">IF($D1552="","",$D1552&amp;"|"&amp;$H1552)</f>
        <v/>
      </c>
    </row>
    <row r="1553" customFormat="false" ht="15" hidden="false" customHeight="false" outlineLevel="0" collapsed="false">
      <c r="K1553" s="4" t="n">
        <f aca="false">IF($J1553="Y","",IF($F1553="BW",$I1553,$H1553*$I1553))</f>
        <v>0</v>
      </c>
      <c r="L1553" s="4" t="str">
        <f aca="false">IF($D1553="","",$D1553&amp;"|"&amp;$H1553)</f>
        <v/>
      </c>
    </row>
    <row r="1554" customFormat="false" ht="15" hidden="false" customHeight="false" outlineLevel="0" collapsed="false">
      <c r="K1554" s="4" t="n">
        <f aca="false">IF($J1554="Y","",IF($F1554="BW",$I1554,$H1554*$I1554))</f>
        <v>0</v>
      </c>
      <c r="L1554" s="4" t="str">
        <f aca="false">IF($D1554="","",$D1554&amp;"|"&amp;$H1554)</f>
        <v/>
      </c>
    </row>
    <row r="1555" customFormat="false" ht="15" hidden="false" customHeight="false" outlineLevel="0" collapsed="false">
      <c r="K1555" s="4" t="n">
        <f aca="false">IF($J1555="Y","",IF($F1555="BW",$I1555,$H1555*$I1555))</f>
        <v>0</v>
      </c>
      <c r="L1555" s="4" t="str">
        <f aca="false">IF($D1555="","",$D1555&amp;"|"&amp;$H1555)</f>
        <v/>
      </c>
    </row>
    <row r="1556" customFormat="false" ht="15" hidden="false" customHeight="false" outlineLevel="0" collapsed="false">
      <c r="K1556" s="4" t="n">
        <f aca="false">IF($J1556="Y","",IF($F1556="BW",$I1556,$H1556*$I1556))</f>
        <v>0</v>
      </c>
      <c r="L1556" s="4" t="str">
        <f aca="false">IF($D1556="","",$D1556&amp;"|"&amp;$H1556)</f>
        <v/>
      </c>
    </row>
    <row r="1557" customFormat="false" ht="15" hidden="false" customHeight="false" outlineLevel="0" collapsed="false">
      <c r="K1557" s="4" t="n">
        <f aca="false">IF($J1557="Y","",IF($F1557="BW",$I1557,$H1557*$I1557))</f>
        <v>0</v>
      </c>
      <c r="L1557" s="4" t="str">
        <f aca="false">IF($D1557="","",$D1557&amp;"|"&amp;$H1557)</f>
        <v/>
      </c>
    </row>
    <row r="1558" customFormat="false" ht="15" hidden="false" customHeight="false" outlineLevel="0" collapsed="false">
      <c r="K1558" s="4" t="n">
        <f aca="false">IF($J1558="Y","",IF($F1558="BW",$I1558,$H1558*$I1558))</f>
        <v>0</v>
      </c>
      <c r="L1558" s="4" t="str">
        <f aca="false">IF($D1558="","",$D1558&amp;"|"&amp;$H1558)</f>
        <v/>
      </c>
    </row>
    <row r="1559" customFormat="false" ht="15" hidden="false" customHeight="false" outlineLevel="0" collapsed="false">
      <c r="K1559" s="4" t="n">
        <f aca="false">IF($J1559="Y","",IF($F1559="BW",$I1559,$H1559*$I1559))</f>
        <v>0</v>
      </c>
      <c r="L1559" s="4" t="str">
        <f aca="false">IF($D1559="","",$D1559&amp;"|"&amp;$H1559)</f>
        <v/>
      </c>
    </row>
    <row r="1560" customFormat="false" ht="15" hidden="false" customHeight="false" outlineLevel="0" collapsed="false">
      <c r="K1560" s="4" t="n">
        <f aca="false">IF($J1560="Y","",IF($F1560="BW",$I1560,$H1560*$I1560))</f>
        <v>0</v>
      </c>
      <c r="L1560" s="4" t="str">
        <f aca="false">IF($D1560="","",$D1560&amp;"|"&amp;$H1560)</f>
        <v/>
      </c>
    </row>
    <row r="1561" customFormat="false" ht="15" hidden="false" customHeight="false" outlineLevel="0" collapsed="false">
      <c r="K1561" s="4" t="n">
        <f aca="false">IF($J1561="Y","",IF($F1561="BW",$I1561,$H1561*$I1561))</f>
        <v>0</v>
      </c>
      <c r="L1561" s="4" t="str">
        <f aca="false">IF($D1561="","",$D1561&amp;"|"&amp;$H1561)</f>
        <v/>
      </c>
    </row>
    <row r="1562" customFormat="false" ht="15" hidden="false" customHeight="false" outlineLevel="0" collapsed="false">
      <c r="K1562" s="4" t="n">
        <f aca="false">IF($J1562="Y","",IF($F1562="BW",$I1562,$H1562*$I1562))</f>
        <v>0</v>
      </c>
      <c r="L1562" s="4" t="str">
        <f aca="false">IF($D1562="","",$D1562&amp;"|"&amp;$H1562)</f>
        <v/>
      </c>
    </row>
    <row r="1563" customFormat="false" ht="15" hidden="false" customHeight="false" outlineLevel="0" collapsed="false">
      <c r="K1563" s="4" t="n">
        <f aca="false">IF($J1563="Y","",IF($F1563="BW",$I1563,$H1563*$I1563))</f>
        <v>0</v>
      </c>
      <c r="L1563" s="4" t="str">
        <f aca="false">IF($D1563="","",$D1563&amp;"|"&amp;$H1563)</f>
        <v/>
      </c>
    </row>
    <row r="1564" customFormat="false" ht="15" hidden="false" customHeight="false" outlineLevel="0" collapsed="false">
      <c r="K1564" s="4" t="n">
        <f aca="false">IF($J1564="Y","",IF($F1564="BW",$I1564,$H1564*$I1564))</f>
        <v>0</v>
      </c>
      <c r="L1564" s="4" t="str">
        <f aca="false">IF($D1564="","",$D1564&amp;"|"&amp;$H1564)</f>
        <v/>
      </c>
    </row>
    <row r="1565" customFormat="false" ht="15" hidden="false" customHeight="false" outlineLevel="0" collapsed="false">
      <c r="K1565" s="4" t="n">
        <f aca="false">IF($J1565="Y","",IF($F1565="BW",$I1565,$H1565*$I1565))</f>
        <v>0</v>
      </c>
      <c r="L1565" s="4" t="str">
        <f aca="false">IF($D1565="","",$D1565&amp;"|"&amp;$H1565)</f>
        <v/>
      </c>
    </row>
    <row r="1566" customFormat="false" ht="15" hidden="false" customHeight="false" outlineLevel="0" collapsed="false">
      <c r="K1566" s="4" t="n">
        <f aca="false">IF($J1566="Y","",IF($F1566="BW",$I1566,$H1566*$I1566))</f>
        <v>0</v>
      </c>
      <c r="L1566" s="4" t="str">
        <f aca="false">IF($D1566="","",$D1566&amp;"|"&amp;$H1566)</f>
        <v/>
      </c>
    </row>
    <row r="1567" customFormat="false" ht="15" hidden="false" customHeight="false" outlineLevel="0" collapsed="false">
      <c r="K1567" s="4" t="n">
        <f aca="false">IF($J1567="Y","",IF($F1567="BW",$I1567,$H1567*$I1567))</f>
        <v>0</v>
      </c>
      <c r="L1567" s="4" t="str">
        <f aca="false">IF($D1567="","",$D1567&amp;"|"&amp;$H1567)</f>
        <v/>
      </c>
    </row>
    <row r="1568" customFormat="false" ht="15" hidden="false" customHeight="false" outlineLevel="0" collapsed="false">
      <c r="K1568" s="4" t="n">
        <f aca="false">IF($J1568="Y","",IF($F1568="BW",$I1568,$H1568*$I1568))</f>
        <v>0</v>
      </c>
      <c r="L1568" s="4" t="str">
        <f aca="false">IF($D1568="","",$D1568&amp;"|"&amp;$H1568)</f>
        <v/>
      </c>
    </row>
    <row r="1569" customFormat="false" ht="15" hidden="false" customHeight="false" outlineLevel="0" collapsed="false">
      <c r="K1569" s="4" t="n">
        <f aca="false">IF($J1569="Y","",IF($F1569="BW",$I1569,$H1569*$I1569))</f>
        <v>0</v>
      </c>
      <c r="L1569" s="4" t="str">
        <f aca="false">IF($D1569="","",$D1569&amp;"|"&amp;$H1569)</f>
        <v/>
      </c>
    </row>
    <row r="1570" customFormat="false" ht="15" hidden="false" customHeight="false" outlineLevel="0" collapsed="false">
      <c r="K1570" s="4" t="n">
        <f aca="false">IF($J1570="Y","",IF($F1570="BW",$I1570,$H1570*$I1570))</f>
        <v>0</v>
      </c>
      <c r="L1570" s="4" t="str">
        <f aca="false">IF($D1570="","",$D1570&amp;"|"&amp;$H1570)</f>
        <v/>
      </c>
    </row>
    <row r="1571" customFormat="false" ht="15" hidden="false" customHeight="false" outlineLevel="0" collapsed="false">
      <c r="K1571" s="4" t="n">
        <f aca="false">IF($J1571="Y","",IF($F1571="BW",$I1571,$H1571*$I1571))</f>
        <v>0</v>
      </c>
      <c r="L1571" s="4" t="str">
        <f aca="false">IF($D1571="","",$D1571&amp;"|"&amp;$H1571)</f>
        <v/>
      </c>
    </row>
    <row r="1572" customFormat="false" ht="15" hidden="false" customHeight="false" outlineLevel="0" collapsed="false">
      <c r="K1572" s="4" t="n">
        <f aca="false">IF($J1572="Y","",IF($F1572="BW",$I1572,$H1572*$I1572))</f>
        <v>0</v>
      </c>
      <c r="L1572" s="4" t="str">
        <f aca="false">IF($D1572="","",$D1572&amp;"|"&amp;$H1572)</f>
        <v/>
      </c>
    </row>
    <row r="1573" customFormat="false" ht="15" hidden="false" customHeight="false" outlineLevel="0" collapsed="false">
      <c r="K1573" s="4" t="n">
        <f aca="false">IF($J1573="Y","",IF($F1573="BW",$I1573,$H1573*$I1573))</f>
        <v>0</v>
      </c>
      <c r="L1573" s="4" t="str">
        <f aca="false">IF($D1573="","",$D1573&amp;"|"&amp;$H1573)</f>
        <v/>
      </c>
    </row>
    <row r="1574" customFormat="false" ht="15" hidden="false" customHeight="false" outlineLevel="0" collapsed="false">
      <c r="K1574" s="4" t="n">
        <f aca="false">IF($J1574="Y","",IF($F1574="BW",$I1574,$H1574*$I1574))</f>
        <v>0</v>
      </c>
      <c r="L1574" s="4" t="str">
        <f aca="false">IF($D1574="","",$D1574&amp;"|"&amp;$H1574)</f>
        <v/>
      </c>
    </row>
    <row r="1575" customFormat="false" ht="15" hidden="false" customHeight="false" outlineLevel="0" collapsed="false">
      <c r="K1575" s="4" t="n">
        <f aca="false">IF($J1575="Y","",IF($F1575="BW",$I1575,$H1575*$I1575))</f>
        <v>0</v>
      </c>
      <c r="L1575" s="4" t="str">
        <f aca="false">IF($D1575="","",$D1575&amp;"|"&amp;$H1575)</f>
        <v/>
      </c>
    </row>
    <row r="1576" customFormat="false" ht="15" hidden="false" customHeight="false" outlineLevel="0" collapsed="false">
      <c r="K1576" s="4" t="n">
        <f aca="false">IF($J1576="Y","",IF($F1576="BW",$I1576,$H1576*$I1576))</f>
        <v>0</v>
      </c>
      <c r="L1576" s="4" t="str">
        <f aca="false">IF($D1576="","",$D1576&amp;"|"&amp;$H1576)</f>
        <v/>
      </c>
    </row>
    <row r="1577" customFormat="false" ht="15" hidden="false" customHeight="false" outlineLevel="0" collapsed="false">
      <c r="K1577" s="4" t="n">
        <f aca="false">IF($J1577="Y","",IF($F1577="BW",$I1577,$H1577*$I1577))</f>
        <v>0</v>
      </c>
      <c r="L1577" s="4" t="str">
        <f aca="false">IF($D1577="","",$D1577&amp;"|"&amp;$H1577)</f>
        <v/>
      </c>
    </row>
    <row r="1578" customFormat="false" ht="15" hidden="false" customHeight="false" outlineLevel="0" collapsed="false">
      <c r="K1578" s="4" t="n">
        <f aca="false">IF($J1578="Y","",IF($F1578="BW",$I1578,$H1578*$I1578))</f>
        <v>0</v>
      </c>
      <c r="L1578" s="4" t="str">
        <f aca="false">IF($D1578="","",$D1578&amp;"|"&amp;$H1578)</f>
        <v/>
      </c>
    </row>
    <row r="1579" customFormat="false" ht="15" hidden="false" customHeight="false" outlineLevel="0" collapsed="false">
      <c r="K1579" s="4" t="n">
        <f aca="false">IF($J1579="Y","",IF($F1579="BW",$I1579,$H1579*$I1579))</f>
        <v>0</v>
      </c>
      <c r="L1579" s="4" t="str">
        <f aca="false">IF($D1579="","",$D1579&amp;"|"&amp;$H1579)</f>
        <v/>
      </c>
    </row>
    <row r="1580" customFormat="false" ht="15" hidden="false" customHeight="false" outlineLevel="0" collapsed="false">
      <c r="K1580" s="4" t="n">
        <f aca="false">IF($J1580="Y","",IF($F1580="BW",$I1580,$H1580*$I1580))</f>
        <v>0</v>
      </c>
      <c r="L1580" s="4" t="str">
        <f aca="false">IF($D1580="","",$D1580&amp;"|"&amp;$H1580)</f>
        <v/>
      </c>
    </row>
    <row r="1581" customFormat="false" ht="15" hidden="false" customHeight="false" outlineLevel="0" collapsed="false">
      <c r="K1581" s="4" t="n">
        <f aca="false">IF($J1581="Y","",IF($F1581="BW",$I1581,$H1581*$I1581))</f>
        <v>0</v>
      </c>
      <c r="L1581" s="4" t="str">
        <f aca="false">IF($D1581="","",$D1581&amp;"|"&amp;$H1581)</f>
        <v/>
      </c>
    </row>
    <row r="1582" customFormat="false" ht="15" hidden="false" customHeight="false" outlineLevel="0" collapsed="false">
      <c r="K1582" s="4" t="n">
        <f aca="false">IF($J1582="Y","",IF($F1582="BW",$I1582,$H1582*$I1582))</f>
        <v>0</v>
      </c>
      <c r="L1582" s="4" t="str">
        <f aca="false">IF($D1582="","",$D1582&amp;"|"&amp;$H1582)</f>
        <v/>
      </c>
    </row>
    <row r="1583" customFormat="false" ht="15" hidden="false" customHeight="false" outlineLevel="0" collapsed="false">
      <c r="K1583" s="4" t="n">
        <f aca="false">IF($J1583="Y","",IF($F1583="BW",$I1583,$H1583*$I1583))</f>
        <v>0</v>
      </c>
      <c r="L1583" s="4" t="str">
        <f aca="false">IF($D1583="","",$D1583&amp;"|"&amp;$H1583)</f>
        <v/>
      </c>
    </row>
    <row r="1584" customFormat="false" ht="15" hidden="false" customHeight="false" outlineLevel="0" collapsed="false">
      <c r="K1584" s="4" t="n">
        <f aca="false">IF($J1584="Y","",IF($F1584="BW",$I1584,$H1584*$I1584))</f>
        <v>0</v>
      </c>
      <c r="L1584" s="4" t="str">
        <f aca="false">IF($D1584="","",$D1584&amp;"|"&amp;$H1584)</f>
        <v/>
      </c>
    </row>
    <row r="1585" customFormat="false" ht="15" hidden="false" customHeight="false" outlineLevel="0" collapsed="false">
      <c r="K1585" s="4" t="n">
        <f aca="false">IF($J1585="Y","",IF($F1585="BW",$I1585,$H1585*$I1585))</f>
        <v>0</v>
      </c>
      <c r="L1585" s="4" t="str">
        <f aca="false">IF($D1585="","",$D1585&amp;"|"&amp;$H1585)</f>
        <v/>
      </c>
    </row>
    <row r="1586" customFormat="false" ht="15" hidden="false" customHeight="false" outlineLevel="0" collapsed="false">
      <c r="K1586" s="4" t="n">
        <f aca="false">IF($J1586="Y","",IF($F1586="BW",$I1586,$H1586*$I1586))</f>
        <v>0</v>
      </c>
      <c r="L1586" s="4" t="str">
        <f aca="false">IF($D1586="","",$D1586&amp;"|"&amp;$H1586)</f>
        <v/>
      </c>
    </row>
    <row r="1587" customFormat="false" ht="15" hidden="false" customHeight="false" outlineLevel="0" collapsed="false">
      <c r="K1587" s="4" t="n">
        <f aca="false">IF($J1587="Y","",IF($F1587="BW",$I1587,$H1587*$I1587))</f>
        <v>0</v>
      </c>
      <c r="L1587" s="4" t="str">
        <f aca="false">IF($D1587="","",$D1587&amp;"|"&amp;$H1587)</f>
        <v/>
      </c>
    </row>
    <row r="1588" customFormat="false" ht="15" hidden="false" customHeight="false" outlineLevel="0" collapsed="false">
      <c r="K1588" s="4" t="n">
        <f aca="false">IF($J1588="Y","",IF($F1588="BW",$I1588,$H1588*$I1588))</f>
        <v>0</v>
      </c>
      <c r="L1588" s="4" t="str">
        <f aca="false">IF($D1588="","",$D1588&amp;"|"&amp;$H1588)</f>
        <v/>
      </c>
    </row>
    <row r="1589" customFormat="false" ht="15" hidden="false" customHeight="false" outlineLevel="0" collapsed="false">
      <c r="K1589" s="4" t="n">
        <f aca="false">IF($J1589="Y","",IF($F1589="BW",$I1589,$H1589*$I1589))</f>
        <v>0</v>
      </c>
      <c r="L1589" s="4" t="str">
        <f aca="false">IF($D1589="","",$D1589&amp;"|"&amp;$H1589)</f>
        <v/>
      </c>
    </row>
    <row r="1590" customFormat="false" ht="15" hidden="false" customHeight="false" outlineLevel="0" collapsed="false">
      <c r="K1590" s="4" t="n">
        <f aca="false">IF($J1590="Y","",IF($F1590="BW",$I1590,$H1590*$I1590))</f>
        <v>0</v>
      </c>
      <c r="L1590" s="4" t="str">
        <f aca="false">IF($D1590="","",$D1590&amp;"|"&amp;$H1590)</f>
        <v/>
      </c>
    </row>
    <row r="1591" customFormat="false" ht="15" hidden="false" customHeight="false" outlineLevel="0" collapsed="false">
      <c r="K1591" s="4" t="n">
        <f aca="false">IF($J1591="Y","",IF($F1591="BW",$I1591,$H1591*$I1591))</f>
        <v>0</v>
      </c>
      <c r="L1591" s="4" t="str">
        <f aca="false">IF($D1591="","",$D1591&amp;"|"&amp;$H1591)</f>
        <v/>
      </c>
    </row>
    <row r="1592" customFormat="false" ht="15" hidden="false" customHeight="false" outlineLevel="0" collapsed="false">
      <c r="K1592" s="4" t="n">
        <f aca="false">IF($J1592="Y","",IF($F1592="BW",$I1592,$H1592*$I1592))</f>
        <v>0</v>
      </c>
      <c r="L1592" s="4" t="str">
        <f aca="false">IF($D1592="","",$D1592&amp;"|"&amp;$H1592)</f>
        <v/>
      </c>
    </row>
    <row r="1593" customFormat="false" ht="15" hidden="false" customHeight="false" outlineLevel="0" collapsed="false">
      <c r="K1593" s="4" t="n">
        <f aca="false">IF($J1593="Y","",IF($F1593="BW",$I1593,$H1593*$I1593))</f>
        <v>0</v>
      </c>
      <c r="L1593" s="4" t="str">
        <f aca="false">IF($D1593="","",$D1593&amp;"|"&amp;$H1593)</f>
        <v/>
      </c>
    </row>
    <row r="1594" customFormat="false" ht="15" hidden="false" customHeight="false" outlineLevel="0" collapsed="false">
      <c r="K1594" s="4" t="n">
        <f aca="false">IF($J1594="Y","",IF($F1594="BW",$I1594,$H1594*$I1594))</f>
        <v>0</v>
      </c>
      <c r="L1594" s="4" t="str">
        <f aca="false">IF($D1594="","",$D1594&amp;"|"&amp;$H1594)</f>
        <v/>
      </c>
    </row>
    <row r="1595" customFormat="false" ht="15" hidden="false" customHeight="false" outlineLevel="0" collapsed="false">
      <c r="K1595" s="4" t="n">
        <f aca="false">IF($J1595="Y","",IF($F1595="BW",$I1595,$H1595*$I1595))</f>
        <v>0</v>
      </c>
      <c r="L1595" s="4" t="str">
        <f aca="false">IF($D1595="","",$D1595&amp;"|"&amp;$H1595)</f>
        <v/>
      </c>
    </row>
    <row r="1596" customFormat="false" ht="15" hidden="false" customHeight="false" outlineLevel="0" collapsed="false">
      <c r="K1596" s="4" t="n">
        <f aca="false">IF($J1596="Y","",IF($F1596="BW",$I1596,$H1596*$I1596))</f>
        <v>0</v>
      </c>
      <c r="L1596" s="4" t="str">
        <f aca="false">IF($D1596="","",$D1596&amp;"|"&amp;$H1596)</f>
        <v/>
      </c>
    </row>
    <row r="1597" customFormat="false" ht="15" hidden="false" customHeight="false" outlineLevel="0" collapsed="false">
      <c r="K1597" s="4" t="n">
        <f aca="false">IF($J1597="Y","",IF($F1597="BW",$I1597,$H1597*$I1597))</f>
        <v>0</v>
      </c>
      <c r="L1597" s="4" t="str">
        <f aca="false">IF($D1597="","",$D1597&amp;"|"&amp;$H1597)</f>
        <v/>
      </c>
    </row>
    <row r="1598" customFormat="false" ht="15" hidden="false" customHeight="false" outlineLevel="0" collapsed="false">
      <c r="K1598" s="4" t="n">
        <f aca="false">IF($J1598="Y","",IF($F1598="BW",$I1598,$H1598*$I1598))</f>
        <v>0</v>
      </c>
      <c r="L1598" s="4" t="str">
        <f aca="false">IF($D1598="","",$D1598&amp;"|"&amp;$H1598)</f>
        <v/>
      </c>
    </row>
    <row r="1599" customFormat="false" ht="15" hidden="false" customHeight="false" outlineLevel="0" collapsed="false">
      <c r="K1599" s="4" t="n">
        <f aca="false">IF($J1599="Y","",IF($F1599="BW",$I1599,$H1599*$I1599))</f>
        <v>0</v>
      </c>
      <c r="L1599" s="4" t="str">
        <f aca="false">IF($D1599="","",$D1599&amp;"|"&amp;$H1599)</f>
        <v/>
      </c>
    </row>
    <row r="1600" customFormat="false" ht="15" hidden="false" customHeight="false" outlineLevel="0" collapsed="false">
      <c r="K1600" s="4" t="n">
        <f aca="false">IF($J1600="Y","",IF($F1600="BW",$I1600,$H1600*$I1600))</f>
        <v>0</v>
      </c>
      <c r="L1600" s="4" t="str">
        <f aca="false">IF($D1600="","",$D1600&amp;"|"&amp;$H1600)</f>
        <v/>
      </c>
    </row>
    <row r="1601" customFormat="false" ht="15" hidden="false" customHeight="false" outlineLevel="0" collapsed="false">
      <c r="K1601" s="4" t="n">
        <f aca="false">IF($J1601="Y","",IF($F1601="BW",$I1601,$H1601*$I1601))</f>
        <v>0</v>
      </c>
      <c r="L1601" s="4" t="str">
        <f aca="false">IF($D1601="","",$D1601&amp;"|"&amp;$H1601)</f>
        <v/>
      </c>
    </row>
    <row r="1602" customFormat="false" ht="15" hidden="false" customHeight="false" outlineLevel="0" collapsed="false">
      <c r="K1602" s="4" t="n">
        <f aca="false">IF($J1602="Y","",IF($F1602="BW",$I1602,$H1602*$I1602))</f>
        <v>0</v>
      </c>
      <c r="L1602" s="4" t="str">
        <f aca="false">IF($D1602="","",$D1602&amp;"|"&amp;$H1602)</f>
        <v/>
      </c>
    </row>
    <row r="1603" customFormat="false" ht="15" hidden="false" customHeight="false" outlineLevel="0" collapsed="false">
      <c r="K1603" s="4" t="n">
        <f aca="false">IF($J1603="Y","",IF($F1603="BW",$I1603,$H1603*$I1603))</f>
        <v>0</v>
      </c>
      <c r="L1603" s="4" t="str">
        <f aca="false">IF($D1603="","",$D1603&amp;"|"&amp;$H1603)</f>
        <v/>
      </c>
    </row>
    <row r="1604" customFormat="false" ht="15" hidden="false" customHeight="false" outlineLevel="0" collapsed="false">
      <c r="K1604" s="4" t="n">
        <f aca="false">IF($J1604="Y","",IF($F1604="BW",$I1604,$H1604*$I1604))</f>
        <v>0</v>
      </c>
      <c r="L1604" s="4" t="str">
        <f aca="false">IF($D1604="","",$D1604&amp;"|"&amp;$H1604)</f>
        <v/>
      </c>
    </row>
    <row r="1605" customFormat="false" ht="15" hidden="false" customHeight="false" outlineLevel="0" collapsed="false">
      <c r="K1605" s="4" t="n">
        <f aca="false">IF($J1605="Y","",IF($F1605="BW",$I1605,$H1605*$I1605))</f>
        <v>0</v>
      </c>
      <c r="L1605" s="4" t="str">
        <f aca="false">IF($D1605="","",$D1605&amp;"|"&amp;$H1605)</f>
        <v/>
      </c>
    </row>
    <row r="1606" customFormat="false" ht="15" hidden="false" customHeight="false" outlineLevel="0" collapsed="false">
      <c r="K1606" s="4" t="n">
        <f aca="false">IF($J1606="Y","",IF($F1606="BW",$I1606,$H1606*$I1606))</f>
        <v>0</v>
      </c>
      <c r="L1606" s="4" t="str">
        <f aca="false">IF($D1606="","",$D1606&amp;"|"&amp;$H1606)</f>
        <v/>
      </c>
    </row>
    <row r="1607" customFormat="false" ht="15" hidden="false" customHeight="false" outlineLevel="0" collapsed="false">
      <c r="K1607" s="4" t="n">
        <f aca="false">IF($J1607="Y","",IF($F1607="BW",$I1607,$H1607*$I1607))</f>
        <v>0</v>
      </c>
      <c r="L1607" s="4" t="str">
        <f aca="false">IF($D1607="","",$D1607&amp;"|"&amp;$H1607)</f>
        <v/>
      </c>
    </row>
    <row r="1608" customFormat="false" ht="15" hidden="false" customHeight="false" outlineLevel="0" collapsed="false">
      <c r="K1608" s="4" t="n">
        <f aca="false">IF($J1608="Y","",IF($F1608="BW",$I1608,$H1608*$I1608))</f>
        <v>0</v>
      </c>
      <c r="L1608" s="4" t="str">
        <f aca="false">IF($D1608="","",$D1608&amp;"|"&amp;$H1608)</f>
        <v/>
      </c>
    </row>
    <row r="1609" customFormat="false" ht="15" hidden="false" customHeight="false" outlineLevel="0" collapsed="false">
      <c r="K1609" s="4" t="n">
        <f aca="false">IF($J1609="Y","",IF($F1609="BW",$I1609,$H1609*$I1609))</f>
        <v>0</v>
      </c>
      <c r="L1609" s="4" t="str">
        <f aca="false">IF($D1609="","",$D1609&amp;"|"&amp;$H1609)</f>
        <v/>
      </c>
    </row>
    <row r="1610" customFormat="false" ht="15" hidden="false" customHeight="false" outlineLevel="0" collapsed="false">
      <c r="K1610" s="4" t="n">
        <f aca="false">IF($J1610="Y","",IF($F1610="BW",$I1610,$H1610*$I1610))</f>
        <v>0</v>
      </c>
      <c r="L1610" s="4" t="str">
        <f aca="false">IF($D1610="","",$D1610&amp;"|"&amp;$H1610)</f>
        <v/>
      </c>
    </row>
    <row r="1611" customFormat="false" ht="15" hidden="false" customHeight="false" outlineLevel="0" collapsed="false">
      <c r="K1611" s="4" t="n">
        <f aca="false">IF($J1611="Y","",IF($F1611="BW",$I1611,$H1611*$I1611))</f>
        <v>0</v>
      </c>
      <c r="L1611" s="4" t="str">
        <f aca="false">IF($D1611="","",$D1611&amp;"|"&amp;$H1611)</f>
        <v/>
      </c>
    </row>
    <row r="1612" customFormat="false" ht="15" hidden="false" customHeight="false" outlineLevel="0" collapsed="false">
      <c r="K1612" s="4" t="n">
        <f aca="false">IF($J1612="Y","",IF($F1612="BW",$I1612,$H1612*$I1612))</f>
        <v>0</v>
      </c>
      <c r="L1612" s="4" t="str">
        <f aca="false">IF($D1612="","",$D1612&amp;"|"&amp;$H1612)</f>
        <v/>
      </c>
    </row>
    <row r="1613" customFormat="false" ht="15" hidden="false" customHeight="false" outlineLevel="0" collapsed="false">
      <c r="K1613" s="4" t="n">
        <f aca="false">IF($J1613="Y","",IF($F1613="BW",$I1613,$H1613*$I1613))</f>
        <v>0</v>
      </c>
      <c r="L1613" s="4" t="str">
        <f aca="false">IF($D1613="","",$D1613&amp;"|"&amp;$H1613)</f>
        <v/>
      </c>
    </row>
    <row r="1614" customFormat="false" ht="15" hidden="false" customHeight="false" outlineLevel="0" collapsed="false">
      <c r="K1614" s="4" t="n">
        <f aca="false">IF($J1614="Y","",IF($F1614="BW",$I1614,$H1614*$I1614))</f>
        <v>0</v>
      </c>
      <c r="L1614" s="4" t="str">
        <f aca="false">IF($D1614="","",$D1614&amp;"|"&amp;$H1614)</f>
        <v/>
      </c>
    </row>
    <row r="1615" customFormat="false" ht="15" hidden="false" customHeight="false" outlineLevel="0" collapsed="false">
      <c r="K1615" s="4" t="n">
        <f aca="false">IF($J1615="Y","",IF($F1615="BW",$I1615,$H1615*$I1615))</f>
        <v>0</v>
      </c>
      <c r="L1615" s="4" t="str">
        <f aca="false">IF($D1615="","",$D1615&amp;"|"&amp;$H1615)</f>
        <v/>
      </c>
    </row>
    <row r="1616" customFormat="false" ht="15" hidden="false" customHeight="false" outlineLevel="0" collapsed="false">
      <c r="K1616" s="4" t="n">
        <f aca="false">IF($J1616="Y","",IF($F1616="BW",$I1616,$H1616*$I1616))</f>
        <v>0</v>
      </c>
      <c r="L1616" s="4" t="str">
        <f aca="false">IF($D1616="","",$D1616&amp;"|"&amp;$H1616)</f>
        <v/>
      </c>
    </row>
    <row r="1617" customFormat="false" ht="15" hidden="false" customHeight="false" outlineLevel="0" collapsed="false">
      <c r="K1617" s="4" t="n">
        <f aca="false">IF($J1617="Y","",IF($F1617="BW",$I1617,$H1617*$I1617))</f>
        <v>0</v>
      </c>
      <c r="L1617" s="4" t="str">
        <f aca="false">IF($D1617="","",$D1617&amp;"|"&amp;$H1617)</f>
        <v/>
      </c>
    </row>
    <row r="1618" customFormat="false" ht="15" hidden="false" customHeight="false" outlineLevel="0" collapsed="false">
      <c r="K1618" s="4" t="n">
        <f aca="false">IF($J1618="Y","",IF($F1618="BW",$I1618,$H1618*$I1618))</f>
        <v>0</v>
      </c>
      <c r="L1618" s="4" t="str">
        <f aca="false">IF($D1618="","",$D1618&amp;"|"&amp;$H1618)</f>
        <v/>
      </c>
    </row>
    <row r="1619" customFormat="false" ht="15" hidden="false" customHeight="false" outlineLevel="0" collapsed="false">
      <c r="K1619" s="4" t="n">
        <f aca="false">IF($J1619="Y","",IF($F1619="BW",$I1619,$H1619*$I1619))</f>
        <v>0</v>
      </c>
      <c r="L1619" s="4" t="str">
        <f aca="false">IF($D1619="","",$D1619&amp;"|"&amp;$H1619)</f>
        <v/>
      </c>
    </row>
    <row r="1620" customFormat="false" ht="15" hidden="false" customHeight="false" outlineLevel="0" collapsed="false">
      <c r="K1620" s="4" t="n">
        <f aca="false">IF($J1620="Y","",IF($F1620="BW",$I1620,$H1620*$I1620))</f>
        <v>0</v>
      </c>
      <c r="L1620" s="4" t="str">
        <f aca="false">IF($D1620="","",$D1620&amp;"|"&amp;$H1620)</f>
        <v/>
      </c>
    </row>
    <row r="1621" customFormat="false" ht="15" hidden="false" customHeight="false" outlineLevel="0" collapsed="false">
      <c r="K1621" s="4" t="n">
        <f aca="false">IF($J1621="Y","",IF($F1621="BW",$I1621,$H1621*$I1621))</f>
        <v>0</v>
      </c>
      <c r="L1621" s="4" t="str">
        <f aca="false">IF($D1621="","",$D1621&amp;"|"&amp;$H1621)</f>
        <v/>
      </c>
    </row>
    <row r="1622" customFormat="false" ht="15" hidden="false" customHeight="false" outlineLevel="0" collapsed="false">
      <c r="K1622" s="4" t="n">
        <f aca="false">IF($J1622="Y","",IF($F1622="BW",$I1622,$H1622*$I1622))</f>
        <v>0</v>
      </c>
      <c r="L1622" s="4" t="str">
        <f aca="false">IF($D1622="","",$D1622&amp;"|"&amp;$H1622)</f>
        <v/>
      </c>
    </row>
    <row r="1623" customFormat="false" ht="15" hidden="false" customHeight="false" outlineLevel="0" collapsed="false">
      <c r="K1623" s="4" t="n">
        <f aca="false">IF($J1623="Y","",IF($F1623="BW",$I1623,$H1623*$I1623))</f>
        <v>0</v>
      </c>
      <c r="L1623" s="4" t="str">
        <f aca="false">IF($D1623="","",$D1623&amp;"|"&amp;$H1623)</f>
        <v/>
      </c>
    </row>
    <row r="1624" customFormat="false" ht="15" hidden="false" customHeight="false" outlineLevel="0" collapsed="false">
      <c r="K1624" s="4" t="n">
        <f aca="false">IF($J1624="Y","",IF($F1624="BW",$I1624,$H1624*$I1624))</f>
        <v>0</v>
      </c>
      <c r="L1624" s="4" t="str">
        <f aca="false">IF($D1624="","",$D1624&amp;"|"&amp;$H1624)</f>
        <v/>
      </c>
    </row>
    <row r="1625" customFormat="false" ht="15" hidden="false" customHeight="false" outlineLevel="0" collapsed="false">
      <c r="K1625" s="4" t="n">
        <f aca="false">IF($J1625="Y","",IF($F1625="BW",$I1625,$H1625*$I1625))</f>
        <v>0</v>
      </c>
      <c r="L1625" s="4" t="str">
        <f aca="false">IF($D1625="","",$D1625&amp;"|"&amp;$H1625)</f>
        <v/>
      </c>
    </row>
    <row r="1626" customFormat="false" ht="15" hidden="false" customHeight="false" outlineLevel="0" collapsed="false">
      <c r="K1626" s="4" t="n">
        <f aca="false">IF($J1626="Y","",IF($F1626="BW",$I1626,$H1626*$I1626))</f>
        <v>0</v>
      </c>
      <c r="L1626" s="4" t="str">
        <f aca="false">IF($D1626="","",$D1626&amp;"|"&amp;$H1626)</f>
        <v/>
      </c>
    </row>
    <row r="1627" customFormat="false" ht="15" hidden="false" customHeight="false" outlineLevel="0" collapsed="false">
      <c r="K1627" s="4" t="n">
        <f aca="false">IF($J1627="Y","",IF($F1627="BW",$I1627,$H1627*$I1627))</f>
        <v>0</v>
      </c>
      <c r="L1627" s="4" t="str">
        <f aca="false">IF($D1627="","",$D1627&amp;"|"&amp;$H1627)</f>
        <v/>
      </c>
    </row>
    <row r="1628" customFormat="false" ht="15" hidden="false" customHeight="false" outlineLevel="0" collapsed="false">
      <c r="K1628" s="4" t="n">
        <f aca="false">IF($J1628="Y","",IF($F1628="BW",$I1628,$H1628*$I1628))</f>
        <v>0</v>
      </c>
      <c r="L1628" s="4" t="str">
        <f aca="false">IF($D1628="","",$D1628&amp;"|"&amp;$H1628)</f>
        <v/>
      </c>
    </row>
    <row r="1629" customFormat="false" ht="15" hidden="false" customHeight="false" outlineLevel="0" collapsed="false">
      <c r="K1629" s="4" t="n">
        <f aca="false">IF($J1629="Y","",IF($F1629="BW",$I1629,$H1629*$I1629))</f>
        <v>0</v>
      </c>
      <c r="L1629" s="4" t="str">
        <f aca="false">IF($D1629="","",$D1629&amp;"|"&amp;$H1629)</f>
        <v/>
      </c>
    </row>
    <row r="1630" customFormat="false" ht="15" hidden="false" customHeight="false" outlineLevel="0" collapsed="false">
      <c r="K1630" s="4" t="n">
        <f aca="false">IF($J1630="Y","",IF($F1630="BW",$I1630,$H1630*$I1630))</f>
        <v>0</v>
      </c>
      <c r="L1630" s="4" t="str">
        <f aca="false">IF($D1630="","",$D1630&amp;"|"&amp;$H1630)</f>
        <v/>
      </c>
    </row>
    <row r="1631" customFormat="false" ht="15" hidden="false" customHeight="false" outlineLevel="0" collapsed="false">
      <c r="K1631" s="4" t="n">
        <f aca="false">IF($J1631="Y","",IF($F1631="BW",$I1631,$H1631*$I1631))</f>
        <v>0</v>
      </c>
      <c r="L1631" s="4" t="str">
        <f aca="false">IF($D1631="","",$D1631&amp;"|"&amp;$H1631)</f>
        <v/>
      </c>
    </row>
    <row r="1632" customFormat="false" ht="15" hidden="false" customHeight="false" outlineLevel="0" collapsed="false">
      <c r="K1632" s="4" t="n">
        <f aca="false">IF($J1632="Y","",IF($F1632="BW",$I1632,$H1632*$I1632))</f>
        <v>0</v>
      </c>
      <c r="L1632" s="4" t="str">
        <f aca="false">IF($D1632="","",$D1632&amp;"|"&amp;$H1632)</f>
        <v/>
      </c>
    </row>
    <row r="1633" customFormat="false" ht="15" hidden="false" customHeight="false" outlineLevel="0" collapsed="false">
      <c r="K1633" s="4" t="n">
        <f aca="false">IF($J1633="Y","",IF($F1633="BW",$I1633,$H1633*$I1633))</f>
        <v>0</v>
      </c>
      <c r="L1633" s="4" t="str">
        <f aca="false">IF($D1633="","",$D1633&amp;"|"&amp;$H1633)</f>
        <v/>
      </c>
    </row>
    <row r="1634" customFormat="false" ht="15" hidden="false" customHeight="false" outlineLevel="0" collapsed="false">
      <c r="K1634" s="4" t="n">
        <f aca="false">IF($J1634="Y","",IF($F1634="BW",$I1634,$H1634*$I1634))</f>
        <v>0</v>
      </c>
      <c r="L1634" s="4" t="str">
        <f aca="false">IF($D1634="","",$D1634&amp;"|"&amp;$H1634)</f>
        <v/>
      </c>
    </row>
    <row r="1635" customFormat="false" ht="15" hidden="false" customHeight="false" outlineLevel="0" collapsed="false">
      <c r="K1635" s="4" t="n">
        <f aca="false">IF($J1635="Y","",IF($F1635="BW",$I1635,$H1635*$I1635))</f>
        <v>0</v>
      </c>
      <c r="L1635" s="4" t="str">
        <f aca="false">IF($D1635="","",$D1635&amp;"|"&amp;$H1635)</f>
        <v/>
      </c>
    </row>
    <row r="1636" customFormat="false" ht="15" hidden="false" customHeight="false" outlineLevel="0" collapsed="false">
      <c r="K1636" s="4" t="n">
        <f aca="false">IF($J1636="Y","",IF($F1636="BW",$I1636,$H1636*$I1636))</f>
        <v>0</v>
      </c>
      <c r="L1636" s="4" t="str">
        <f aca="false">IF($D1636="","",$D1636&amp;"|"&amp;$H1636)</f>
        <v/>
      </c>
    </row>
    <row r="1637" customFormat="false" ht="15" hidden="false" customHeight="false" outlineLevel="0" collapsed="false">
      <c r="K1637" s="4" t="n">
        <f aca="false">IF($J1637="Y","",IF($F1637="BW",$I1637,$H1637*$I1637))</f>
        <v>0</v>
      </c>
      <c r="L1637" s="4" t="str">
        <f aca="false">IF($D1637="","",$D1637&amp;"|"&amp;$H1637)</f>
        <v/>
      </c>
    </row>
    <row r="1638" customFormat="false" ht="15" hidden="false" customHeight="false" outlineLevel="0" collapsed="false">
      <c r="K1638" s="4" t="n">
        <f aca="false">IF($J1638="Y","",IF($F1638="BW",$I1638,$H1638*$I1638))</f>
        <v>0</v>
      </c>
      <c r="L1638" s="4" t="str">
        <f aca="false">IF($D1638="","",$D1638&amp;"|"&amp;$H1638)</f>
        <v/>
      </c>
    </row>
    <row r="1639" customFormat="false" ht="15" hidden="false" customHeight="false" outlineLevel="0" collapsed="false">
      <c r="K1639" s="4" t="n">
        <f aca="false">IF($J1639="Y","",IF($F1639="BW",$I1639,$H1639*$I1639))</f>
        <v>0</v>
      </c>
      <c r="L1639" s="4" t="str">
        <f aca="false">IF($D1639="","",$D1639&amp;"|"&amp;$H1639)</f>
        <v/>
      </c>
    </row>
    <row r="1640" customFormat="false" ht="15" hidden="false" customHeight="false" outlineLevel="0" collapsed="false">
      <c r="K1640" s="4" t="n">
        <f aca="false">IF($J1640="Y","",IF($F1640="BW",$I1640,$H1640*$I1640))</f>
        <v>0</v>
      </c>
      <c r="L1640" s="4" t="str">
        <f aca="false">IF($D1640="","",$D1640&amp;"|"&amp;$H1640)</f>
        <v/>
      </c>
    </row>
    <row r="1641" customFormat="false" ht="15" hidden="false" customHeight="false" outlineLevel="0" collapsed="false">
      <c r="K1641" s="4" t="n">
        <f aca="false">IF($J1641="Y","",IF($F1641="BW",$I1641,$H1641*$I1641))</f>
        <v>0</v>
      </c>
      <c r="L1641" s="4" t="str">
        <f aca="false">IF($D1641="","",$D1641&amp;"|"&amp;$H1641)</f>
        <v/>
      </c>
    </row>
    <row r="1642" customFormat="false" ht="15" hidden="false" customHeight="false" outlineLevel="0" collapsed="false">
      <c r="K1642" s="4" t="n">
        <f aca="false">IF($J1642="Y","",IF($F1642="BW",$I1642,$H1642*$I1642))</f>
        <v>0</v>
      </c>
      <c r="L1642" s="4" t="str">
        <f aca="false">IF($D1642="","",$D1642&amp;"|"&amp;$H1642)</f>
        <v/>
      </c>
    </row>
    <row r="1643" customFormat="false" ht="15" hidden="false" customHeight="false" outlineLevel="0" collapsed="false">
      <c r="K1643" s="4" t="n">
        <f aca="false">IF($J1643="Y","",IF($F1643="BW",$I1643,$H1643*$I1643))</f>
        <v>0</v>
      </c>
      <c r="L1643" s="4" t="str">
        <f aca="false">IF($D1643="","",$D1643&amp;"|"&amp;$H1643)</f>
        <v/>
      </c>
    </row>
    <row r="1644" customFormat="false" ht="15" hidden="false" customHeight="false" outlineLevel="0" collapsed="false">
      <c r="K1644" s="4" t="n">
        <f aca="false">IF($J1644="Y","",IF($F1644="BW",$I1644,$H1644*$I1644))</f>
        <v>0</v>
      </c>
      <c r="L1644" s="4" t="str">
        <f aca="false">IF($D1644="","",$D1644&amp;"|"&amp;$H1644)</f>
        <v/>
      </c>
    </row>
    <row r="1645" customFormat="false" ht="15" hidden="false" customHeight="false" outlineLevel="0" collapsed="false">
      <c r="K1645" s="4" t="n">
        <f aca="false">IF($J1645="Y","",IF($F1645="BW",$I1645,$H1645*$I1645))</f>
        <v>0</v>
      </c>
      <c r="L1645" s="4" t="str">
        <f aca="false">IF($D1645="","",$D1645&amp;"|"&amp;$H1645)</f>
        <v/>
      </c>
    </row>
    <row r="1646" customFormat="false" ht="15" hidden="false" customHeight="false" outlineLevel="0" collapsed="false">
      <c r="K1646" s="4" t="n">
        <f aca="false">IF($J1646="Y","",IF($F1646="BW",$I1646,$H1646*$I1646))</f>
        <v>0</v>
      </c>
      <c r="L1646" s="4" t="str">
        <f aca="false">IF($D1646="","",$D1646&amp;"|"&amp;$H1646)</f>
        <v/>
      </c>
    </row>
    <row r="1647" customFormat="false" ht="15" hidden="false" customHeight="false" outlineLevel="0" collapsed="false">
      <c r="K1647" s="4" t="n">
        <f aca="false">IF($J1647="Y","",IF($F1647="BW",$I1647,$H1647*$I1647))</f>
        <v>0</v>
      </c>
      <c r="L1647" s="4" t="str">
        <f aca="false">IF($D1647="","",$D1647&amp;"|"&amp;$H1647)</f>
        <v/>
      </c>
    </row>
    <row r="1648" customFormat="false" ht="15" hidden="false" customHeight="false" outlineLevel="0" collapsed="false">
      <c r="K1648" s="4" t="n">
        <f aca="false">IF($J1648="Y","",IF($F1648="BW",$I1648,$H1648*$I1648))</f>
        <v>0</v>
      </c>
      <c r="L1648" s="4" t="str">
        <f aca="false">IF($D1648="","",$D1648&amp;"|"&amp;$H1648)</f>
        <v/>
      </c>
    </row>
    <row r="1649" customFormat="false" ht="15" hidden="false" customHeight="false" outlineLevel="0" collapsed="false">
      <c r="K1649" s="4" t="n">
        <f aca="false">IF($J1649="Y","",IF($F1649="BW",$I1649,$H1649*$I1649))</f>
        <v>0</v>
      </c>
      <c r="L1649" s="4" t="str">
        <f aca="false">IF($D1649="","",$D1649&amp;"|"&amp;$H1649)</f>
        <v/>
      </c>
    </row>
    <row r="1650" customFormat="false" ht="15" hidden="false" customHeight="false" outlineLevel="0" collapsed="false">
      <c r="K1650" s="4" t="n">
        <f aca="false">IF($J1650="Y","",IF($F1650="BW",$I1650,$H1650*$I1650))</f>
        <v>0</v>
      </c>
      <c r="L1650" s="4" t="str">
        <f aca="false">IF($D1650="","",$D1650&amp;"|"&amp;$H1650)</f>
        <v/>
      </c>
    </row>
    <row r="1651" customFormat="false" ht="15" hidden="false" customHeight="false" outlineLevel="0" collapsed="false">
      <c r="K1651" s="4" t="n">
        <f aca="false">IF($J1651="Y","",IF($F1651="BW",$I1651,$H1651*$I1651))</f>
        <v>0</v>
      </c>
      <c r="L1651" s="4" t="str">
        <f aca="false">IF($D1651="","",$D1651&amp;"|"&amp;$H1651)</f>
        <v/>
      </c>
    </row>
    <row r="1652" customFormat="false" ht="15" hidden="false" customHeight="false" outlineLevel="0" collapsed="false">
      <c r="K1652" s="4" t="n">
        <f aca="false">IF($J1652="Y","",IF($F1652="BW",$I1652,$H1652*$I1652))</f>
        <v>0</v>
      </c>
      <c r="L1652" s="4" t="str">
        <f aca="false">IF($D1652="","",$D1652&amp;"|"&amp;$H1652)</f>
        <v/>
      </c>
    </row>
    <row r="1653" customFormat="false" ht="15" hidden="false" customHeight="false" outlineLevel="0" collapsed="false">
      <c r="K1653" s="4" t="n">
        <f aca="false">IF($J1653="Y","",IF($F1653="BW",$I1653,$H1653*$I1653))</f>
        <v>0</v>
      </c>
      <c r="L1653" s="4" t="str">
        <f aca="false">IF($D1653="","",$D1653&amp;"|"&amp;$H1653)</f>
        <v/>
      </c>
    </row>
    <row r="1654" customFormat="false" ht="15" hidden="false" customHeight="false" outlineLevel="0" collapsed="false">
      <c r="K1654" s="4" t="n">
        <f aca="false">IF($J1654="Y","",IF($F1654="BW",$I1654,$H1654*$I1654))</f>
        <v>0</v>
      </c>
      <c r="L1654" s="4" t="str">
        <f aca="false">IF($D1654="","",$D1654&amp;"|"&amp;$H1654)</f>
        <v/>
      </c>
    </row>
    <row r="1655" customFormat="false" ht="15" hidden="false" customHeight="false" outlineLevel="0" collapsed="false">
      <c r="K1655" s="4" t="n">
        <f aca="false">IF($J1655="Y","",IF($F1655="BW",$I1655,$H1655*$I1655))</f>
        <v>0</v>
      </c>
      <c r="L1655" s="4" t="str">
        <f aca="false">IF($D1655="","",$D1655&amp;"|"&amp;$H1655)</f>
        <v/>
      </c>
    </row>
    <row r="1656" customFormat="false" ht="15" hidden="false" customHeight="false" outlineLevel="0" collapsed="false">
      <c r="K1656" s="4" t="n">
        <f aca="false">IF($J1656="Y","",IF($F1656="BW",$I1656,$H1656*$I1656))</f>
        <v>0</v>
      </c>
      <c r="L1656" s="4" t="str">
        <f aca="false">IF($D1656="","",$D1656&amp;"|"&amp;$H1656)</f>
        <v/>
      </c>
    </row>
    <row r="1657" customFormat="false" ht="15" hidden="false" customHeight="false" outlineLevel="0" collapsed="false">
      <c r="K1657" s="4" t="n">
        <f aca="false">IF($J1657="Y","",IF($F1657="BW",$I1657,$H1657*$I1657))</f>
        <v>0</v>
      </c>
      <c r="L1657" s="4" t="str">
        <f aca="false">IF($D1657="","",$D1657&amp;"|"&amp;$H1657)</f>
        <v/>
      </c>
    </row>
    <row r="1658" customFormat="false" ht="15" hidden="false" customHeight="false" outlineLevel="0" collapsed="false">
      <c r="K1658" s="4" t="n">
        <f aca="false">IF($J1658="Y","",IF($F1658="BW",$I1658,$H1658*$I1658))</f>
        <v>0</v>
      </c>
      <c r="L1658" s="4" t="str">
        <f aca="false">IF($D1658="","",$D1658&amp;"|"&amp;$H1658)</f>
        <v/>
      </c>
    </row>
    <row r="1659" customFormat="false" ht="15" hidden="false" customHeight="false" outlineLevel="0" collapsed="false">
      <c r="K1659" s="4" t="n">
        <f aca="false">IF($J1659="Y","",IF($F1659="BW",$I1659,$H1659*$I1659))</f>
        <v>0</v>
      </c>
      <c r="L1659" s="4" t="str">
        <f aca="false">IF($D1659="","",$D1659&amp;"|"&amp;$H1659)</f>
        <v/>
      </c>
    </row>
    <row r="1660" customFormat="false" ht="15" hidden="false" customHeight="false" outlineLevel="0" collapsed="false">
      <c r="K1660" s="4" t="n">
        <f aca="false">IF($J1660="Y","",IF($F1660="BW",$I1660,$H1660*$I1660))</f>
        <v>0</v>
      </c>
      <c r="L1660" s="4" t="str">
        <f aca="false">IF($D1660="","",$D1660&amp;"|"&amp;$H1660)</f>
        <v/>
      </c>
    </row>
    <row r="1661" customFormat="false" ht="15" hidden="false" customHeight="false" outlineLevel="0" collapsed="false">
      <c r="K1661" s="4" t="n">
        <f aca="false">IF($J1661="Y","",IF($F1661="BW",$I1661,$H1661*$I1661))</f>
        <v>0</v>
      </c>
      <c r="L1661" s="4" t="str">
        <f aca="false">IF($D1661="","",$D1661&amp;"|"&amp;$H1661)</f>
        <v/>
      </c>
    </row>
    <row r="1662" customFormat="false" ht="15" hidden="false" customHeight="false" outlineLevel="0" collapsed="false">
      <c r="K1662" s="4" t="n">
        <f aca="false">IF($J1662="Y","",IF($F1662="BW",$I1662,$H1662*$I1662))</f>
        <v>0</v>
      </c>
      <c r="L1662" s="4" t="str">
        <f aca="false">IF($D1662="","",$D1662&amp;"|"&amp;$H1662)</f>
        <v/>
      </c>
    </row>
    <row r="1663" customFormat="false" ht="15" hidden="false" customHeight="false" outlineLevel="0" collapsed="false">
      <c r="K1663" s="4" t="n">
        <f aca="false">IF($J1663="Y","",IF($F1663="BW",$I1663,$H1663*$I1663))</f>
        <v>0</v>
      </c>
      <c r="L1663" s="4" t="str">
        <f aca="false">IF($D1663="","",$D1663&amp;"|"&amp;$H1663)</f>
        <v/>
      </c>
    </row>
    <row r="1664" customFormat="false" ht="15" hidden="false" customHeight="false" outlineLevel="0" collapsed="false">
      <c r="K1664" s="4" t="n">
        <f aca="false">IF($J1664="Y","",IF($F1664="BW",$I1664,$H1664*$I1664))</f>
        <v>0</v>
      </c>
      <c r="L1664" s="4" t="str">
        <f aca="false">IF($D1664="","",$D1664&amp;"|"&amp;$H1664)</f>
        <v/>
      </c>
    </row>
    <row r="1665" customFormat="false" ht="15" hidden="false" customHeight="false" outlineLevel="0" collapsed="false">
      <c r="K1665" s="4" t="n">
        <f aca="false">IF($J1665="Y","",IF($F1665="BW",$I1665,$H1665*$I1665))</f>
        <v>0</v>
      </c>
      <c r="L1665" s="4" t="str">
        <f aca="false">IF($D1665="","",$D1665&amp;"|"&amp;$H1665)</f>
        <v/>
      </c>
    </row>
    <row r="1666" customFormat="false" ht="15" hidden="false" customHeight="false" outlineLevel="0" collapsed="false">
      <c r="K1666" s="4" t="n">
        <f aca="false">IF($J1666="Y","",IF($F1666="BW",$I1666,$H1666*$I1666))</f>
        <v>0</v>
      </c>
      <c r="L1666" s="4" t="str">
        <f aca="false">IF($D1666="","",$D1666&amp;"|"&amp;$H1666)</f>
        <v/>
      </c>
    </row>
    <row r="1667" customFormat="false" ht="15" hidden="false" customHeight="false" outlineLevel="0" collapsed="false">
      <c r="K1667" s="4" t="n">
        <f aca="false">IF($J1667="Y","",IF($F1667="BW",$I1667,$H1667*$I1667))</f>
        <v>0</v>
      </c>
      <c r="L1667" s="4" t="str">
        <f aca="false">IF($D1667="","",$D1667&amp;"|"&amp;$H1667)</f>
        <v/>
      </c>
    </row>
    <row r="1668" customFormat="false" ht="15" hidden="false" customHeight="false" outlineLevel="0" collapsed="false">
      <c r="K1668" s="4" t="n">
        <f aca="false">IF($J1668="Y","",IF($F1668="BW",$I1668,$H1668*$I1668))</f>
        <v>0</v>
      </c>
      <c r="L1668" s="4" t="str">
        <f aca="false">IF($D1668="","",$D1668&amp;"|"&amp;$H1668)</f>
        <v/>
      </c>
    </row>
    <row r="1669" customFormat="false" ht="15" hidden="false" customHeight="false" outlineLevel="0" collapsed="false">
      <c r="K1669" s="4" t="n">
        <f aca="false">IF($J1669="Y","",IF($F1669="BW",$I1669,$H1669*$I1669))</f>
        <v>0</v>
      </c>
      <c r="L1669" s="4" t="str">
        <f aca="false">IF($D1669="","",$D1669&amp;"|"&amp;$H1669)</f>
        <v/>
      </c>
    </row>
    <row r="1670" customFormat="false" ht="15" hidden="false" customHeight="false" outlineLevel="0" collapsed="false">
      <c r="K1670" s="4" t="n">
        <f aca="false">IF($J1670="Y","",IF($F1670="BW",$I1670,$H1670*$I1670))</f>
        <v>0</v>
      </c>
      <c r="L1670" s="4" t="str">
        <f aca="false">IF($D1670="","",$D1670&amp;"|"&amp;$H1670)</f>
        <v/>
      </c>
    </row>
    <row r="1671" customFormat="false" ht="15" hidden="false" customHeight="false" outlineLevel="0" collapsed="false">
      <c r="K1671" s="4" t="n">
        <f aca="false">IF($J1671="Y","",IF($F1671="BW",$I1671,$H1671*$I1671))</f>
        <v>0</v>
      </c>
      <c r="L1671" s="4" t="str">
        <f aca="false">IF($D1671="","",$D1671&amp;"|"&amp;$H1671)</f>
        <v/>
      </c>
    </row>
    <row r="1672" customFormat="false" ht="15" hidden="false" customHeight="false" outlineLevel="0" collapsed="false">
      <c r="K1672" s="4" t="n">
        <f aca="false">IF($J1672="Y","",IF($F1672="BW",$I1672,$H1672*$I1672))</f>
        <v>0</v>
      </c>
      <c r="L1672" s="4" t="str">
        <f aca="false">IF($D1672="","",$D1672&amp;"|"&amp;$H1672)</f>
        <v/>
      </c>
    </row>
    <row r="1673" customFormat="false" ht="15" hidden="false" customHeight="false" outlineLevel="0" collapsed="false">
      <c r="K1673" s="4" t="n">
        <f aca="false">IF($J1673="Y","",IF($F1673="BW",$I1673,$H1673*$I1673))</f>
        <v>0</v>
      </c>
      <c r="L1673" s="4" t="str">
        <f aca="false">IF($D1673="","",$D1673&amp;"|"&amp;$H1673)</f>
        <v/>
      </c>
    </row>
    <row r="1674" customFormat="false" ht="15" hidden="false" customHeight="false" outlineLevel="0" collapsed="false">
      <c r="K1674" s="4" t="n">
        <f aca="false">IF($J1674="Y","",IF($F1674="BW",$I1674,$H1674*$I1674))</f>
        <v>0</v>
      </c>
      <c r="L1674" s="4" t="str">
        <f aca="false">IF($D1674="","",$D1674&amp;"|"&amp;$H1674)</f>
        <v/>
      </c>
    </row>
    <row r="1675" customFormat="false" ht="15" hidden="false" customHeight="false" outlineLevel="0" collapsed="false">
      <c r="K1675" s="4" t="n">
        <f aca="false">IF($J1675="Y","",IF($F1675="BW",$I1675,$H1675*$I1675))</f>
        <v>0</v>
      </c>
      <c r="L1675" s="4" t="str">
        <f aca="false">IF($D1675="","",$D1675&amp;"|"&amp;$H1675)</f>
        <v/>
      </c>
    </row>
    <row r="1676" customFormat="false" ht="15" hidden="false" customHeight="false" outlineLevel="0" collapsed="false">
      <c r="K1676" s="4" t="n">
        <f aca="false">IF($J1676="Y","",IF($F1676="BW",$I1676,$H1676*$I1676))</f>
        <v>0</v>
      </c>
      <c r="L1676" s="4" t="str">
        <f aca="false">IF($D1676="","",$D1676&amp;"|"&amp;$H1676)</f>
        <v/>
      </c>
    </row>
    <row r="1677" customFormat="false" ht="15" hidden="false" customHeight="false" outlineLevel="0" collapsed="false">
      <c r="K1677" s="4" t="n">
        <f aca="false">IF($J1677="Y","",IF($F1677="BW",$I1677,$H1677*$I1677))</f>
        <v>0</v>
      </c>
      <c r="L1677" s="4" t="str">
        <f aca="false">IF($D1677="","",$D1677&amp;"|"&amp;$H1677)</f>
        <v/>
      </c>
    </row>
    <row r="1678" customFormat="false" ht="15" hidden="false" customHeight="false" outlineLevel="0" collapsed="false">
      <c r="K1678" s="4" t="n">
        <f aca="false">IF($J1678="Y","",IF($F1678="BW",$I1678,$H1678*$I1678))</f>
        <v>0</v>
      </c>
      <c r="L1678" s="4" t="str">
        <f aca="false">IF($D1678="","",$D1678&amp;"|"&amp;$H1678)</f>
        <v/>
      </c>
    </row>
    <row r="1679" customFormat="false" ht="15" hidden="false" customHeight="false" outlineLevel="0" collapsed="false">
      <c r="K1679" s="4" t="n">
        <f aca="false">IF($J1679="Y","",IF($F1679="BW",$I1679,$H1679*$I1679))</f>
        <v>0</v>
      </c>
      <c r="L1679" s="4" t="str">
        <f aca="false">IF($D1679="","",$D1679&amp;"|"&amp;$H1679)</f>
        <v/>
      </c>
    </row>
    <row r="1680" customFormat="false" ht="15" hidden="false" customHeight="false" outlineLevel="0" collapsed="false">
      <c r="K1680" s="4" t="n">
        <f aca="false">IF($J1680="Y","",IF($F1680="BW",$I1680,$H1680*$I1680))</f>
        <v>0</v>
      </c>
      <c r="L1680" s="4" t="str">
        <f aca="false">IF($D1680="","",$D1680&amp;"|"&amp;$H1680)</f>
        <v/>
      </c>
    </row>
    <row r="1681" customFormat="false" ht="15" hidden="false" customHeight="false" outlineLevel="0" collapsed="false">
      <c r="K1681" s="4" t="n">
        <f aca="false">IF($J1681="Y","",IF($F1681="BW",$I1681,$H1681*$I1681))</f>
        <v>0</v>
      </c>
      <c r="L1681" s="4" t="str">
        <f aca="false">IF($D1681="","",$D1681&amp;"|"&amp;$H1681)</f>
        <v/>
      </c>
    </row>
    <row r="1682" customFormat="false" ht="15" hidden="false" customHeight="false" outlineLevel="0" collapsed="false">
      <c r="K1682" s="4" t="n">
        <f aca="false">IF($J1682="Y","",IF($F1682="BW",$I1682,$H1682*$I1682))</f>
        <v>0</v>
      </c>
      <c r="L1682" s="4" t="str">
        <f aca="false">IF($D1682="","",$D1682&amp;"|"&amp;$H1682)</f>
        <v/>
      </c>
    </row>
    <row r="1683" customFormat="false" ht="15" hidden="false" customHeight="false" outlineLevel="0" collapsed="false">
      <c r="K1683" s="4" t="n">
        <f aca="false">IF($J1683="Y","",IF($F1683="BW",$I1683,$H1683*$I1683))</f>
        <v>0</v>
      </c>
      <c r="L1683" s="4" t="str">
        <f aca="false">IF($D1683="","",$D1683&amp;"|"&amp;$H1683)</f>
        <v/>
      </c>
    </row>
    <row r="1684" customFormat="false" ht="15" hidden="false" customHeight="false" outlineLevel="0" collapsed="false">
      <c r="K1684" s="4" t="n">
        <f aca="false">IF($J1684="Y","",IF($F1684="BW",$I1684,$H1684*$I1684))</f>
        <v>0</v>
      </c>
      <c r="L1684" s="4" t="str">
        <f aca="false">IF($D1684="","",$D1684&amp;"|"&amp;$H1684)</f>
        <v/>
      </c>
    </row>
    <row r="1685" customFormat="false" ht="15" hidden="false" customHeight="false" outlineLevel="0" collapsed="false">
      <c r="K1685" s="4" t="n">
        <f aca="false">IF($J1685="Y","",IF($F1685="BW",$I1685,$H1685*$I1685))</f>
        <v>0</v>
      </c>
      <c r="L1685" s="4" t="str">
        <f aca="false">IF($D1685="","",$D1685&amp;"|"&amp;$H1685)</f>
        <v/>
      </c>
    </row>
    <row r="1686" customFormat="false" ht="15" hidden="false" customHeight="false" outlineLevel="0" collapsed="false">
      <c r="K1686" s="4" t="n">
        <f aca="false">IF($J1686="Y","",IF($F1686="BW",$I1686,$H1686*$I1686))</f>
        <v>0</v>
      </c>
      <c r="L1686" s="4" t="str">
        <f aca="false">IF($D1686="","",$D1686&amp;"|"&amp;$H1686)</f>
        <v/>
      </c>
    </row>
    <row r="1687" customFormat="false" ht="15" hidden="false" customHeight="false" outlineLevel="0" collapsed="false">
      <c r="K1687" s="4" t="n">
        <f aca="false">IF($J1687="Y","",IF($F1687="BW",$I1687,$H1687*$I1687))</f>
        <v>0</v>
      </c>
      <c r="L1687" s="4" t="str">
        <f aca="false">IF($D1687="","",$D1687&amp;"|"&amp;$H1687)</f>
        <v/>
      </c>
    </row>
    <row r="1688" customFormat="false" ht="15" hidden="false" customHeight="false" outlineLevel="0" collapsed="false">
      <c r="K1688" s="4" t="n">
        <f aca="false">IF($J1688="Y","",IF($F1688="BW",$I1688,$H1688*$I1688))</f>
        <v>0</v>
      </c>
      <c r="L1688" s="4" t="str">
        <f aca="false">IF($D1688="","",$D1688&amp;"|"&amp;$H1688)</f>
        <v/>
      </c>
    </row>
    <row r="1689" customFormat="false" ht="15" hidden="false" customHeight="false" outlineLevel="0" collapsed="false">
      <c r="K1689" s="4" t="n">
        <f aca="false">IF($J1689="Y","",IF($F1689="BW",$I1689,$H1689*$I1689))</f>
        <v>0</v>
      </c>
      <c r="L1689" s="4" t="str">
        <f aca="false">IF($D1689="","",$D1689&amp;"|"&amp;$H1689)</f>
        <v/>
      </c>
    </row>
    <row r="1690" customFormat="false" ht="15" hidden="false" customHeight="false" outlineLevel="0" collapsed="false">
      <c r="K1690" s="4" t="n">
        <f aca="false">IF($J1690="Y","",IF($F1690="BW",$I1690,$H1690*$I1690))</f>
        <v>0</v>
      </c>
      <c r="L1690" s="4" t="str">
        <f aca="false">IF($D1690="","",$D1690&amp;"|"&amp;$H1690)</f>
        <v/>
      </c>
    </row>
    <row r="1691" customFormat="false" ht="15" hidden="false" customHeight="false" outlineLevel="0" collapsed="false">
      <c r="K1691" s="4" t="n">
        <f aca="false">IF($J1691="Y","",IF($F1691="BW",$I1691,$H1691*$I1691))</f>
        <v>0</v>
      </c>
      <c r="L1691" s="4" t="str">
        <f aca="false">IF($D1691="","",$D1691&amp;"|"&amp;$H1691)</f>
        <v/>
      </c>
    </row>
    <row r="1692" customFormat="false" ht="15" hidden="false" customHeight="false" outlineLevel="0" collapsed="false">
      <c r="K1692" s="4" t="n">
        <f aca="false">IF($J1692="Y","",IF($F1692="BW",$I1692,$H1692*$I1692))</f>
        <v>0</v>
      </c>
      <c r="L1692" s="4" t="str">
        <f aca="false">IF($D1692="","",$D1692&amp;"|"&amp;$H1692)</f>
        <v/>
      </c>
    </row>
    <row r="1693" customFormat="false" ht="15" hidden="false" customHeight="false" outlineLevel="0" collapsed="false">
      <c r="K1693" s="4" t="n">
        <f aca="false">IF($J1693="Y","",IF($F1693="BW",$I1693,$H1693*$I1693))</f>
        <v>0</v>
      </c>
      <c r="L1693" s="4" t="str">
        <f aca="false">IF($D1693="","",$D1693&amp;"|"&amp;$H1693)</f>
        <v/>
      </c>
    </row>
    <row r="1694" customFormat="false" ht="15" hidden="false" customHeight="false" outlineLevel="0" collapsed="false">
      <c r="K1694" s="4" t="n">
        <f aca="false">IF($J1694="Y","",IF($F1694="BW",$I1694,$H1694*$I1694))</f>
        <v>0</v>
      </c>
      <c r="L1694" s="4" t="str">
        <f aca="false">IF($D1694="","",$D1694&amp;"|"&amp;$H1694)</f>
        <v/>
      </c>
    </row>
    <row r="1695" customFormat="false" ht="15" hidden="false" customHeight="false" outlineLevel="0" collapsed="false">
      <c r="K1695" s="4" t="n">
        <f aca="false">IF($J1695="Y","",IF($F1695="BW",$I1695,$H1695*$I1695))</f>
        <v>0</v>
      </c>
      <c r="L1695" s="4" t="str">
        <f aca="false">IF($D1695="","",$D1695&amp;"|"&amp;$H1695)</f>
        <v/>
      </c>
    </row>
    <row r="1696" customFormat="false" ht="15" hidden="false" customHeight="false" outlineLevel="0" collapsed="false">
      <c r="K1696" s="4" t="n">
        <f aca="false">IF($J1696="Y","",IF($F1696="BW",$I1696,$H1696*$I1696))</f>
        <v>0</v>
      </c>
      <c r="L1696" s="4" t="str">
        <f aca="false">IF($D1696="","",$D1696&amp;"|"&amp;$H1696)</f>
        <v/>
      </c>
    </row>
    <row r="1697" customFormat="false" ht="15" hidden="false" customHeight="false" outlineLevel="0" collapsed="false">
      <c r="K1697" s="4" t="n">
        <f aca="false">IF($J1697="Y","",IF($F1697="BW",$I1697,$H1697*$I1697))</f>
        <v>0</v>
      </c>
      <c r="L1697" s="4" t="str">
        <f aca="false">IF($D1697="","",$D1697&amp;"|"&amp;$H1697)</f>
        <v/>
      </c>
    </row>
    <row r="1698" customFormat="false" ht="15" hidden="false" customHeight="false" outlineLevel="0" collapsed="false">
      <c r="K1698" s="4" t="n">
        <f aca="false">IF($J1698="Y","",IF($F1698="BW",$I1698,$H1698*$I1698))</f>
        <v>0</v>
      </c>
      <c r="L1698" s="4" t="str">
        <f aca="false">IF($D1698="","",$D1698&amp;"|"&amp;$H1698)</f>
        <v/>
      </c>
    </row>
    <row r="1699" customFormat="false" ht="15" hidden="false" customHeight="false" outlineLevel="0" collapsed="false">
      <c r="K1699" s="4" t="n">
        <f aca="false">IF($J1699="Y","",IF($F1699="BW",$I1699,$H1699*$I1699))</f>
        <v>0</v>
      </c>
      <c r="L1699" s="4" t="str">
        <f aca="false">IF($D1699="","",$D1699&amp;"|"&amp;$H1699)</f>
        <v/>
      </c>
    </row>
    <row r="1700" customFormat="false" ht="15" hidden="false" customHeight="false" outlineLevel="0" collapsed="false">
      <c r="K1700" s="4" t="n">
        <f aca="false">IF($J1700="Y","",IF($F1700="BW",$I1700,$H1700*$I1700))</f>
        <v>0</v>
      </c>
      <c r="L1700" s="4" t="str">
        <f aca="false">IF($D1700="","",$D1700&amp;"|"&amp;$H1700)</f>
        <v/>
      </c>
    </row>
    <row r="1701" customFormat="false" ht="15" hidden="false" customHeight="false" outlineLevel="0" collapsed="false">
      <c r="K1701" s="4" t="n">
        <f aca="false">IF($J1701="Y","",IF($F1701="BW",$I1701,$H1701*$I1701))</f>
        <v>0</v>
      </c>
      <c r="L1701" s="4" t="str">
        <f aca="false">IF($D1701="","",$D1701&amp;"|"&amp;$H1701)</f>
        <v/>
      </c>
    </row>
    <row r="1702" customFormat="false" ht="15" hidden="false" customHeight="false" outlineLevel="0" collapsed="false">
      <c r="K1702" s="4" t="n">
        <f aca="false">IF($J1702="Y","",IF($F1702="BW",$I1702,$H1702*$I1702))</f>
        <v>0</v>
      </c>
      <c r="L1702" s="4" t="str">
        <f aca="false">IF($D1702="","",$D1702&amp;"|"&amp;$H1702)</f>
        <v/>
      </c>
    </row>
    <row r="1703" customFormat="false" ht="15" hidden="false" customHeight="false" outlineLevel="0" collapsed="false">
      <c r="K1703" s="4" t="n">
        <f aca="false">IF($J1703="Y","",IF($F1703="BW",$I1703,$H1703*$I1703))</f>
        <v>0</v>
      </c>
      <c r="L1703" s="4" t="str">
        <f aca="false">IF($D1703="","",$D1703&amp;"|"&amp;$H1703)</f>
        <v/>
      </c>
    </row>
    <row r="1704" customFormat="false" ht="15" hidden="false" customHeight="false" outlineLevel="0" collapsed="false">
      <c r="K1704" s="4" t="n">
        <f aca="false">IF($J1704="Y","",IF($F1704="BW",$I1704,$H1704*$I1704))</f>
        <v>0</v>
      </c>
      <c r="L1704" s="4" t="str">
        <f aca="false">IF($D1704="","",$D1704&amp;"|"&amp;$H1704)</f>
        <v/>
      </c>
    </row>
    <row r="1705" customFormat="false" ht="15" hidden="false" customHeight="false" outlineLevel="0" collapsed="false">
      <c r="K1705" s="4" t="n">
        <f aca="false">IF($J1705="Y","",IF($F1705="BW",$I1705,$H1705*$I1705))</f>
        <v>0</v>
      </c>
      <c r="L1705" s="4" t="str">
        <f aca="false">IF($D1705="","",$D1705&amp;"|"&amp;$H1705)</f>
        <v/>
      </c>
    </row>
    <row r="1706" customFormat="false" ht="15" hidden="false" customHeight="false" outlineLevel="0" collapsed="false">
      <c r="K1706" s="4" t="n">
        <f aca="false">IF($J1706="Y","",IF($F1706="BW",$I1706,$H1706*$I1706))</f>
        <v>0</v>
      </c>
      <c r="L1706" s="4" t="str">
        <f aca="false">IF($D1706="","",$D1706&amp;"|"&amp;$H1706)</f>
        <v/>
      </c>
    </row>
    <row r="1707" customFormat="false" ht="15" hidden="false" customHeight="false" outlineLevel="0" collapsed="false">
      <c r="K1707" s="4" t="n">
        <f aca="false">IF($J1707="Y","",IF($F1707="BW",$I1707,$H1707*$I1707))</f>
        <v>0</v>
      </c>
      <c r="L1707" s="4" t="str">
        <f aca="false">IF($D1707="","",$D1707&amp;"|"&amp;$H1707)</f>
        <v/>
      </c>
    </row>
    <row r="1708" customFormat="false" ht="15" hidden="false" customHeight="false" outlineLevel="0" collapsed="false">
      <c r="K1708" s="4" t="n">
        <f aca="false">IF($J1708="Y","",IF($F1708="BW",$I1708,$H1708*$I1708))</f>
        <v>0</v>
      </c>
      <c r="L1708" s="4" t="str">
        <f aca="false">IF($D1708="","",$D1708&amp;"|"&amp;$H1708)</f>
        <v/>
      </c>
    </row>
    <row r="1709" customFormat="false" ht="15" hidden="false" customHeight="false" outlineLevel="0" collapsed="false">
      <c r="K1709" s="4" t="n">
        <f aca="false">IF($J1709="Y","",IF($F1709="BW",$I1709,$H1709*$I1709))</f>
        <v>0</v>
      </c>
      <c r="L1709" s="4" t="str">
        <f aca="false">IF($D1709="","",$D1709&amp;"|"&amp;$H1709)</f>
        <v/>
      </c>
    </row>
    <row r="1710" customFormat="false" ht="15" hidden="false" customHeight="false" outlineLevel="0" collapsed="false">
      <c r="K1710" s="4" t="n">
        <f aca="false">IF($J1710="Y","",IF($F1710="BW",$I1710,$H1710*$I1710))</f>
        <v>0</v>
      </c>
      <c r="L1710" s="4" t="str">
        <f aca="false">IF($D1710="","",$D1710&amp;"|"&amp;$H1710)</f>
        <v/>
      </c>
    </row>
    <row r="1711" customFormat="false" ht="15" hidden="false" customHeight="false" outlineLevel="0" collapsed="false">
      <c r="K1711" s="4" t="n">
        <f aca="false">IF($J1711="Y","",IF($F1711="BW",$I1711,$H1711*$I1711))</f>
        <v>0</v>
      </c>
      <c r="L1711" s="4" t="str">
        <f aca="false">IF($D1711="","",$D1711&amp;"|"&amp;$H1711)</f>
        <v/>
      </c>
    </row>
    <row r="1712" customFormat="false" ht="15" hidden="false" customHeight="false" outlineLevel="0" collapsed="false">
      <c r="K1712" s="4" t="n">
        <f aca="false">IF($J1712="Y","",IF($F1712="BW",$I1712,$H1712*$I1712))</f>
        <v>0</v>
      </c>
      <c r="L1712" s="4" t="str">
        <f aca="false">IF($D1712="","",$D1712&amp;"|"&amp;$H1712)</f>
        <v/>
      </c>
    </row>
    <row r="1713" customFormat="false" ht="15" hidden="false" customHeight="false" outlineLevel="0" collapsed="false">
      <c r="K1713" s="4" t="n">
        <f aca="false">IF($J1713="Y","",IF($F1713="BW",$I1713,$H1713*$I1713))</f>
        <v>0</v>
      </c>
      <c r="L1713" s="4" t="str">
        <f aca="false">IF($D1713="","",$D1713&amp;"|"&amp;$H1713)</f>
        <v/>
      </c>
    </row>
    <row r="1714" customFormat="false" ht="15" hidden="false" customHeight="false" outlineLevel="0" collapsed="false">
      <c r="K1714" s="4" t="n">
        <f aca="false">IF($J1714="Y","",IF($F1714="BW",$I1714,$H1714*$I1714))</f>
        <v>0</v>
      </c>
      <c r="L1714" s="4" t="str">
        <f aca="false">IF($D1714="","",$D1714&amp;"|"&amp;$H1714)</f>
        <v/>
      </c>
    </row>
    <row r="1715" customFormat="false" ht="15" hidden="false" customHeight="false" outlineLevel="0" collapsed="false">
      <c r="K1715" s="4" t="n">
        <f aca="false">IF($J1715="Y","",IF($F1715="BW",$I1715,$H1715*$I1715))</f>
        <v>0</v>
      </c>
      <c r="L1715" s="4" t="str">
        <f aca="false">IF($D1715="","",$D1715&amp;"|"&amp;$H1715)</f>
        <v/>
      </c>
    </row>
    <row r="1716" customFormat="false" ht="15" hidden="false" customHeight="false" outlineLevel="0" collapsed="false">
      <c r="K1716" s="4" t="n">
        <f aca="false">IF($J1716="Y","",IF($F1716="BW",$I1716,$H1716*$I1716))</f>
        <v>0</v>
      </c>
      <c r="L1716" s="4" t="str">
        <f aca="false">IF($D1716="","",$D1716&amp;"|"&amp;$H1716)</f>
        <v/>
      </c>
    </row>
    <row r="1717" customFormat="false" ht="15" hidden="false" customHeight="false" outlineLevel="0" collapsed="false">
      <c r="K1717" s="4" t="n">
        <f aca="false">IF($J1717="Y","",IF($F1717="BW",$I1717,$H1717*$I1717))</f>
        <v>0</v>
      </c>
      <c r="L1717" s="4" t="str">
        <f aca="false">IF($D1717="","",$D1717&amp;"|"&amp;$H1717)</f>
        <v/>
      </c>
    </row>
    <row r="1718" customFormat="false" ht="15" hidden="false" customHeight="false" outlineLevel="0" collapsed="false">
      <c r="K1718" s="4" t="n">
        <f aca="false">IF($J1718="Y","",IF($F1718="BW",$I1718,$H1718*$I1718))</f>
        <v>0</v>
      </c>
      <c r="L1718" s="4" t="str">
        <f aca="false">IF($D1718="","",$D1718&amp;"|"&amp;$H1718)</f>
        <v/>
      </c>
    </row>
    <row r="1719" customFormat="false" ht="15" hidden="false" customHeight="false" outlineLevel="0" collapsed="false">
      <c r="K1719" s="4" t="n">
        <f aca="false">IF($J1719="Y","",IF($F1719="BW",$I1719,$H1719*$I1719))</f>
        <v>0</v>
      </c>
      <c r="L1719" s="4" t="str">
        <f aca="false">IF($D1719="","",$D1719&amp;"|"&amp;$H1719)</f>
        <v/>
      </c>
    </row>
    <row r="1720" customFormat="false" ht="15" hidden="false" customHeight="false" outlineLevel="0" collapsed="false">
      <c r="K1720" s="4" t="n">
        <f aca="false">IF($J1720="Y","",IF($F1720="BW",$I1720,$H1720*$I1720))</f>
        <v>0</v>
      </c>
      <c r="L1720" s="4" t="str">
        <f aca="false">IF($D1720="","",$D1720&amp;"|"&amp;$H1720)</f>
        <v/>
      </c>
    </row>
    <row r="1721" customFormat="false" ht="15" hidden="false" customHeight="false" outlineLevel="0" collapsed="false">
      <c r="K1721" s="4" t="n">
        <f aca="false">IF($J1721="Y","",IF($F1721="BW",$I1721,$H1721*$I1721))</f>
        <v>0</v>
      </c>
      <c r="L1721" s="4" t="str">
        <f aca="false">IF($D1721="","",$D1721&amp;"|"&amp;$H1721)</f>
        <v/>
      </c>
    </row>
    <row r="1722" customFormat="false" ht="15" hidden="false" customHeight="false" outlineLevel="0" collapsed="false">
      <c r="K1722" s="4" t="n">
        <f aca="false">IF($J1722="Y","",IF($F1722="BW",$I1722,$H1722*$I1722))</f>
        <v>0</v>
      </c>
      <c r="L1722" s="4" t="str">
        <f aca="false">IF($D1722="","",$D1722&amp;"|"&amp;$H1722)</f>
        <v/>
      </c>
    </row>
    <row r="1723" customFormat="false" ht="15" hidden="false" customHeight="false" outlineLevel="0" collapsed="false">
      <c r="K1723" s="4" t="n">
        <f aca="false">IF($J1723="Y","",IF($F1723="BW",$I1723,$H1723*$I1723))</f>
        <v>0</v>
      </c>
      <c r="L1723" s="4" t="str">
        <f aca="false">IF($D1723="","",$D1723&amp;"|"&amp;$H1723)</f>
        <v/>
      </c>
    </row>
    <row r="1724" customFormat="false" ht="15" hidden="false" customHeight="false" outlineLevel="0" collapsed="false">
      <c r="K1724" s="4" t="n">
        <f aca="false">IF($J1724="Y","",IF($F1724="BW",$I1724,$H1724*$I1724))</f>
        <v>0</v>
      </c>
      <c r="L1724" s="4" t="str">
        <f aca="false">IF($D1724="","",$D1724&amp;"|"&amp;$H1724)</f>
        <v/>
      </c>
    </row>
    <row r="1725" customFormat="false" ht="15" hidden="false" customHeight="false" outlineLevel="0" collapsed="false">
      <c r="K1725" s="4" t="n">
        <f aca="false">IF($J1725="Y","",IF($F1725="BW",$I1725,$H1725*$I1725))</f>
        <v>0</v>
      </c>
      <c r="L1725" s="4" t="str">
        <f aca="false">IF($D1725="","",$D1725&amp;"|"&amp;$H1725)</f>
        <v/>
      </c>
    </row>
    <row r="1726" customFormat="false" ht="15" hidden="false" customHeight="false" outlineLevel="0" collapsed="false">
      <c r="K1726" s="4" t="n">
        <f aca="false">IF($J1726="Y","",IF($F1726="BW",$I1726,$H1726*$I1726))</f>
        <v>0</v>
      </c>
      <c r="L1726" s="4" t="str">
        <f aca="false">IF($D1726="","",$D1726&amp;"|"&amp;$H1726)</f>
        <v/>
      </c>
    </row>
    <row r="1727" customFormat="false" ht="15" hidden="false" customHeight="false" outlineLevel="0" collapsed="false">
      <c r="K1727" s="4" t="n">
        <f aca="false">IF($J1727="Y","",IF($F1727="BW",$I1727,$H1727*$I1727))</f>
        <v>0</v>
      </c>
      <c r="L1727" s="4" t="str">
        <f aca="false">IF($D1727="","",$D1727&amp;"|"&amp;$H1727)</f>
        <v/>
      </c>
    </row>
    <row r="1728" customFormat="false" ht="15" hidden="false" customHeight="false" outlineLevel="0" collapsed="false">
      <c r="K1728" s="4" t="n">
        <f aca="false">IF($J1728="Y","",IF($F1728="BW",$I1728,$H1728*$I1728))</f>
        <v>0</v>
      </c>
      <c r="L1728" s="4" t="str">
        <f aca="false">IF($D1728="","",$D1728&amp;"|"&amp;$H1728)</f>
        <v/>
      </c>
    </row>
    <row r="1729" customFormat="false" ht="15" hidden="false" customHeight="false" outlineLevel="0" collapsed="false">
      <c r="K1729" s="4" t="n">
        <f aca="false">IF($J1729="Y","",IF($F1729="BW",$I1729,$H1729*$I1729))</f>
        <v>0</v>
      </c>
      <c r="L1729" s="4" t="str">
        <f aca="false">IF($D1729="","",$D1729&amp;"|"&amp;$H1729)</f>
        <v/>
      </c>
    </row>
    <row r="1730" customFormat="false" ht="15" hidden="false" customHeight="false" outlineLevel="0" collapsed="false">
      <c r="K1730" s="4" t="n">
        <f aca="false">IF($J1730="Y","",IF($F1730="BW",$I1730,$H1730*$I1730))</f>
        <v>0</v>
      </c>
      <c r="L1730" s="4" t="str">
        <f aca="false">IF($D1730="","",$D1730&amp;"|"&amp;$H1730)</f>
        <v/>
      </c>
    </row>
    <row r="1731" customFormat="false" ht="15" hidden="false" customHeight="false" outlineLevel="0" collapsed="false">
      <c r="K1731" s="4" t="n">
        <f aca="false">IF($J1731="Y","",IF($F1731="BW",$I1731,$H1731*$I1731))</f>
        <v>0</v>
      </c>
      <c r="L1731" s="4" t="str">
        <f aca="false">IF($D1731="","",$D1731&amp;"|"&amp;$H1731)</f>
        <v/>
      </c>
    </row>
    <row r="1732" customFormat="false" ht="15" hidden="false" customHeight="false" outlineLevel="0" collapsed="false">
      <c r="K1732" s="4" t="n">
        <f aca="false">IF($J1732="Y","",IF($F1732="BW",$I1732,$H1732*$I1732))</f>
        <v>0</v>
      </c>
      <c r="L1732" s="4" t="str">
        <f aca="false">IF($D1732="","",$D1732&amp;"|"&amp;$H1732)</f>
        <v/>
      </c>
    </row>
    <row r="1733" customFormat="false" ht="15" hidden="false" customHeight="false" outlineLevel="0" collapsed="false">
      <c r="K1733" s="4" t="n">
        <f aca="false">IF($J1733="Y","",IF($F1733="BW",$I1733,$H1733*$I1733))</f>
        <v>0</v>
      </c>
      <c r="L1733" s="4" t="str">
        <f aca="false">IF($D1733="","",$D1733&amp;"|"&amp;$H1733)</f>
        <v/>
      </c>
    </row>
    <row r="1734" customFormat="false" ht="15" hidden="false" customHeight="false" outlineLevel="0" collapsed="false">
      <c r="K1734" s="4" t="n">
        <f aca="false">IF($J1734="Y","",IF($F1734="BW",$I1734,$H1734*$I1734))</f>
        <v>0</v>
      </c>
      <c r="L1734" s="4" t="str">
        <f aca="false">IF($D1734="","",$D1734&amp;"|"&amp;$H1734)</f>
        <v/>
      </c>
    </row>
    <row r="1735" customFormat="false" ht="15" hidden="false" customHeight="false" outlineLevel="0" collapsed="false">
      <c r="K1735" s="4" t="n">
        <f aca="false">IF($J1735="Y","",IF($F1735="BW",$I1735,$H1735*$I1735))</f>
        <v>0</v>
      </c>
      <c r="L1735" s="4" t="str">
        <f aca="false">IF($D1735="","",$D1735&amp;"|"&amp;$H1735)</f>
        <v/>
      </c>
    </row>
    <row r="1736" customFormat="false" ht="15" hidden="false" customHeight="false" outlineLevel="0" collapsed="false">
      <c r="K1736" s="4" t="n">
        <f aca="false">IF($J1736="Y","",IF($F1736="BW",$I1736,$H1736*$I1736))</f>
        <v>0</v>
      </c>
      <c r="L1736" s="4" t="str">
        <f aca="false">IF($D1736="","",$D1736&amp;"|"&amp;$H1736)</f>
        <v/>
      </c>
    </row>
    <row r="1737" customFormat="false" ht="15" hidden="false" customHeight="false" outlineLevel="0" collapsed="false">
      <c r="K1737" s="4" t="n">
        <f aca="false">IF($J1737="Y","",IF($F1737="BW",$I1737,$H1737*$I1737))</f>
        <v>0</v>
      </c>
      <c r="L1737" s="4" t="str">
        <f aca="false">IF($D1737="","",$D1737&amp;"|"&amp;$H1737)</f>
        <v/>
      </c>
    </row>
    <row r="1738" customFormat="false" ht="15" hidden="false" customHeight="false" outlineLevel="0" collapsed="false">
      <c r="K1738" s="4" t="n">
        <f aca="false">IF($J1738="Y","",IF($F1738="BW",$I1738,$H1738*$I1738))</f>
        <v>0</v>
      </c>
      <c r="L1738" s="4" t="str">
        <f aca="false">IF($D1738="","",$D1738&amp;"|"&amp;$H1738)</f>
        <v/>
      </c>
    </row>
    <row r="1739" customFormat="false" ht="15" hidden="false" customHeight="false" outlineLevel="0" collapsed="false">
      <c r="K1739" s="4" t="n">
        <f aca="false">IF($J1739="Y","",IF($F1739="BW",$I1739,$H1739*$I1739))</f>
        <v>0</v>
      </c>
      <c r="L1739" s="4" t="str">
        <f aca="false">IF($D1739="","",$D1739&amp;"|"&amp;$H1739)</f>
        <v/>
      </c>
    </row>
    <row r="1740" customFormat="false" ht="15" hidden="false" customHeight="false" outlineLevel="0" collapsed="false">
      <c r="K1740" s="4" t="n">
        <f aca="false">IF($J1740="Y","",IF($F1740="BW",$I1740,$H1740*$I1740))</f>
        <v>0</v>
      </c>
      <c r="L1740" s="4" t="str">
        <f aca="false">IF($D1740="","",$D1740&amp;"|"&amp;$H1740)</f>
        <v/>
      </c>
    </row>
    <row r="1741" customFormat="false" ht="15" hidden="false" customHeight="false" outlineLevel="0" collapsed="false">
      <c r="K1741" s="4" t="n">
        <f aca="false">IF($J1741="Y","",IF($F1741="BW",$I1741,$H1741*$I1741))</f>
        <v>0</v>
      </c>
      <c r="L1741" s="4" t="str">
        <f aca="false">IF($D1741="","",$D1741&amp;"|"&amp;$H1741)</f>
        <v/>
      </c>
    </row>
    <row r="1742" customFormat="false" ht="15" hidden="false" customHeight="false" outlineLevel="0" collapsed="false">
      <c r="K1742" s="4" t="n">
        <f aca="false">IF($J1742="Y","",IF($F1742="BW",$I1742,$H1742*$I1742))</f>
        <v>0</v>
      </c>
      <c r="L1742" s="4" t="str">
        <f aca="false">IF($D1742="","",$D1742&amp;"|"&amp;$H1742)</f>
        <v/>
      </c>
    </row>
    <row r="1743" customFormat="false" ht="15" hidden="false" customHeight="false" outlineLevel="0" collapsed="false">
      <c r="K1743" s="4" t="n">
        <f aca="false">IF($J1743="Y","",IF($F1743="BW",$I1743,$H1743*$I1743))</f>
        <v>0</v>
      </c>
      <c r="L1743" s="4" t="str">
        <f aca="false">IF($D1743="","",$D1743&amp;"|"&amp;$H1743)</f>
        <v/>
      </c>
    </row>
    <row r="1744" customFormat="false" ht="15" hidden="false" customHeight="false" outlineLevel="0" collapsed="false">
      <c r="K1744" s="4" t="n">
        <f aca="false">IF($J1744="Y","",IF($F1744="BW",$I1744,$H1744*$I1744))</f>
        <v>0</v>
      </c>
      <c r="L1744" s="4" t="str">
        <f aca="false">IF($D1744="","",$D1744&amp;"|"&amp;$H1744)</f>
        <v/>
      </c>
    </row>
    <row r="1745" customFormat="false" ht="15" hidden="false" customHeight="false" outlineLevel="0" collapsed="false">
      <c r="K1745" s="4" t="n">
        <f aca="false">IF($J1745="Y","",IF($F1745="BW",$I1745,$H1745*$I1745))</f>
        <v>0</v>
      </c>
      <c r="L1745" s="4" t="str">
        <f aca="false">IF($D1745="","",$D1745&amp;"|"&amp;$H1745)</f>
        <v/>
      </c>
    </row>
    <row r="1746" customFormat="false" ht="15" hidden="false" customHeight="false" outlineLevel="0" collapsed="false">
      <c r="K1746" s="4" t="n">
        <f aca="false">IF($J1746="Y","",IF($F1746="BW",$I1746,$H1746*$I1746))</f>
        <v>0</v>
      </c>
      <c r="L1746" s="4" t="str">
        <f aca="false">IF($D1746="","",$D1746&amp;"|"&amp;$H1746)</f>
        <v/>
      </c>
    </row>
    <row r="1747" customFormat="false" ht="15" hidden="false" customHeight="false" outlineLevel="0" collapsed="false">
      <c r="K1747" s="4" t="n">
        <f aca="false">IF($J1747="Y","",IF($F1747="BW",$I1747,$H1747*$I1747))</f>
        <v>0</v>
      </c>
      <c r="L1747" s="4" t="str">
        <f aca="false">IF($D1747="","",$D1747&amp;"|"&amp;$H1747)</f>
        <v/>
      </c>
    </row>
    <row r="1748" customFormat="false" ht="15" hidden="false" customHeight="false" outlineLevel="0" collapsed="false">
      <c r="K1748" s="4" t="n">
        <f aca="false">IF($J1748="Y","",IF($F1748="BW",$I1748,$H1748*$I1748))</f>
        <v>0</v>
      </c>
      <c r="L1748" s="4" t="str">
        <f aca="false">IF($D1748="","",$D1748&amp;"|"&amp;$H1748)</f>
        <v/>
      </c>
    </row>
    <row r="1749" customFormat="false" ht="15" hidden="false" customHeight="false" outlineLevel="0" collapsed="false">
      <c r="K1749" s="4" t="n">
        <f aca="false">IF($J1749="Y","",IF($F1749="BW",$I1749,$H1749*$I1749))</f>
        <v>0</v>
      </c>
      <c r="L1749" s="4" t="str">
        <f aca="false">IF($D1749="","",$D1749&amp;"|"&amp;$H1749)</f>
        <v/>
      </c>
    </row>
    <row r="1750" customFormat="false" ht="15" hidden="false" customHeight="false" outlineLevel="0" collapsed="false">
      <c r="K1750" s="4" t="n">
        <f aca="false">IF($J1750="Y","",IF($F1750="BW",$I1750,$H1750*$I1750))</f>
        <v>0</v>
      </c>
      <c r="L1750" s="4" t="str">
        <f aca="false">IF($D1750="","",$D1750&amp;"|"&amp;$H1750)</f>
        <v/>
      </c>
    </row>
    <row r="1751" customFormat="false" ht="15" hidden="false" customHeight="false" outlineLevel="0" collapsed="false">
      <c r="K1751" s="4" t="n">
        <f aca="false">IF($J1751="Y","",IF($F1751="BW",$I1751,$H1751*$I1751))</f>
        <v>0</v>
      </c>
      <c r="L1751" s="4" t="str">
        <f aca="false">IF($D1751="","",$D1751&amp;"|"&amp;$H1751)</f>
        <v/>
      </c>
    </row>
    <row r="1752" customFormat="false" ht="15" hidden="false" customHeight="false" outlineLevel="0" collapsed="false">
      <c r="K1752" s="4" t="n">
        <f aca="false">IF($J1752="Y","",IF($F1752="BW",$I1752,$H1752*$I1752))</f>
        <v>0</v>
      </c>
      <c r="L1752" s="4" t="str">
        <f aca="false">IF($D1752="","",$D1752&amp;"|"&amp;$H1752)</f>
        <v/>
      </c>
    </row>
    <row r="1753" customFormat="false" ht="15" hidden="false" customHeight="false" outlineLevel="0" collapsed="false">
      <c r="K1753" s="4" t="n">
        <f aca="false">IF($J1753="Y","",IF($F1753="BW",$I1753,$H1753*$I1753))</f>
        <v>0</v>
      </c>
      <c r="L1753" s="4" t="str">
        <f aca="false">IF($D1753="","",$D1753&amp;"|"&amp;$H1753)</f>
        <v/>
      </c>
    </row>
    <row r="1754" customFormat="false" ht="15" hidden="false" customHeight="false" outlineLevel="0" collapsed="false">
      <c r="K1754" s="4" t="n">
        <f aca="false">IF($J1754="Y","",IF($F1754="BW",$I1754,$H1754*$I1754))</f>
        <v>0</v>
      </c>
      <c r="L1754" s="4" t="str">
        <f aca="false">IF($D1754="","",$D1754&amp;"|"&amp;$H1754)</f>
        <v/>
      </c>
    </row>
    <row r="1755" customFormat="false" ht="15" hidden="false" customHeight="false" outlineLevel="0" collapsed="false">
      <c r="K1755" s="4" t="n">
        <f aca="false">IF($J1755="Y","",IF($F1755="BW",$I1755,$H1755*$I1755))</f>
        <v>0</v>
      </c>
      <c r="L1755" s="4" t="str">
        <f aca="false">IF($D1755="","",$D1755&amp;"|"&amp;$H1755)</f>
        <v/>
      </c>
    </row>
    <row r="1756" customFormat="false" ht="15" hidden="false" customHeight="false" outlineLevel="0" collapsed="false">
      <c r="K1756" s="4" t="n">
        <f aca="false">IF($J1756="Y","",IF($F1756="BW",$I1756,$H1756*$I1756))</f>
        <v>0</v>
      </c>
      <c r="L1756" s="4" t="str">
        <f aca="false">IF($D1756="","",$D1756&amp;"|"&amp;$H1756)</f>
        <v/>
      </c>
    </row>
    <row r="1757" customFormat="false" ht="15" hidden="false" customHeight="false" outlineLevel="0" collapsed="false">
      <c r="K1757" s="4" t="n">
        <f aca="false">IF($J1757="Y","",IF($F1757="BW",$I1757,$H1757*$I1757))</f>
        <v>0</v>
      </c>
      <c r="L1757" s="4" t="str">
        <f aca="false">IF($D1757="","",$D1757&amp;"|"&amp;$H1757)</f>
        <v/>
      </c>
    </row>
    <row r="1758" customFormat="false" ht="15" hidden="false" customHeight="false" outlineLevel="0" collapsed="false">
      <c r="K1758" s="4" t="n">
        <f aca="false">IF($J1758="Y","",IF($F1758="BW",$I1758,$H1758*$I1758))</f>
        <v>0</v>
      </c>
      <c r="L1758" s="4" t="str">
        <f aca="false">IF($D1758="","",$D1758&amp;"|"&amp;$H1758)</f>
        <v/>
      </c>
    </row>
    <row r="1759" customFormat="false" ht="15" hidden="false" customHeight="false" outlineLevel="0" collapsed="false">
      <c r="K1759" s="4" t="n">
        <f aca="false">IF($J1759="Y","",IF($F1759="BW",$I1759,$H1759*$I1759))</f>
        <v>0</v>
      </c>
      <c r="L1759" s="4" t="str">
        <f aca="false">IF($D1759="","",$D1759&amp;"|"&amp;$H1759)</f>
        <v/>
      </c>
    </row>
    <row r="1760" customFormat="false" ht="15" hidden="false" customHeight="false" outlineLevel="0" collapsed="false">
      <c r="K1760" s="4" t="n">
        <f aca="false">IF($J1760="Y","",IF($F1760="BW",$I1760,$H1760*$I1760))</f>
        <v>0</v>
      </c>
      <c r="L1760" s="4" t="str">
        <f aca="false">IF($D1760="","",$D1760&amp;"|"&amp;$H1760)</f>
        <v/>
      </c>
    </row>
    <row r="1761" customFormat="false" ht="15" hidden="false" customHeight="false" outlineLevel="0" collapsed="false">
      <c r="K1761" s="4" t="n">
        <f aca="false">IF($J1761="Y","",IF($F1761="BW",$I1761,$H1761*$I1761))</f>
        <v>0</v>
      </c>
      <c r="L1761" s="4" t="str">
        <f aca="false">IF($D1761="","",$D1761&amp;"|"&amp;$H1761)</f>
        <v/>
      </c>
    </row>
    <row r="1762" customFormat="false" ht="15" hidden="false" customHeight="false" outlineLevel="0" collapsed="false">
      <c r="K1762" s="4" t="n">
        <f aca="false">IF($J1762="Y","",IF($F1762="BW",$I1762,$H1762*$I1762))</f>
        <v>0</v>
      </c>
      <c r="L1762" s="4" t="str">
        <f aca="false">IF($D1762="","",$D1762&amp;"|"&amp;$H1762)</f>
        <v/>
      </c>
    </row>
    <row r="1763" customFormat="false" ht="15" hidden="false" customHeight="false" outlineLevel="0" collapsed="false">
      <c r="K1763" s="4" t="n">
        <f aca="false">IF($J1763="Y","",IF($F1763="BW",$I1763,$H1763*$I1763))</f>
        <v>0</v>
      </c>
      <c r="L1763" s="4" t="str">
        <f aca="false">IF($D1763="","",$D1763&amp;"|"&amp;$H1763)</f>
        <v/>
      </c>
    </row>
    <row r="1764" customFormat="false" ht="15" hidden="false" customHeight="false" outlineLevel="0" collapsed="false">
      <c r="K1764" s="4" t="n">
        <f aca="false">IF($J1764="Y","",IF($F1764="BW",$I1764,$H1764*$I1764))</f>
        <v>0</v>
      </c>
      <c r="L1764" s="4" t="str">
        <f aca="false">IF($D1764="","",$D1764&amp;"|"&amp;$H1764)</f>
        <v/>
      </c>
    </row>
    <row r="1765" customFormat="false" ht="15" hidden="false" customHeight="false" outlineLevel="0" collapsed="false">
      <c r="K1765" s="4" t="n">
        <f aca="false">IF($J1765="Y","",IF($F1765="BW",$I1765,$H1765*$I1765))</f>
        <v>0</v>
      </c>
      <c r="L1765" s="4" t="str">
        <f aca="false">IF($D1765="","",$D1765&amp;"|"&amp;$H1765)</f>
        <v/>
      </c>
    </row>
    <row r="1766" customFormat="false" ht="15" hidden="false" customHeight="false" outlineLevel="0" collapsed="false">
      <c r="K1766" s="4" t="n">
        <f aca="false">IF($J1766="Y","",IF($F1766="BW",$I1766,$H1766*$I1766))</f>
        <v>0</v>
      </c>
      <c r="L1766" s="4" t="str">
        <f aca="false">IF($D1766="","",$D1766&amp;"|"&amp;$H1766)</f>
        <v/>
      </c>
    </row>
    <row r="1767" customFormat="false" ht="15" hidden="false" customHeight="false" outlineLevel="0" collapsed="false">
      <c r="K1767" s="4" t="n">
        <f aca="false">IF($J1767="Y","",IF($F1767="BW",$I1767,$H1767*$I1767))</f>
        <v>0</v>
      </c>
      <c r="L1767" s="4" t="str">
        <f aca="false">IF($D1767="","",$D1767&amp;"|"&amp;$H1767)</f>
        <v/>
      </c>
    </row>
    <row r="1768" customFormat="false" ht="15" hidden="false" customHeight="false" outlineLevel="0" collapsed="false">
      <c r="K1768" s="4" t="n">
        <f aca="false">IF($J1768="Y","",IF($F1768="BW",$I1768,$H1768*$I1768))</f>
        <v>0</v>
      </c>
      <c r="L1768" s="4" t="str">
        <f aca="false">IF($D1768="","",$D1768&amp;"|"&amp;$H1768)</f>
        <v/>
      </c>
    </row>
    <row r="1769" customFormat="false" ht="15" hidden="false" customHeight="false" outlineLevel="0" collapsed="false">
      <c r="K1769" s="4" t="n">
        <f aca="false">IF($J1769="Y","",IF($F1769="BW",$I1769,$H1769*$I1769))</f>
        <v>0</v>
      </c>
      <c r="L1769" s="4" t="str">
        <f aca="false">IF($D1769="","",$D1769&amp;"|"&amp;$H1769)</f>
        <v/>
      </c>
    </row>
    <row r="1770" customFormat="false" ht="15" hidden="false" customHeight="false" outlineLevel="0" collapsed="false">
      <c r="K1770" s="4" t="n">
        <f aca="false">IF($J1770="Y","",IF($F1770="BW",$I1770,$H1770*$I1770))</f>
        <v>0</v>
      </c>
      <c r="L1770" s="4" t="str">
        <f aca="false">IF($D1770="","",$D1770&amp;"|"&amp;$H1770)</f>
        <v/>
      </c>
    </row>
    <row r="1771" customFormat="false" ht="15" hidden="false" customHeight="false" outlineLevel="0" collapsed="false">
      <c r="K1771" s="4" t="n">
        <f aca="false">IF($J1771="Y","",IF($F1771="BW",$I1771,$H1771*$I1771))</f>
        <v>0</v>
      </c>
      <c r="L1771" s="4" t="str">
        <f aca="false">IF($D1771="","",$D1771&amp;"|"&amp;$H1771)</f>
        <v/>
      </c>
    </row>
    <row r="1772" customFormat="false" ht="15" hidden="false" customHeight="false" outlineLevel="0" collapsed="false">
      <c r="K1772" s="4" t="n">
        <f aca="false">IF($J1772="Y","",IF($F1772="BW",$I1772,$H1772*$I1772))</f>
        <v>0</v>
      </c>
      <c r="L1772" s="4" t="str">
        <f aca="false">IF($D1772="","",$D1772&amp;"|"&amp;$H1772)</f>
        <v/>
      </c>
    </row>
    <row r="1773" customFormat="false" ht="15" hidden="false" customHeight="false" outlineLevel="0" collapsed="false">
      <c r="K1773" s="4" t="n">
        <f aca="false">IF($J1773="Y","",IF($F1773="BW",$I1773,$H1773*$I1773))</f>
        <v>0</v>
      </c>
      <c r="L1773" s="4" t="str">
        <f aca="false">IF($D1773="","",$D1773&amp;"|"&amp;$H1773)</f>
        <v/>
      </c>
    </row>
    <row r="1774" customFormat="false" ht="15" hidden="false" customHeight="false" outlineLevel="0" collapsed="false">
      <c r="K1774" s="4" t="n">
        <f aca="false">IF($J1774="Y","",IF($F1774="BW",$I1774,$H1774*$I1774))</f>
        <v>0</v>
      </c>
      <c r="L1774" s="4" t="str">
        <f aca="false">IF($D1774="","",$D1774&amp;"|"&amp;$H1774)</f>
        <v/>
      </c>
    </row>
    <row r="1775" customFormat="false" ht="15" hidden="false" customHeight="false" outlineLevel="0" collapsed="false">
      <c r="K1775" s="4" t="n">
        <f aca="false">IF($J1775="Y","",IF($F1775="BW",$I1775,$H1775*$I1775))</f>
        <v>0</v>
      </c>
      <c r="L1775" s="4" t="str">
        <f aca="false">IF($D1775="","",$D1775&amp;"|"&amp;$H1775)</f>
        <v/>
      </c>
    </row>
    <row r="1776" customFormat="false" ht="15" hidden="false" customHeight="false" outlineLevel="0" collapsed="false">
      <c r="K1776" s="4" t="n">
        <f aca="false">IF($J1776="Y","",IF($F1776="BW",$I1776,$H1776*$I1776))</f>
        <v>0</v>
      </c>
      <c r="L1776" s="4" t="str">
        <f aca="false">IF($D1776="","",$D1776&amp;"|"&amp;$H1776)</f>
        <v/>
      </c>
    </row>
    <row r="1777" customFormat="false" ht="15" hidden="false" customHeight="false" outlineLevel="0" collapsed="false">
      <c r="K1777" s="4" t="n">
        <f aca="false">IF($J1777="Y","",IF($F1777="BW",$I1777,$H1777*$I1777))</f>
        <v>0</v>
      </c>
      <c r="L1777" s="4" t="str">
        <f aca="false">IF($D1777="","",$D1777&amp;"|"&amp;$H1777)</f>
        <v/>
      </c>
    </row>
    <row r="1778" customFormat="false" ht="15" hidden="false" customHeight="false" outlineLevel="0" collapsed="false">
      <c r="K1778" s="4" t="n">
        <f aca="false">IF($J1778="Y","",IF($F1778="BW",$I1778,$H1778*$I1778))</f>
        <v>0</v>
      </c>
      <c r="L1778" s="4" t="str">
        <f aca="false">IF($D1778="","",$D1778&amp;"|"&amp;$H1778)</f>
        <v/>
      </c>
    </row>
    <row r="1779" customFormat="false" ht="15" hidden="false" customHeight="false" outlineLevel="0" collapsed="false">
      <c r="K1779" s="4" t="n">
        <f aca="false">IF($J1779="Y","",IF($F1779="BW",$I1779,$H1779*$I1779))</f>
        <v>0</v>
      </c>
      <c r="L1779" s="4" t="str">
        <f aca="false">IF($D1779="","",$D1779&amp;"|"&amp;$H1779)</f>
        <v/>
      </c>
    </row>
    <row r="1780" customFormat="false" ht="15" hidden="false" customHeight="false" outlineLevel="0" collapsed="false">
      <c r="K1780" s="4" t="n">
        <f aca="false">IF($J1780="Y","",IF($F1780="BW",$I1780,$H1780*$I1780))</f>
        <v>0</v>
      </c>
      <c r="L1780" s="4" t="str">
        <f aca="false">IF($D1780="","",$D1780&amp;"|"&amp;$H1780)</f>
        <v/>
      </c>
    </row>
    <row r="1781" customFormat="false" ht="15" hidden="false" customHeight="false" outlineLevel="0" collapsed="false">
      <c r="K1781" s="4" t="n">
        <f aca="false">IF($J1781="Y","",IF($F1781="BW",$I1781,$H1781*$I1781))</f>
        <v>0</v>
      </c>
      <c r="L1781" s="4" t="str">
        <f aca="false">IF($D1781="","",$D1781&amp;"|"&amp;$H1781)</f>
        <v/>
      </c>
    </row>
    <row r="1782" customFormat="false" ht="15" hidden="false" customHeight="false" outlineLevel="0" collapsed="false">
      <c r="K1782" s="4" t="n">
        <f aca="false">IF($J1782="Y","",IF($F1782="BW",$I1782,$H1782*$I1782))</f>
        <v>0</v>
      </c>
      <c r="L1782" s="4" t="str">
        <f aca="false">IF($D1782="","",$D1782&amp;"|"&amp;$H1782)</f>
        <v/>
      </c>
    </row>
    <row r="1783" customFormat="false" ht="15" hidden="false" customHeight="false" outlineLevel="0" collapsed="false">
      <c r="K1783" s="4" t="n">
        <f aca="false">IF($J1783="Y","",IF($F1783="BW",$I1783,$H1783*$I1783))</f>
        <v>0</v>
      </c>
      <c r="L1783" s="4" t="str">
        <f aca="false">IF($D1783="","",$D1783&amp;"|"&amp;$H1783)</f>
        <v/>
      </c>
    </row>
    <row r="1784" customFormat="false" ht="15" hidden="false" customHeight="false" outlineLevel="0" collapsed="false">
      <c r="K1784" s="4" t="n">
        <f aca="false">IF($J1784="Y","",IF($F1784="BW",$I1784,$H1784*$I1784))</f>
        <v>0</v>
      </c>
      <c r="L1784" s="4" t="str">
        <f aca="false">IF($D1784="","",$D1784&amp;"|"&amp;$H1784)</f>
        <v/>
      </c>
    </row>
    <row r="1785" customFormat="false" ht="15" hidden="false" customHeight="false" outlineLevel="0" collapsed="false">
      <c r="K1785" s="4" t="n">
        <f aca="false">IF($J1785="Y","",IF($F1785="BW",$I1785,$H1785*$I1785))</f>
        <v>0</v>
      </c>
      <c r="L1785" s="4" t="str">
        <f aca="false">IF($D1785="","",$D1785&amp;"|"&amp;$H1785)</f>
        <v/>
      </c>
    </row>
    <row r="1786" customFormat="false" ht="15" hidden="false" customHeight="false" outlineLevel="0" collapsed="false">
      <c r="K1786" s="4" t="n">
        <f aca="false">IF($J1786="Y","",IF($F1786="BW",$I1786,$H1786*$I1786))</f>
        <v>0</v>
      </c>
      <c r="L1786" s="4" t="str">
        <f aca="false">IF($D1786="","",$D1786&amp;"|"&amp;$H1786)</f>
        <v/>
      </c>
    </row>
    <row r="1787" customFormat="false" ht="15" hidden="false" customHeight="false" outlineLevel="0" collapsed="false">
      <c r="K1787" s="4" t="n">
        <f aca="false">IF($J1787="Y","",IF($F1787="BW",$I1787,$H1787*$I1787))</f>
        <v>0</v>
      </c>
      <c r="L1787" s="4" t="str">
        <f aca="false">IF($D1787="","",$D1787&amp;"|"&amp;$H1787)</f>
        <v/>
      </c>
    </row>
    <row r="1788" customFormat="false" ht="15" hidden="false" customHeight="false" outlineLevel="0" collapsed="false">
      <c r="K1788" s="4" t="n">
        <f aca="false">IF($J1788="Y","",IF($F1788="BW",$I1788,$H1788*$I1788))</f>
        <v>0</v>
      </c>
      <c r="L1788" s="4" t="str">
        <f aca="false">IF($D1788="","",$D1788&amp;"|"&amp;$H1788)</f>
        <v/>
      </c>
    </row>
    <row r="1789" customFormat="false" ht="15" hidden="false" customHeight="false" outlineLevel="0" collapsed="false">
      <c r="K1789" s="4" t="n">
        <f aca="false">IF($J1789="Y","",IF($F1789="BW",$I1789,$H1789*$I1789))</f>
        <v>0</v>
      </c>
      <c r="L1789" s="4" t="str">
        <f aca="false">IF($D1789="","",$D1789&amp;"|"&amp;$H1789)</f>
        <v/>
      </c>
    </row>
    <row r="1790" customFormat="false" ht="15" hidden="false" customHeight="false" outlineLevel="0" collapsed="false">
      <c r="K1790" s="4" t="n">
        <f aca="false">IF($J1790="Y","",IF($F1790="BW",$I1790,$H1790*$I1790))</f>
        <v>0</v>
      </c>
      <c r="L1790" s="4" t="str">
        <f aca="false">IF($D1790="","",$D1790&amp;"|"&amp;$H1790)</f>
        <v/>
      </c>
    </row>
    <row r="1791" customFormat="false" ht="15" hidden="false" customHeight="false" outlineLevel="0" collapsed="false">
      <c r="K1791" s="4" t="n">
        <f aca="false">IF($J1791="Y","",IF($F1791="BW",$I1791,$H1791*$I1791))</f>
        <v>0</v>
      </c>
      <c r="L1791" s="4" t="str">
        <f aca="false">IF($D1791="","",$D1791&amp;"|"&amp;$H1791)</f>
        <v/>
      </c>
    </row>
    <row r="1792" customFormat="false" ht="15" hidden="false" customHeight="false" outlineLevel="0" collapsed="false">
      <c r="K1792" s="4" t="n">
        <f aca="false">IF($J1792="Y","",IF($F1792="BW",$I1792,$H1792*$I1792))</f>
        <v>0</v>
      </c>
      <c r="L1792" s="4" t="str">
        <f aca="false">IF($D1792="","",$D1792&amp;"|"&amp;$H1792)</f>
        <v/>
      </c>
    </row>
    <row r="1793" customFormat="false" ht="15" hidden="false" customHeight="false" outlineLevel="0" collapsed="false">
      <c r="K1793" s="4" t="n">
        <f aca="false">IF($J1793="Y","",IF($F1793="BW",$I1793,$H1793*$I1793))</f>
        <v>0</v>
      </c>
      <c r="L1793" s="4" t="str">
        <f aca="false">IF($D1793="","",$D1793&amp;"|"&amp;$H1793)</f>
        <v/>
      </c>
    </row>
    <row r="1794" customFormat="false" ht="15" hidden="false" customHeight="false" outlineLevel="0" collapsed="false">
      <c r="K1794" s="4" t="n">
        <f aca="false">IF($J1794="Y","",IF($F1794="BW",$I1794,$H1794*$I1794))</f>
        <v>0</v>
      </c>
      <c r="L1794" s="4" t="str">
        <f aca="false">IF($D1794="","",$D1794&amp;"|"&amp;$H1794)</f>
        <v/>
      </c>
    </row>
    <row r="1795" customFormat="false" ht="15" hidden="false" customHeight="false" outlineLevel="0" collapsed="false">
      <c r="K1795" s="4" t="n">
        <f aca="false">IF($J1795="Y","",IF($F1795="BW",$I1795,$H1795*$I1795))</f>
        <v>0</v>
      </c>
      <c r="L1795" s="4" t="str">
        <f aca="false">IF($D1795="","",$D1795&amp;"|"&amp;$H1795)</f>
        <v/>
      </c>
    </row>
    <row r="1796" customFormat="false" ht="15" hidden="false" customHeight="false" outlineLevel="0" collapsed="false">
      <c r="K1796" s="4" t="n">
        <f aca="false">IF($J1796="Y","",IF($F1796="BW",$I1796,$H1796*$I1796))</f>
        <v>0</v>
      </c>
      <c r="L1796" s="4" t="str">
        <f aca="false">IF($D1796="","",$D1796&amp;"|"&amp;$H1796)</f>
        <v/>
      </c>
    </row>
    <row r="1797" customFormat="false" ht="15" hidden="false" customHeight="false" outlineLevel="0" collapsed="false">
      <c r="K1797" s="4" t="n">
        <f aca="false">IF($J1797="Y","",IF($F1797="BW",$I1797,$H1797*$I1797))</f>
        <v>0</v>
      </c>
      <c r="L1797" s="4" t="str">
        <f aca="false">IF($D1797="","",$D1797&amp;"|"&amp;$H1797)</f>
        <v/>
      </c>
    </row>
    <row r="1798" customFormat="false" ht="15" hidden="false" customHeight="false" outlineLevel="0" collapsed="false">
      <c r="K1798" s="4" t="n">
        <f aca="false">IF($J1798="Y","",IF($F1798="BW",$I1798,$H1798*$I1798))</f>
        <v>0</v>
      </c>
      <c r="L1798" s="4" t="str">
        <f aca="false">IF($D1798="","",$D1798&amp;"|"&amp;$H1798)</f>
        <v/>
      </c>
    </row>
    <row r="1799" customFormat="false" ht="15" hidden="false" customHeight="false" outlineLevel="0" collapsed="false">
      <c r="K1799" s="4" t="n">
        <f aca="false">IF($J1799="Y","",IF($F1799="BW",$I1799,$H1799*$I1799))</f>
        <v>0</v>
      </c>
      <c r="L1799" s="4" t="str">
        <f aca="false">IF($D1799="","",$D1799&amp;"|"&amp;$H1799)</f>
        <v/>
      </c>
    </row>
    <row r="1800" customFormat="false" ht="15" hidden="false" customHeight="false" outlineLevel="0" collapsed="false">
      <c r="K1800" s="4" t="n">
        <f aca="false">IF($J1800="Y","",IF($F1800="BW",$I1800,$H1800*$I1800))</f>
        <v>0</v>
      </c>
      <c r="L1800" s="4" t="str">
        <f aca="false">IF($D1800="","",$D1800&amp;"|"&amp;$H1800)</f>
        <v/>
      </c>
    </row>
    <row r="1801" customFormat="false" ht="15" hidden="false" customHeight="false" outlineLevel="0" collapsed="false">
      <c r="K1801" s="4" t="n">
        <f aca="false">IF($J1801="Y","",IF($F1801="BW",$I1801,$H1801*$I1801))</f>
        <v>0</v>
      </c>
      <c r="L1801" s="4" t="str">
        <f aca="false">IF($D1801="","",$D1801&amp;"|"&amp;$H1801)</f>
        <v/>
      </c>
    </row>
    <row r="1802" customFormat="false" ht="15" hidden="false" customHeight="false" outlineLevel="0" collapsed="false">
      <c r="K1802" s="4" t="n">
        <f aca="false">IF($J1802="Y","",IF($F1802="BW",$I1802,$H1802*$I1802))</f>
        <v>0</v>
      </c>
      <c r="L1802" s="4" t="str">
        <f aca="false">IF($D1802="","",$D1802&amp;"|"&amp;$H1802)</f>
        <v/>
      </c>
    </row>
    <row r="1803" customFormat="false" ht="15" hidden="false" customHeight="false" outlineLevel="0" collapsed="false">
      <c r="K1803" s="4" t="n">
        <f aca="false">IF($J1803="Y","",IF($F1803="BW",$I1803,$H1803*$I1803))</f>
        <v>0</v>
      </c>
      <c r="L1803" s="4" t="str">
        <f aca="false">IF($D1803="","",$D1803&amp;"|"&amp;$H1803)</f>
        <v/>
      </c>
    </row>
    <row r="1804" customFormat="false" ht="15" hidden="false" customHeight="false" outlineLevel="0" collapsed="false">
      <c r="K1804" s="4" t="n">
        <f aca="false">IF($J1804="Y","",IF($F1804="BW",$I1804,$H1804*$I1804))</f>
        <v>0</v>
      </c>
      <c r="L1804" s="4" t="str">
        <f aca="false">IF($D1804="","",$D1804&amp;"|"&amp;$H1804)</f>
        <v/>
      </c>
    </row>
    <row r="1805" customFormat="false" ht="15" hidden="false" customHeight="false" outlineLevel="0" collapsed="false">
      <c r="K1805" s="4" t="n">
        <f aca="false">IF($J1805="Y","",IF($F1805="BW",$I1805,$H1805*$I1805))</f>
        <v>0</v>
      </c>
      <c r="L1805" s="4" t="str">
        <f aca="false">IF($D1805="","",$D1805&amp;"|"&amp;$H1805)</f>
        <v/>
      </c>
    </row>
    <row r="1806" customFormat="false" ht="15" hidden="false" customHeight="false" outlineLevel="0" collapsed="false">
      <c r="K1806" s="4" t="n">
        <f aca="false">IF($J1806="Y","",IF($F1806="BW",$I1806,$H1806*$I1806))</f>
        <v>0</v>
      </c>
      <c r="L1806" s="4" t="str">
        <f aca="false">IF($D1806="","",$D1806&amp;"|"&amp;$H1806)</f>
        <v/>
      </c>
    </row>
    <row r="1807" customFormat="false" ht="15" hidden="false" customHeight="false" outlineLevel="0" collapsed="false">
      <c r="K1807" s="4" t="n">
        <f aca="false">IF($J1807="Y","",IF($F1807="BW",$I1807,$H1807*$I1807))</f>
        <v>0</v>
      </c>
      <c r="L1807" s="4" t="str">
        <f aca="false">IF($D1807="","",$D1807&amp;"|"&amp;$H1807)</f>
        <v/>
      </c>
    </row>
    <row r="1808" customFormat="false" ht="15" hidden="false" customHeight="false" outlineLevel="0" collapsed="false">
      <c r="K1808" s="4" t="n">
        <f aca="false">IF($J1808="Y","",IF($F1808="BW",$I1808,$H1808*$I1808))</f>
        <v>0</v>
      </c>
      <c r="L1808" s="4" t="str">
        <f aca="false">IF($D1808="","",$D1808&amp;"|"&amp;$H1808)</f>
        <v/>
      </c>
    </row>
    <row r="1809" customFormat="false" ht="15" hidden="false" customHeight="false" outlineLevel="0" collapsed="false">
      <c r="K1809" s="4" t="n">
        <f aca="false">IF($J1809="Y","",IF($F1809="BW",$I1809,$H1809*$I1809))</f>
        <v>0</v>
      </c>
      <c r="L1809" s="4" t="str">
        <f aca="false">IF($D1809="","",$D1809&amp;"|"&amp;$H1809)</f>
        <v/>
      </c>
    </row>
    <row r="1810" customFormat="false" ht="15" hidden="false" customHeight="false" outlineLevel="0" collapsed="false">
      <c r="K1810" s="4" t="n">
        <f aca="false">IF($J1810="Y","",IF($F1810="BW",$I1810,$H1810*$I1810))</f>
        <v>0</v>
      </c>
      <c r="L1810" s="4" t="str">
        <f aca="false">IF($D1810="","",$D1810&amp;"|"&amp;$H1810)</f>
        <v/>
      </c>
    </row>
    <row r="1811" customFormat="false" ht="15" hidden="false" customHeight="false" outlineLevel="0" collapsed="false">
      <c r="K1811" s="4" t="n">
        <f aca="false">IF($J1811="Y","",IF($F1811="BW",$I1811,$H1811*$I1811))</f>
        <v>0</v>
      </c>
      <c r="L1811" s="4" t="str">
        <f aca="false">IF($D1811="","",$D1811&amp;"|"&amp;$H1811)</f>
        <v/>
      </c>
    </row>
    <row r="1812" customFormat="false" ht="15" hidden="false" customHeight="false" outlineLevel="0" collapsed="false">
      <c r="K1812" s="4" t="n">
        <f aca="false">IF($J1812="Y","",IF($F1812="BW",$I1812,$H1812*$I1812))</f>
        <v>0</v>
      </c>
      <c r="L1812" s="4" t="str">
        <f aca="false">IF($D1812="","",$D1812&amp;"|"&amp;$H1812)</f>
        <v/>
      </c>
    </row>
    <row r="1813" customFormat="false" ht="15" hidden="false" customHeight="false" outlineLevel="0" collapsed="false">
      <c r="K1813" s="4" t="n">
        <f aca="false">IF($J1813="Y","",IF($F1813="BW",$I1813,$H1813*$I1813))</f>
        <v>0</v>
      </c>
      <c r="L1813" s="4" t="str">
        <f aca="false">IF($D1813="","",$D1813&amp;"|"&amp;$H1813)</f>
        <v/>
      </c>
    </row>
    <row r="1814" customFormat="false" ht="15" hidden="false" customHeight="false" outlineLevel="0" collapsed="false">
      <c r="K1814" s="4" t="n">
        <f aca="false">IF($J1814="Y","",IF($F1814="BW",$I1814,$H1814*$I1814))</f>
        <v>0</v>
      </c>
      <c r="L1814" s="4" t="str">
        <f aca="false">IF($D1814="","",$D1814&amp;"|"&amp;$H1814)</f>
        <v/>
      </c>
    </row>
    <row r="1815" customFormat="false" ht="15" hidden="false" customHeight="false" outlineLevel="0" collapsed="false">
      <c r="K1815" s="4" t="n">
        <f aca="false">IF($J1815="Y","",IF($F1815="BW",$I1815,$H1815*$I1815))</f>
        <v>0</v>
      </c>
      <c r="L1815" s="4" t="str">
        <f aca="false">IF($D1815="","",$D1815&amp;"|"&amp;$H1815)</f>
        <v/>
      </c>
    </row>
    <row r="1816" customFormat="false" ht="15" hidden="false" customHeight="false" outlineLevel="0" collapsed="false">
      <c r="K1816" s="4" t="n">
        <f aca="false">IF($J1816="Y","",IF($F1816="BW",$I1816,$H1816*$I1816))</f>
        <v>0</v>
      </c>
      <c r="L1816" s="4" t="str">
        <f aca="false">IF($D1816="","",$D1816&amp;"|"&amp;$H1816)</f>
        <v/>
      </c>
    </row>
    <row r="1817" customFormat="false" ht="15" hidden="false" customHeight="false" outlineLevel="0" collapsed="false">
      <c r="K1817" s="4" t="n">
        <f aca="false">IF($J1817="Y","",IF($F1817="BW",$I1817,$H1817*$I1817))</f>
        <v>0</v>
      </c>
      <c r="L1817" s="4" t="str">
        <f aca="false">IF($D1817="","",$D1817&amp;"|"&amp;$H1817)</f>
        <v/>
      </c>
    </row>
    <row r="1818" customFormat="false" ht="15" hidden="false" customHeight="false" outlineLevel="0" collapsed="false">
      <c r="K1818" s="4" t="n">
        <f aca="false">IF($J1818="Y","",IF($F1818="BW",$I1818,$H1818*$I1818))</f>
        <v>0</v>
      </c>
      <c r="L1818" s="4" t="str">
        <f aca="false">IF($D1818="","",$D1818&amp;"|"&amp;$H1818)</f>
        <v/>
      </c>
    </row>
    <row r="1819" customFormat="false" ht="15" hidden="false" customHeight="false" outlineLevel="0" collapsed="false">
      <c r="K1819" s="4" t="n">
        <f aca="false">IF($J1819="Y","",IF($F1819="BW",$I1819,$H1819*$I1819))</f>
        <v>0</v>
      </c>
      <c r="L1819" s="4" t="str">
        <f aca="false">IF($D1819="","",$D1819&amp;"|"&amp;$H1819)</f>
        <v/>
      </c>
    </row>
    <row r="1820" customFormat="false" ht="15" hidden="false" customHeight="false" outlineLevel="0" collapsed="false">
      <c r="K1820" s="4" t="n">
        <f aca="false">IF($J1820="Y","",IF($F1820="BW",$I1820,$H1820*$I1820))</f>
        <v>0</v>
      </c>
      <c r="L1820" s="4" t="str">
        <f aca="false">IF($D1820="","",$D1820&amp;"|"&amp;$H1820)</f>
        <v/>
      </c>
    </row>
    <row r="1821" customFormat="false" ht="15" hidden="false" customHeight="false" outlineLevel="0" collapsed="false">
      <c r="K1821" s="4" t="n">
        <f aca="false">IF($J1821="Y","",IF($F1821="BW",$I1821,$H1821*$I1821))</f>
        <v>0</v>
      </c>
      <c r="L1821" s="4" t="str">
        <f aca="false">IF($D1821="","",$D1821&amp;"|"&amp;$H1821)</f>
        <v/>
      </c>
    </row>
    <row r="1822" customFormat="false" ht="15" hidden="false" customHeight="false" outlineLevel="0" collapsed="false">
      <c r="K1822" s="4" t="n">
        <f aca="false">IF($J1822="Y","",IF($F1822="BW",$I1822,$H1822*$I1822))</f>
        <v>0</v>
      </c>
      <c r="L1822" s="4" t="str">
        <f aca="false">IF($D1822="","",$D1822&amp;"|"&amp;$H1822)</f>
        <v/>
      </c>
    </row>
    <row r="1823" customFormat="false" ht="15" hidden="false" customHeight="false" outlineLevel="0" collapsed="false">
      <c r="K1823" s="4" t="n">
        <f aca="false">IF($J1823="Y","",IF($F1823="BW",$I1823,$H1823*$I1823))</f>
        <v>0</v>
      </c>
      <c r="L1823" s="4" t="str">
        <f aca="false">IF($D1823="","",$D1823&amp;"|"&amp;$H1823)</f>
        <v/>
      </c>
    </row>
    <row r="1824" customFormat="false" ht="15" hidden="false" customHeight="false" outlineLevel="0" collapsed="false">
      <c r="K1824" s="4" t="n">
        <f aca="false">IF($J1824="Y","",IF($F1824="BW",$I1824,$H1824*$I1824))</f>
        <v>0</v>
      </c>
      <c r="L1824" s="4" t="str">
        <f aca="false">IF($D1824="","",$D1824&amp;"|"&amp;$H1824)</f>
        <v/>
      </c>
    </row>
    <row r="1825" customFormat="false" ht="15" hidden="false" customHeight="false" outlineLevel="0" collapsed="false">
      <c r="K1825" s="4" t="n">
        <f aca="false">IF($J1825="Y","",IF($F1825="BW",$I1825,$H1825*$I1825))</f>
        <v>0</v>
      </c>
      <c r="L1825" s="4" t="str">
        <f aca="false">IF($D1825="","",$D1825&amp;"|"&amp;$H1825)</f>
        <v/>
      </c>
    </row>
    <row r="1826" customFormat="false" ht="15" hidden="false" customHeight="false" outlineLevel="0" collapsed="false">
      <c r="K1826" s="4" t="n">
        <f aca="false">IF($J1826="Y","",IF($F1826="BW",$I1826,$H1826*$I1826))</f>
        <v>0</v>
      </c>
      <c r="L1826" s="4" t="str">
        <f aca="false">IF($D1826="","",$D1826&amp;"|"&amp;$H1826)</f>
        <v/>
      </c>
    </row>
    <row r="1827" customFormat="false" ht="15" hidden="false" customHeight="false" outlineLevel="0" collapsed="false">
      <c r="K1827" s="4" t="n">
        <f aca="false">IF($J1827="Y","",IF($F1827="BW",$I1827,$H1827*$I1827))</f>
        <v>0</v>
      </c>
      <c r="L1827" s="4" t="str">
        <f aca="false">IF($D1827="","",$D1827&amp;"|"&amp;$H1827)</f>
        <v/>
      </c>
    </row>
    <row r="1828" customFormat="false" ht="15" hidden="false" customHeight="false" outlineLevel="0" collapsed="false">
      <c r="K1828" s="4" t="n">
        <f aca="false">IF($J1828="Y","",IF($F1828="BW",$I1828,$H1828*$I1828))</f>
        <v>0</v>
      </c>
      <c r="L1828" s="4" t="str">
        <f aca="false">IF($D1828="","",$D1828&amp;"|"&amp;$H1828)</f>
        <v/>
      </c>
    </row>
    <row r="1829" customFormat="false" ht="15" hidden="false" customHeight="false" outlineLevel="0" collapsed="false">
      <c r="K1829" s="4" t="n">
        <f aca="false">IF($J1829="Y","",IF($F1829="BW",$I1829,$H1829*$I1829))</f>
        <v>0</v>
      </c>
      <c r="L1829" s="4" t="str">
        <f aca="false">IF($D1829="","",$D1829&amp;"|"&amp;$H1829)</f>
        <v/>
      </c>
    </row>
    <row r="1830" customFormat="false" ht="15" hidden="false" customHeight="false" outlineLevel="0" collapsed="false">
      <c r="K1830" s="4" t="n">
        <f aca="false">IF($J1830="Y","",IF($F1830="BW",$I1830,$H1830*$I1830))</f>
        <v>0</v>
      </c>
      <c r="L1830" s="4" t="str">
        <f aca="false">IF($D1830="","",$D1830&amp;"|"&amp;$H1830)</f>
        <v/>
      </c>
    </row>
    <row r="1831" customFormat="false" ht="15" hidden="false" customHeight="false" outlineLevel="0" collapsed="false">
      <c r="K1831" s="4" t="n">
        <f aca="false">IF($J1831="Y","",IF($F1831="BW",$I1831,$H1831*$I1831))</f>
        <v>0</v>
      </c>
      <c r="L1831" s="4" t="str">
        <f aca="false">IF($D1831="","",$D1831&amp;"|"&amp;$H1831)</f>
        <v/>
      </c>
    </row>
    <row r="1832" customFormat="false" ht="15" hidden="false" customHeight="false" outlineLevel="0" collapsed="false">
      <c r="K1832" s="4" t="n">
        <f aca="false">IF($J1832="Y","",IF($F1832="BW",$I1832,$H1832*$I1832))</f>
        <v>0</v>
      </c>
      <c r="L1832" s="4" t="str">
        <f aca="false">IF($D1832="","",$D1832&amp;"|"&amp;$H1832)</f>
        <v/>
      </c>
    </row>
    <row r="1833" customFormat="false" ht="15" hidden="false" customHeight="false" outlineLevel="0" collapsed="false">
      <c r="K1833" s="4" t="n">
        <f aca="false">IF($J1833="Y","",IF($F1833="BW",$I1833,$H1833*$I1833))</f>
        <v>0</v>
      </c>
      <c r="L1833" s="4" t="str">
        <f aca="false">IF($D1833="","",$D1833&amp;"|"&amp;$H1833)</f>
        <v/>
      </c>
    </row>
    <row r="1834" customFormat="false" ht="15" hidden="false" customHeight="false" outlineLevel="0" collapsed="false">
      <c r="K1834" s="4" t="n">
        <f aca="false">IF($J1834="Y","",IF($F1834="BW",$I1834,$H1834*$I1834))</f>
        <v>0</v>
      </c>
      <c r="L1834" s="4" t="str">
        <f aca="false">IF($D1834="","",$D1834&amp;"|"&amp;$H1834)</f>
        <v/>
      </c>
    </row>
    <row r="1835" customFormat="false" ht="15" hidden="false" customHeight="false" outlineLevel="0" collapsed="false">
      <c r="K1835" s="4" t="n">
        <f aca="false">IF($J1835="Y","",IF($F1835="BW",$I1835,$H1835*$I1835))</f>
        <v>0</v>
      </c>
      <c r="L1835" s="4" t="str">
        <f aca="false">IF($D1835="","",$D1835&amp;"|"&amp;$H1835)</f>
        <v/>
      </c>
    </row>
    <row r="1836" customFormat="false" ht="15" hidden="false" customHeight="false" outlineLevel="0" collapsed="false">
      <c r="K1836" s="4" t="n">
        <f aca="false">IF($J1836="Y","",IF($F1836="BW",$I1836,$H1836*$I1836))</f>
        <v>0</v>
      </c>
      <c r="L1836" s="4" t="str">
        <f aca="false">IF($D1836="","",$D1836&amp;"|"&amp;$H1836)</f>
        <v/>
      </c>
    </row>
    <row r="1837" customFormat="false" ht="15" hidden="false" customHeight="false" outlineLevel="0" collapsed="false">
      <c r="K1837" s="4" t="n">
        <f aca="false">IF($J1837="Y","",IF($F1837="BW",$I1837,$H1837*$I1837))</f>
        <v>0</v>
      </c>
      <c r="L1837" s="4" t="str">
        <f aca="false">IF($D1837="","",$D1837&amp;"|"&amp;$H1837)</f>
        <v/>
      </c>
    </row>
    <row r="1838" customFormat="false" ht="15" hidden="false" customHeight="false" outlineLevel="0" collapsed="false">
      <c r="K1838" s="4" t="n">
        <f aca="false">IF($J1838="Y","",IF($F1838="BW",$I1838,$H1838*$I1838))</f>
        <v>0</v>
      </c>
      <c r="L1838" s="4" t="str">
        <f aca="false">IF($D1838="","",$D1838&amp;"|"&amp;$H1838)</f>
        <v/>
      </c>
    </row>
    <row r="1839" customFormat="false" ht="15" hidden="false" customHeight="false" outlineLevel="0" collapsed="false">
      <c r="K1839" s="4" t="n">
        <f aca="false">IF($J1839="Y","",IF($F1839="BW",$I1839,$H1839*$I1839))</f>
        <v>0</v>
      </c>
      <c r="L1839" s="4" t="str">
        <f aca="false">IF($D1839="","",$D1839&amp;"|"&amp;$H1839)</f>
        <v/>
      </c>
    </row>
    <row r="1840" customFormat="false" ht="15" hidden="false" customHeight="false" outlineLevel="0" collapsed="false">
      <c r="K1840" s="4" t="n">
        <f aca="false">IF($J1840="Y","",IF($F1840="BW",$I1840,$H1840*$I1840))</f>
        <v>0</v>
      </c>
      <c r="L1840" s="4" t="str">
        <f aca="false">IF($D1840="","",$D1840&amp;"|"&amp;$H1840)</f>
        <v/>
      </c>
    </row>
    <row r="1841" customFormat="false" ht="15" hidden="false" customHeight="false" outlineLevel="0" collapsed="false">
      <c r="K1841" s="4" t="n">
        <f aca="false">IF($J1841="Y","",IF($F1841="BW",$I1841,$H1841*$I1841))</f>
        <v>0</v>
      </c>
      <c r="L1841" s="4" t="str">
        <f aca="false">IF($D1841="","",$D1841&amp;"|"&amp;$H1841)</f>
        <v/>
      </c>
    </row>
    <row r="1842" customFormat="false" ht="15" hidden="false" customHeight="false" outlineLevel="0" collapsed="false">
      <c r="K1842" s="4" t="n">
        <f aca="false">IF($J1842="Y","",IF($F1842="BW",$I1842,$H1842*$I1842))</f>
        <v>0</v>
      </c>
      <c r="L1842" s="4" t="str">
        <f aca="false">IF($D1842="","",$D1842&amp;"|"&amp;$H1842)</f>
        <v/>
      </c>
    </row>
    <row r="1843" customFormat="false" ht="15" hidden="false" customHeight="false" outlineLevel="0" collapsed="false">
      <c r="K1843" s="4" t="n">
        <f aca="false">IF($J1843="Y","",IF($F1843="BW",$I1843,$H1843*$I1843))</f>
        <v>0</v>
      </c>
      <c r="L1843" s="4" t="str">
        <f aca="false">IF($D1843="","",$D1843&amp;"|"&amp;$H1843)</f>
        <v/>
      </c>
    </row>
    <row r="1844" customFormat="false" ht="15" hidden="false" customHeight="false" outlineLevel="0" collapsed="false">
      <c r="K1844" s="4" t="n">
        <f aca="false">IF($J1844="Y","",IF($F1844="BW",$I1844,$H1844*$I1844))</f>
        <v>0</v>
      </c>
      <c r="L1844" s="4" t="str">
        <f aca="false">IF($D1844="","",$D1844&amp;"|"&amp;$H1844)</f>
        <v/>
      </c>
    </row>
    <row r="1845" customFormat="false" ht="15" hidden="false" customHeight="false" outlineLevel="0" collapsed="false">
      <c r="K1845" s="4" t="n">
        <f aca="false">IF($J1845="Y","",IF($F1845="BW",$I1845,$H1845*$I1845))</f>
        <v>0</v>
      </c>
      <c r="L1845" s="4" t="str">
        <f aca="false">IF($D1845="","",$D1845&amp;"|"&amp;$H1845)</f>
        <v/>
      </c>
    </row>
    <row r="1846" customFormat="false" ht="15" hidden="false" customHeight="false" outlineLevel="0" collapsed="false">
      <c r="K1846" s="4" t="n">
        <f aca="false">IF($J1846="Y","",IF($F1846="BW",$I1846,$H1846*$I1846))</f>
        <v>0</v>
      </c>
      <c r="L1846" s="4" t="str">
        <f aca="false">IF($D1846="","",$D1846&amp;"|"&amp;$H1846)</f>
        <v/>
      </c>
    </row>
    <row r="1847" customFormat="false" ht="15" hidden="false" customHeight="false" outlineLevel="0" collapsed="false">
      <c r="K1847" s="4" t="n">
        <f aca="false">IF($J1847="Y","",IF($F1847="BW",$I1847,$H1847*$I1847))</f>
        <v>0</v>
      </c>
      <c r="L1847" s="4" t="str">
        <f aca="false">IF($D1847="","",$D1847&amp;"|"&amp;$H1847)</f>
        <v/>
      </c>
    </row>
    <row r="1848" customFormat="false" ht="15" hidden="false" customHeight="false" outlineLevel="0" collapsed="false">
      <c r="K1848" s="4" t="n">
        <f aca="false">IF($J1848="Y","",IF($F1848="BW",$I1848,$H1848*$I1848))</f>
        <v>0</v>
      </c>
      <c r="L1848" s="4" t="str">
        <f aca="false">IF($D1848="","",$D1848&amp;"|"&amp;$H1848)</f>
        <v/>
      </c>
    </row>
    <row r="1849" customFormat="false" ht="15" hidden="false" customHeight="false" outlineLevel="0" collapsed="false">
      <c r="K1849" s="4" t="n">
        <f aca="false">IF($J1849="Y","",IF($F1849="BW",$I1849,$H1849*$I1849))</f>
        <v>0</v>
      </c>
      <c r="L1849" s="4" t="str">
        <f aca="false">IF($D1849="","",$D1849&amp;"|"&amp;$H1849)</f>
        <v/>
      </c>
    </row>
    <row r="1850" customFormat="false" ht="15" hidden="false" customHeight="false" outlineLevel="0" collapsed="false">
      <c r="K1850" s="4" t="n">
        <f aca="false">IF($J1850="Y","",IF($F1850="BW",$I1850,$H1850*$I1850))</f>
        <v>0</v>
      </c>
      <c r="L1850" s="4" t="str">
        <f aca="false">IF($D1850="","",$D1850&amp;"|"&amp;$H1850)</f>
        <v/>
      </c>
    </row>
    <row r="1851" customFormat="false" ht="15" hidden="false" customHeight="false" outlineLevel="0" collapsed="false">
      <c r="K1851" s="4" t="n">
        <f aca="false">IF($J1851="Y","",IF($F1851="BW",$I1851,$H1851*$I1851))</f>
        <v>0</v>
      </c>
      <c r="L1851" s="4" t="str">
        <f aca="false">IF($D1851="","",$D1851&amp;"|"&amp;$H1851)</f>
        <v/>
      </c>
    </row>
    <row r="1852" customFormat="false" ht="15" hidden="false" customHeight="false" outlineLevel="0" collapsed="false">
      <c r="K1852" s="4" t="n">
        <f aca="false">IF($J1852="Y","",IF($F1852="BW",$I1852,$H1852*$I1852))</f>
        <v>0</v>
      </c>
      <c r="L1852" s="4" t="str">
        <f aca="false">IF($D1852="","",$D1852&amp;"|"&amp;$H1852)</f>
        <v/>
      </c>
    </row>
    <row r="1853" customFormat="false" ht="15" hidden="false" customHeight="false" outlineLevel="0" collapsed="false">
      <c r="K1853" s="4" t="n">
        <f aca="false">IF($J1853="Y","",IF($F1853="BW",$I1853,$H1853*$I1853))</f>
        <v>0</v>
      </c>
      <c r="L1853" s="4" t="str">
        <f aca="false">IF($D1853="","",$D1853&amp;"|"&amp;$H1853)</f>
        <v/>
      </c>
    </row>
    <row r="1854" customFormat="false" ht="15" hidden="false" customHeight="false" outlineLevel="0" collapsed="false">
      <c r="K1854" s="4" t="n">
        <f aca="false">IF($J1854="Y","",IF($F1854="BW",$I1854,$H1854*$I1854))</f>
        <v>0</v>
      </c>
      <c r="L1854" s="4" t="str">
        <f aca="false">IF($D1854="","",$D1854&amp;"|"&amp;$H1854)</f>
        <v/>
      </c>
    </row>
    <row r="1855" customFormat="false" ht="15" hidden="false" customHeight="false" outlineLevel="0" collapsed="false">
      <c r="K1855" s="4" t="n">
        <f aca="false">IF($J1855="Y","",IF($F1855="BW",$I1855,$H1855*$I1855))</f>
        <v>0</v>
      </c>
      <c r="L1855" s="4" t="str">
        <f aca="false">IF($D1855="","",$D1855&amp;"|"&amp;$H1855)</f>
        <v/>
      </c>
    </row>
    <row r="1856" customFormat="false" ht="15" hidden="false" customHeight="false" outlineLevel="0" collapsed="false">
      <c r="K1856" s="4" t="n">
        <f aca="false">IF($J1856="Y","",IF($F1856="BW",$I1856,$H1856*$I1856))</f>
        <v>0</v>
      </c>
      <c r="L1856" s="4" t="str">
        <f aca="false">IF($D1856="","",$D1856&amp;"|"&amp;$H1856)</f>
        <v/>
      </c>
    </row>
    <row r="1857" customFormat="false" ht="15" hidden="false" customHeight="false" outlineLevel="0" collapsed="false">
      <c r="K1857" s="4" t="n">
        <f aca="false">IF($J1857="Y","",IF($F1857="BW",$I1857,$H1857*$I1857))</f>
        <v>0</v>
      </c>
      <c r="L1857" s="4" t="str">
        <f aca="false">IF($D1857="","",$D1857&amp;"|"&amp;$H1857)</f>
        <v/>
      </c>
    </row>
    <row r="1858" customFormat="false" ht="15" hidden="false" customHeight="false" outlineLevel="0" collapsed="false">
      <c r="K1858" s="4" t="n">
        <f aca="false">IF($J1858="Y","",IF($F1858="BW",$I1858,$H1858*$I1858))</f>
        <v>0</v>
      </c>
      <c r="L1858" s="4" t="str">
        <f aca="false">IF($D1858="","",$D1858&amp;"|"&amp;$H1858)</f>
        <v/>
      </c>
    </row>
    <row r="1859" customFormat="false" ht="15" hidden="false" customHeight="false" outlineLevel="0" collapsed="false">
      <c r="K1859" s="4" t="n">
        <f aca="false">IF($J1859="Y","",IF($F1859="BW",$I1859,$H1859*$I1859))</f>
        <v>0</v>
      </c>
      <c r="L1859" s="4" t="str">
        <f aca="false">IF($D1859="","",$D1859&amp;"|"&amp;$H1859)</f>
        <v/>
      </c>
    </row>
    <row r="1860" customFormat="false" ht="15" hidden="false" customHeight="false" outlineLevel="0" collapsed="false">
      <c r="K1860" s="4" t="n">
        <f aca="false">IF($J1860="Y","",IF($F1860="BW",$I1860,$H1860*$I1860))</f>
        <v>0</v>
      </c>
      <c r="L1860" s="4" t="str">
        <f aca="false">IF($D1860="","",$D1860&amp;"|"&amp;$H1860)</f>
        <v/>
      </c>
    </row>
    <row r="1861" customFormat="false" ht="15" hidden="false" customHeight="false" outlineLevel="0" collapsed="false">
      <c r="K1861" s="4" t="n">
        <f aca="false">IF($J1861="Y","",IF($F1861="BW",$I1861,$H1861*$I1861))</f>
        <v>0</v>
      </c>
      <c r="L1861" s="4" t="str">
        <f aca="false">IF($D1861="","",$D1861&amp;"|"&amp;$H1861)</f>
        <v/>
      </c>
    </row>
    <row r="1862" customFormat="false" ht="15" hidden="false" customHeight="false" outlineLevel="0" collapsed="false">
      <c r="K1862" s="4" t="n">
        <f aca="false">IF($J1862="Y","",IF($F1862="BW",$I1862,$H1862*$I1862))</f>
        <v>0</v>
      </c>
      <c r="L1862" s="4" t="str">
        <f aca="false">IF($D1862="","",$D1862&amp;"|"&amp;$H1862)</f>
        <v/>
      </c>
    </row>
    <row r="1863" customFormat="false" ht="15" hidden="false" customHeight="false" outlineLevel="0" collapsed="false">
      <c r="K1863" s="4" t="n">
        <f aca="false">IF($J1863="Y","",IF($F1863="BW",$I1863,$H1863*$I1863))</f>
        <v>0</v>
      </c>
      <c r="L1863" s="4" t="str">
        <f aca="false">IF($D1863="","",$D1863&amp;"|"&amp;$H1863)</f>
        <v/>
      </c>
    </row>
    <row r="1864" customFormat="false" ht="15" hidden="false" customHeight="false" outlineLevel="0" collapsed="false">
      <c r="K1864" s="4" t="n">
        <f aca="false">IF($J1864="Y","",IF($F1864="BW",$I1864,$H1864*$I1864))</f>
        <v>0</v>
      </c>
      <c r="L1864" s="4" t="str">
        <f aca="false">IF($D1864="","",$D1864&amp;"|"&amp;$H1864)</f>
        <v/>
      </c>
    </row>
    <row r="1865" customFormat="false" ht="15" hidden="false" customHeight="false" outlineLevel="0" collapsed="false">
      <c r="K1865" s="4" t="n">
        <f aca="false">IF($J1865="Y","",IF($F1865="BW",$I1865,$H1865*$I1865))</f>
        <v>0</v>
      </c>
      <c r="L1865" s="4" t="str">
        <f aca="false">IF($D1865="","",$D1865&amp;"|"&amp;$H1865)</f>
        <v/>
      </c>
    </row>
    <row r="1866" customFormat="false" ht="15" hidden="false" customHeight="false" outlineLevel="0" collapsed="false">
      <c r="K1866" s="4" t="n">
        <f aca="false">IF($J1866="Y","",IF($F1866="BW",$I1866,$H1866*$I1866))</f>
        <v>0</v>
      </c>
      <c r="L1866" s="4" t="str">
        <f aca="false">IF($D1866="","",$D1866&amp;"|"&amp;$H1866)</f>
        <v/>
      </c>
    </row>
    <row r="1867" customFormat="false" ht="15" hidden="false" customHeight="false" outlineLevel="0" collapsed="false">
      <c r="K1867" s="4" t="n">
        <f aca="false">IF($J1867="Y","",IF($F1867="BW",$I1867,$H1867*$I1867))</f>
        <v>0</v>
      </c>
      <c r="L1867" s="4" t="str">
        <f aca="false">IF($D1867="","",$D1867&amp;"|"&amp;$H1867)</f>
        <v/>
      </c>
    </row>
    <row r="1868" customFormat="false" ht="15" hidden="false" customHeight="false" outlineLevel="0" collapsed="false">
      <c r="K1868" s="4" t="n">
        <f aca="false">IF($J1868="Y","",IF($F1868="BW",$I1868,$H1868*$I1868))</f>
        <v>0</v>
      </c>
      <c r="L1868" s="4" t="str">
        <f aca="false">IF($D1868="","",$D1868&amp;"|"&amp;$H1868)</f>
        <v/>
      </c>
    </row>
    <row r="1869" customFormat="false" ht="15" hidden="false" customHeight="false" outlineLevel="0" collapsed="false">
      <c r="K1869" s="4" t="n">
        <f aca="false">IF($J1869="Y","",IF($F1869="BW",$I1869,$H1869*$I1869))</f>
        <v>0</v>
      </c>
      <c r="L1869" s="4" t="str">
        <f aca="false">IF($D1869="","",$D1869&amp;"|"&amp;$H1869)</f>
        <v/>
      </c>
    </row>
    <row r="1870" customFormat="false" ht="15" hidden="false" customHeight="false" outlineLevel="0" collapsed="false">
      <c r="K1870" s="4" t="n">
        <f aca="false">IF($J1870="Y","",IF($F1870="BW",$I1870,$H1870*$I1870))</f>
        <v>0</v>
      </c>
      <c r="L1870" s="4" t="str">
        <f aca="false">IF($D1870="","",$D1870&amp;"|"&amp;$H1870)</f>
        <v/>
      </c>
    </row>
    <row r="1871" customFormat="false" ht="15" hidden="false" customHeight="false" outlineLevel="0" collapsed="false">
      <c r="K1871" s="4" t="n">
        <f aca="false">IF($J1871="Y","",IF($F1871="BW",$I1871,$H1871*$I1871))</f>
        <v>0</v>
      </c>
      <c r="L1871" s="4" t="str">
        <f aca="false">IF($D1871="","",$D1871&amp;"|"&amp;$H1871)</f>
        <v/>
      </c>
    </row>
    <row r="1872" customFormat="false" ht="15" hidden="false" customHeight="false" outlineLevel="0" collapsed="false">
      <c r="K1872" s="4" t="n">
        <f aca="false">IF($J1872="Y","",IF($F1872="BW",$I1872,$H1872*$I1872))</f>
        <v>0</v>
      </c>
      <c r="L1872" s="4" t="str">
        <f aca="false">IF($D1872="","",$D1872&amp;"|"&amp;$H1872)</f>
        <v/>
      </c>
    </row>
    <row r="1873" customFormat="false" ht="15" hidden="false" customHeight="false" outlineLevel="0" collapsed="false">
      <c r="K1873" s="4" t="n">
        <f aca="false">IF($J1873="Y","",IF($F1873="BW",$I1873,$H1873*$I1873))</f>
        <v>0</v>
      </c>
      <c r="L1873" s="4" t="str">
        <f aca="false">IF($D1873="","",$D1873&amp;"|"&amp;$H1873)</f>
        <v/>
      </c>
    </row>
    <row r="1874" customFormat="false" ht="15" hidden="false" customHeight="false" outlineLevel="0" collapsed="false">
      <c r="K1874" s="4" t="n">
        <f aca="false">IF($J1874="Y","",IF($F1874="BW",$I1874,$H1874*$I1874))</f>
        <v>0</v>
      </c>
      <c r="L1874" s="4" t="str">
        <f aca="false">IF($D1874="","",$D1874&amp;"|"&amp;$H1874)</f>
        <v/>
      </c>
    </row>
    <row r="1875" customFormat="false" ht="15" hidden="false" customHeight="false" outlineLevel="0" collapsed="false">
      <c r="K1875" s="4" t="n">
        <f aca="false">IF($J1875="Y","",IF($F1875="BW",$I1875,$H1875*$I1875))</f>
        <v>0</v>
      </c>
      <c r="L1875" s="4" t="str">
        <f aca="false">IF($D1875="","",$D1875&amp;"|"&amp;$H1875)</f>
        <v/>
      </c>
    </row>
    <row r="1876" customFormat="false" ht="15" hidden="false" customHeight="false" outlineLevel="0" collapsed="false">
      <c r="K1876" s="4" t="n">
        <f aca="false">IF($J1876="Y","",IF($F1876="BW",$I1876,$H1876*$I1876))</f>
        <v>0</v>
      </c>
      <c r="L1876" s="4" t="str">
        <f aca="false">IF($D1876="","",$D1876&amp;"|"&amp;$H1876)</f>
        <v/>
      </c>
    </row>
    <row r="1877" customFormat="false" ht="15" hidden="false" customHeight="false" outlineLevel="0" collapsed="false">
      <c r="K1877" s="4" t="n">
        <f aca="false">IF($J1877="Y","",IF($F1877="BW",$I1877,$H1877*$I1877))</f>
        <v>0</v>
      </c>
      <c r="L1877" s="4" t="str">
        <f aca="false">IF($D1877="","",$D1877&amp;"|"&amp;$H1877)</f>
        <v/>
      </c>
    </row>
    <row r="1878" customFormat="false" ht="15" hidden="false" customHeight="false" outlineLevel="0" collapsed="false">
      <c r="K1878" s="4" t="n">
        <f aca="false">IF($J1878="Y","",IF($F1878="BW",$I1878,$H1878*$I1878))</f>
        <v>0</v>
      </c>
      <c r="L1878" s="4" t="str">
        <f aca="false">IF($D1878="","",$D1878&amp;"|"&amp;$H1878)</f>
        <v/>
      </c>
    </row>
    <row r="1879" customFormat="false" ht="15" hidden="false" customHeight="false" outlineLevel="0" collapsed="false">
      <c r="K1879" s="4" t="n">
        <f aca="false">IF($J1879="Y","",IF($F1879="BW",$I1879,$H1879*$I1879))</f>
        <v>0</v>
      </c>
      <c r="L1879" s="4" t="str">
        <f aca="false">IF($D1879="","",$D1879&amp;"|"&amp;$H1879)</f>
        <v/>
      </c>
    </row>
    <row r="1880" customFormat="false" ht="15" hidden="false" customHeight="false" outlineLevel="0" collapsed="false">
      <c r="K1880" s="4" t="n">
        <f aca="false">IF($J1880="Y","",IF($F1880="BW",$I1880,$H1880*$I1880))</f>
        <v>0</v>
      </c>
      <c r="L1880" s="4" t="str">
        <f aca="false">IF($D1880="","",$D1880&amp;"|"&amp;$H1880)</f>
        <v/>
      </c>
    </row>
    <row r="1881" customFormat="false" ht="15" hidden="false" customHeight="false" outlineLevel="0" collapsed="false">
      <c r="K1881" s="4" t="n">
        <f aca="false">IF($J1881="Y","",IF($F1881="BW",$I1881,$H1881*$I1881))</f>
        <v>0</v>
      </c>
      <c r="L1881" s="4" t="str">
        <f aca="false">IF($D1881="","",$D1881&amp;"|"&amp;$H1881)</f>
        <v/>
      </c>
    </row>
    <row r="1882" customFormat="false" ht="15" hidden="false" customHeight="false" outlineLevel="0" collapsed="false">
      <c r="K1882" s="4" t="n">
        <f aca="false">IF($J1882="Y","",IF($F1882="BW",$I1882,$H1882*$I1882))</f>
        <v>0</v>
      </c>
      <c r="L1882" s="4" t="str">
        <f aca="false">IF($D1882="","",$D1882&amp;"|"&amp;$H1882)</f>
        <v/>
      </c>
    </row>
    <row r="1883" customFormat="false" ht="15" hidden="false" customHeight="false" outlineLevel="0" collapsed="false">
      <c r="K1883" s="4" t="n">
        <f aca="false">IF($J1883="Y","",IF($F1883="BW",$I1883,$H1883*$I1883))</f>
        <v>0</v>
      </c>
      <c r="L1883" s="4" t="str">
        <f aca="false">IF($D1883="","",$D1883&amp;"|"&amp;$H1883)</f>
        <v/>
      </c>
    </row>
    <row r="1884" customFormat="false" ht="15" hidden="false" customHeight="false" outlineLevel="0" collapsed="false">
      <c r="K1884" s="4" t="n">
        <f aca="false">IF($J1884="Y","",IF($F1884="BW",$I1884,$H1884*$I1884))</f>
        <v>0</v>
      </c>
      <c r="L1884" s="4" t="str">
        <f aca="false">IF($D1884="","",$D1884&amp;"|"&amp;$H1884)</f>
        <v/>
      </c>
    </row>
    <row r="1885" customFormat="false" ht="15" hidden="false" customHeight="false" outlineLevel="0" collapsed="false">
      <c r="K1885" s="4" t="n">
        <f aca="false">IF($J1885="Y","",IF($F1885="BW",$I1885,$H1885*$I1885))</f>
        <v>0</v>
      </c>
      <c r="L1885" s="4" t="str">
        <f aca="false">IF($D1885="","",$D1885&amp;"|"&amp;$H1885)</f>
        <v/>
      </c>
    </row>
    <row r="1886" customFormat="false" ht="15" hidden="false" customHeight="false" outlineLevel="0" collapsed="false">
      <c r="K1886" s="4" t="n">
        <f aca="false">IF($J1886="Y","",IF($F1886="BW",$I1886,$H1886*$I1886))</f>
        <v>0</v>
      </c>
      <c r="L1886" s="4" t="str">
        <f aca="false">IF($D1886="","",$D1886&amp;"|"&amp;$H1886)</f>
        <v/>
      </c>
    </row>
    <row r="1887" customFormat="false" ht="15" hidden="false" customHeight="false" outlineLevel="0" collapsed="false">
      <c r="K1887" s="4" t="n">
        <f aca="false">IF($J1887="Y","",IF($F1887="BW",$I1887,$H1887*$I1887))</f>
        <v>0</v>
      </c>
      <c r="L1887" s="4" t="str">
        <f aca="false">IF($D1887="","",$D1887&amp;"|"&amp;$H1887)</f>
        <v/>
      </c>
    </row>
    <row r="1888" customFormat="false" ht="15" hidden="false" customHeight="false" outlineLevel="0" collapsed="false">
      <c r="K1888" s="4" t="n">
        <f aca="false">IF($J1888="Y","",IF($F1888="BW",$I1888,$H1888*$I1888))</f>
        <v>0</v>
      </c>
      <c r="L1888" s="4" t="str">
        <f aca="false">IF($D1888="","",$D1888&amp;"|"&amp;$H1888)</f>
        <v/>
      </c>
    </row>
    <row r="1889" customFormat="false" ht="15" hidden="false" customHeight="false" outlineLevel="0" collapsed="false">
      <c r="K1889" s="4" t="n">
        <f aca="false">IF($J1889="Y","",IF($F1889="BW",$I1889,$H1889*$I1889))</f>
        <v>0</v>
      </c>
      <c r="L1889" s="4" t="str">
        <f aca="false">IF($D1889="","",$D1889&amp;"|"&amp;$H1889)</f>
        <v/>
      </c>
    </row>
    <row r="1890" customFormat="false" ht="15" hidden="false" customHeight="false" outlineLevel="0" collapsed="false">
      <c r="K1890" s="4" t="n">
        <f aca="false">IF($J1890="Y","",IF($F1890="BW",$I1890,$H1890*$I1890))</f>
        <v>0</v>
      </c>
      <c r="L1890" s="4" t="str">
        <f aca="false">IF($D1890="","",$D1890&amp;"|"&amp;$H1890)</f>
        <v/>
      </c>
    </row>
    <row r="1891" customFormat="false" ht="15" hidden="false" customHeight="false" outlineLevel="0" collapsed="false">
      <c r="K1891" s="4" t="n">
        <f aca="false">IF($J1891="Y","",IF($F1891="BW",$I1891,$H1891*$I1891))</f>
        <v>0</v>
      </c>
      <c r="L1891" s="4" t="str">
        <f aca="false">IF($D1891="","",$D1891&amp;"|"&amp;$H1891)</f>
        <v/>
      </c>
    </row>
    <row r="1892" customFormat="false" ht="15" hidden="false" customHeight="false" outlineLevel="0" collapsed="false">
      <c r="K1892" s="4" t="n">
        <f aca="false">IF($J1892="Y","",IF($F1892="BW",$I1892,$H1892*$I1892))</f>
        <v>0</v>
      </c>
      <c r="L1892" s="4" t="str">
        <f aca="false">IF($D1892="","",$D1892&amp;"|"&amp;$H1892)</f>
        <v/>
      </c>
    </row>
    <row r="1893" customFormat="false" ht="15" hidden="false" customHeight="false" outlineLevel="0" collapsed="false">
      <c r="K1893" s="4" t="n">
        <f aca="false">IF($J1893="Y","",IF($F1893="BW",$I1893,$H1893*$I1893))</f>
        <v>0</v>
      </c>
      <c r="L1893" s="4" t="str">
        <f aca="false">IF($D1893="","",$D1893&amp;"|"&amp;$H1893)</f>
        <v/>
      </c>
    </row>
    <row r="1894" customFormat="false" ht="15" hidden="false" customHeight="false" outlineLevel="0" collapsed="false">
      <c r="K1894" s="4" t="n">
        <f aca="false">IF($J1894="Y","",IF($F1894="BW",$I1894,$H1894*$I1894))</f>
        <v>0</v>
      </c>
      <c r="L1894" s="4" t="str">
        <f aca="false">IF($D1894="","",$D1894&amp;"|"&amp;$H1894)</f>
        <v/>
      </c>
    </row>
    <row r="1895" customFormat="false" ht="15" hidden="false" customHeight="false" outlineLevel="0" collapsed="false">
      <c r="K1895" s="4" t="n">
        <f aca="false">IF($J1895="Y","",IF($F1895="BW",$I1895,$H1895*$I1895))</f>
        <v>0</v>
      </c>
      <c r="L1895" s="4" t="str">
        <f aca="false">IF($D1895="","",$D1895&amp;"|"&amp;$H1895)</f>
        <v/>
      </c>
    </row>
    <row r="1896" customFormat="false" ht="15" hidden="false" customHeight="false" outlineLevel="0" collapsed="false">
      <c r="K1896" s="4" t="n">
        <f aca="false">IF($J1896="Y","",IF($F1896="BW",$I1896,$H1896*$I1896))</f>
        <v>0</v>
      </c>
      <c r="L1896" s="4" t="str">
        <f aca="false">IF($D1896="","",$D1896&amp;"|"&amp;$H1896)</f>
        <v/>
      </c>
    </row>
    <row r="1897" customFormat="false" ht="15" hidden="false" customHeight="false" outlineLevel="0" collapsed="false">
      <c r="K1897" s="4" t="n">
        <f aca="false">IF($J1897="Y","",IF($F1897="BW",$I1897,$H1897*$I1897))</f>
        <v>0</v>
      </c>
      <c r="L1897" s="4" t="str">
        <f aca="false">IF($D1897="","",$D1897&amp;"|"&amp;$H1897)</f>
        <v/>
      </c>
    </row>
    <row r="1898" customFormat="false" ht="15" hidden="false" customHeight="false" outlineLevel="0" collapsed="false">
      <c r="K1898" s="4" t="n">
        <f aca="false">IF($J1898="Y","",IF($F1898="BW",$I1898,$H1898*$I1898))</f>
        <v>0</v>
      </c>
      <c r="L1898" s="4" t="str">
        <f aca="false">IF($D1898="","",$D1898&amp;"|"&amp;$H1898)</f>
        <v/>
      </c>
    </row>
    <row r="1899" customFormat="false" ht="15" hidden="false" customHeight="false" outlineLevel="0" collapsed="false">
      <c r="K1899" s="4" t="n">
        <f aca="false">IF($J1899="Y","",IF($F1899="BW",$I1899,$H1899*$I1899))</f>
        <v>0</v>
      </c>
      <c r="L1899" s="4" t="str">
        <f aca="false">IF($D1899="","",$D1899&amp;"|"&amp;$H1899)</f>
        <v/>
      </c>
    </row>
    <row r="1900" customFormat="false" ht="15" hidden="false" customHeight="false" outlineLevel="0" collapsed="false">
      <c r="K1900" s="4" t="n">
        <f aca="false">IF($J1900="Y","",IF($F1900="BW",$I1900,$H1900*$I1900))</f>
        <v>0</v>
      </c>
      <c r="L1900" s="4" t="str">
        <f aca="false">IF($D1900="","",$D1900&amp;"|"&amp;$H1900)</f>
        <v/>
      </c>
    </row>
    <row r="1901" customFormat="false" ht="15" hidden="false" customHeight="false" outlineLevel="0" collapsed="false">
      <c r="K1901" s="4" t="n">
        <f aca="false">IF($J1901="Y","",IF($F1901="BW",$I1901,$H1901*$I1901))</f>
        <v>0</v>
      </c>
      <c r="L1901" s="4" t="str">
        <f aca="false">IF($D1901="","",$D1901&amp;"|"&amp;$H1901)</f>
        <v/>
      </c>
    </row>
    <row r="1902" customFormat="false" ht="15" hidden="false" customHeight="false" outlineLevel="0" collapsed="false">
      <c r="K1902" s="4" t="n">
        <f aca="false">IF($J1902="Y","",IF($F1902="BW",$I1902,$H1902*$I1902))</f>
        <v>0</v>
      </c>
      <c r="L1902" s="4" t="str">
        <f aca="false">IF($D1902="","",$D1902&amp;"|"&amp;$H1902)</f>
        <v/>
      </c>
    </row>
    <row r="1903" customFormat="false" ht="15" hidden="false" customHeight="false" outlineLevel="0" collapsed="false">
      <c r="K1903" s="4" t="n">
        <f aca="false">IF($J1903="Y","",IF($F1903="BW",$I1903,$H1903*$I1903))</f>
        <v>0</v>
      </c>
      <c r="L1903" s="4" t="str">
        <f aca="false">IF($D1903="","",$D1903&amp;"|"&amp;$H1903)</f>
        <v/>
      </c>
    </row>
    <row r="1904" customFormat="false" ht="15" hidden="false" customHeight="false" outlineLevel="0" collapsed="false">
      <c r="K1904" s="4" t="n">
        <f aca="false">IF($J1904="Y","",IF($F1904="BW",$I1904,$H1904*$I1904))</f>
        <v>0</v>
      </c>
      <c r="L1904" s="4" t="str">
        <f aca="false">IF($D1904="","",$D1904&amp;"|"&amp;$H1904)</f>
        <v/>
      </c>
    </row>
    <row r="1905" customFormat="false" ht="15" hidden="false" customHeight="false" outlineLevel="0" collapsed="false">
      <c r="K1905" s="4" t="n">
        <f aca="false">IF($J1905="Y","",IF($F1905="BW",$I1905,$H1905*$I1905))</f>
        <v>0</v>
      </c>
      <c r="L1905" s="4" t="str">
        <f aca="false">IF($D1905="","",$D1905&amp;"|"&amp;$H1905)</f>
        <v/>
      </c>
    </row>
    <row r="1906" customFormat="false" ht="15" hidden="false" customHeight="false" outlineLevel="0" collapsed="false">
      <c r="K1906" s="4" t="n">
        <f aca="false">IF($J1906="Y","",IF($F1906="BW",$I1906,$H1906*$I1906))</f>
        <v>0</v>
      </c>
      <c r="L1906" s="4" t="str">
        <f aca="false">IF($D1906="","",$D1906&amp;"|"&amp;$H1906)</f>
        <v/>
      </c>
    </row>
    <row r="1907" customFormat="false" ht="15" hidden="false" customHeight="false" outlineLevel="0" collapsed="false">
      <c r="K1907" s="4" t="n">
        <f aca="false">IF($J1907="Y","",IF($F1907="BW",$I1907,$H1907*$I1907))</f>
        <v>0</v>
      </c>
      <c r="L1907" s="4" t="str">
        <f aca="false">IF($D1907="","",$D1907&amp;"|"&amp;$H1907)</f>
        <v/>
      </c>
    </row>
    <row r="1908" customFormat="false" ht="15" hidden="false" customHeight="false" outlineLevel="0" collapsed="false">
      <c r="K1908" s="4" t="n">
        <f aca="false">IF($J1908="Y","",IF($F1908="BW",$I1908,$H1908*$I1908))</f>
        <v>0</v>
      </c>
      <c r="L1908" s="4" t="str">
        <f aca="false">IF($D1908="","",$D1908&amp;"|"&amp;$H1908)</f>
        <v/>
      </c>
    </row>
    <row r="1909" customFormat="false" ht="15" hidden="false" customHeight="false" outlineLevel="0" collapsed="false">
      <c r="K1909" s="4" t="n">
        <f aca="false">IF($J1909="Y","",IF($F1909="BW",$I1909,$H1909*$I1909))</f>
        <v>0</v>
      </c>
      <c r="L1909" s="4" t="str">
        <f aca="false">IF($D1909="","",$D1909&amp;"|"&amp;$H1909)</f>
        <v/>
      </c>
    </row>
    <row r="1910" customFormat="false" ht="15" hidden="false" customHeight="false" outlineLevel="0" collapsed="false">
      <c r="K1910" s="4" t="n">
        <f aca="false">IF($J1910="Y","",IF($F1910="BW",$I1910,$H1910*$I1910))</f>
        <v>0</v>
      </c>
      <c r="L1910" s="4" t="str">
        <f aca="false">IF($D1910="","",$D1910&amp;"|"&amp;$H1910)</f>
        <v/>
      </c>
    </row>
    <row r="1911" customFormat="false" ht="15" hidden="false" customHeight="false" outlineLevel="0" collapsed="false">
      <c r="K1911" s="4" t="n">
        <f aca="false">IF($J1911="Y","",IF($F1911="BW",$I1911,$H1911*$I1911))</f>
        <v>0</v>
      </c>
      <c r="L1911" s="4" t="str">
        <f aca="false">IF($D1911="","",$D1911&amp;"|"&amp;$H1911)</f>
        <v/>
      </c>
    </row>
    <row r="1912" customFormat="false" ht="15" hidden="false" customHeight="false" outlineLevel="0" collapsed="false">
      <c r="K1912" s="4" t="n">
        <f aca="false">IF($J1912="Y","",IF($F1912="BW",$I1912,$H1912*$I1912))</f>
        <v>0</v>
      </c>
      <c r="L1912" s="4" t="str">
        <f aca="false">IF($D1912="","",$D1912&amp;"|"&amp;$H1912)</f>
        <v/>
      </c>
    </row>
    <row r="1913" customFormat="false" ht="15" hidden="false" customHeight="false" outlineLevel="0" collapsed="false">
      <c r="K1913" s="4" t="n">
        <f aca="false">IF($J1913="Y","",IF($F1913="BW",$I1913,$H1913*$I1913))</f>
        <v>0</v>
      </c>
      <c r="L1913" s="4" t="str">
        <f aca="false">IF($D1913="","",$D1913&amp;"|"&amp;$H1913)</f>
        <v/>
      </c>
    </row>
    <row r="1914" customFormat="false" ht="15" hidden="false" customHeight="false" outlineLevel="0" collapsed="false">
      <c r="K1914" s="4" t="n">
        <f aca="false">IF($J1914="Y","",IF($F1914="BW",$I1914,$H1914*$I1914))</f>
        <v>0</v>
      </c>
      <c r="L1914" s="4" t="str">
        <f aca="false">IF($D1914="","",$D1914&amp;"|"&amp;$H1914)</f>
        <v/>
      </c>
    </row>
    <row r="1915" customFormat="false" ht="15" hidden="false" customHeight="false" outlineLevel="0" collapsed="false">
      <c r="K1915" s="4" t="n">
        <f aca="false">IF($J1915="Y","",IF($F1915="BW",$I1915,$H1915*$I1915))</f>
        <v>0</v>
      </c>
      <c r="L1915" s="4" t="str">
        <f aca="false">IF($D1915="","",$D1915&amp;"|"&amp;$H1915)</f>
        <v/>
      </c>
    </row>
    <row r="1916" customFormat="false" ht="15" hidden="false" customHeight="false" outlineLevel="0" collapsed="false">
      <c r="K1916" s="4" t="n">
        <f aca="false">IF($J1916="Y","",IF($F1916="BW",$I1916,$H1916*$I1916))</f>
        <v>0</v>
      </c>
      <c r="L1916" s="4" t="str">
        <f aca="false">IF($D1916="","",$D1916&amp;"|"&amp;$H1916)</f>
        <v/>
      </c>
    </row>
    <row r="1917" customFormat="false" ht="15" hidden="false" customHeight="false" outlineLevel="0" collapsed="false">
      <c r="K1917" s="4" t="n">
        <f aca="false">IF($J1917="Y","",IF($F1917="BW",$I1917,$H1917*$I1917))</f>
        <v>0</v>
      </c>
      <c r="L1917" s="4" t="str">
        <f aca="false">IF($D1917="","",$D1917&amp;"|"&amp;$H1917)</f>
        <v/>
      </c>
    </row>
    <row r="1918" customFormat="false" ht="15" hidden="false" customHeight="false" outlineLevel="0" collapsed="false">
      <c r="K1918" s="4" t="n">
        <f aca="false">IF($J1918="Y","",IF($F1918="BW",$I1918,$H1918*$I1918))</f>
        <v>0</v>
      </c>
      <c r="L1918" s="4" t="str">
        <f aca="false">IF($D1918="","",$D1918&amp;"|"&amp;$H1918)</f>
        <v/>
      </c>
    </row>
    <row r="1919" customFormat="false" ht="15" hidden="false" customHeight="false" outlineLevel="0" collapsed="false">
      <c r="K1919" s="4" t="n">
        <f aca="false">IF($J1919="Y","",IF($F1919="BW",$I1919,$H1919*$I1919))</f>
        <v>0</v>
      </c>
      <c r="L1919" s="4" t="str">
        <f aca="false">IF($D1919="","",$D1919&amp;"|"&amp;$H1919)</f>
        <v/>
      </c>
    </row>
    <row r="1920" customFormat="false" ht="15" hidden="false" customHeight="false" outlineLevel="0" collapsed="false">
      <c r="K1920" s="4" t="n">
        <f aca="false">IF($J1920="Y","",IF($F1920="BW",$I1920,$H1920*$I1920))</f>
        <v>0</v>
      </c>
      <c r="L1920" s="4" t="str">
        <f aca="false">IF($D1920="","",$D1920&amp;"|"&amp;$H1920)</f>
        <v/>
      </c>
    </row>
    <row r="1921" customFormat="false" ht="15" hidden="false" customHeight="false" outlineLevel="0" collapsed="false">
      <c r="K1921" s="4" t="n">
        <f aca="false">IF($J1921="Y","",IF($F1921="BW",$I1921,$H1921*$I1921))</f>
        <v>0</v>
      </c>
      <c r="L1921" s="4" t="str">
        <f aca="false">IF($D1921="","",$D1921&amp;"|"&amp;$H1921)</f>
        <v/>
      </c>
    </row>
    <row r="1922" customFormat="false" ht="15" hidden="false" customHeight="false" outlineLevel="0" collapsed="false">
      <c r="K1922" s="4" t="n">
        <f aca="false">IF($J1922="Y","",IF($F1922="BW",$I1922,$H1922*$I1922))</f>
        <v>0</v>
      </c>
      <c r="L1922" s="4" t="str">
        <f aca="false">IF($D1922="","",$D1922&amp;"|"&amp;$H1922)</f>
        <v/>
      </c>
    </row>
    <row r="1923" customFormat="false" ht="15" hidden="false" customHeight="false" outlineLevel="0" collapsed="false">
      <c r="K1923" s="4" t="n">
        <f aca="false">IF($J1923="Y","",IF($F1923="BW",$I1923,$H1923*$I1923))</f>
        <v>0</v>
      </c>
      <c r="L1923" s="4" t="str">
        <f aca="false">IF($D1923="","",$D1923&amp;"|"&amp;$H1923)</f>
        <v/>
      </c>
    </row>
    <row r="1924" customFormat="false" ht="15" hidden="false" customHeight="false" outlineLevel="0" collapsed="false">
      <c r="K1924" s="4" t="n">
        <f aca="false">IF($J1924="Y","",IF($F1924="BW",$I1924,$H1924*$I1924))</f>
        <v>0</v>
      </c>
      <c r="L1924" s="4" t="str">
        <f aca="false">IF($D1924="","",$D1924&amp;"|"&amp;$H1924)</f>
        <v/>
      </c>
    </row>
    <row r="1925" customFormat="false" ht="15" hidden="false" customHeight="false" outlineLevel="0" collapsed="false">
      <c r="K1925" s="4" t="n">
        <f aca="false">IF($J1925="Y","",IF($F1925="BW",$I1925,$H1925*$I1925))</f>
        <v>0</v>
      </c>
      <c r="L1925" s="4" t="str">
        <f aca="false">IF($D1925="","",$D1925&amp;"|"&amp;$H1925)</f>
        <v/>
      </c>
    </row>
    <row r="1926" customFormat="false" ht="15" hidden="false" customHeight="false" outlineLevel="0" collapsed="false">
      <c r="K1926" s="4" t="n">
        <f aca="false">IF($J1926="Y","",IF($F1926="BW",$I1926,$H1926*$I1926))</f>
        <v>0</v>
      </c>
      <c r="L1926" s="4" t="str">
        <f aca="false">IF($D1926="","",$D1926&amp;"|"&amp;$H1926)</f>
        <v/>
      </c>
    </row>
    <row r="1927" customFormat="false" ht="15" hidden="false" customHeight="false" outlineLevel="0" collapsed="false">
      <c r="K1927" s="4" t="n">
        <f aca="false">IF($J1927="Y","",IF($F1927="BW",$I1927,$H1927*$I1927))</f>
        <v>0</v>
      </c>
      <c r="L1927" s="4" t="str">
        <f aca="false">IF($D1927="","",$D1927&amp;"|"&amp;$H1927)</f>
        <v/>
      </c>
    </row>
    <row r="1928" customFormat="false" ht="15" hidden="false" customHeight="false" outlineLevel="0" collapsed="false">
      <c r="K1928" s="4" t="n">
        <f aca="false">IF($J1928="Y","",IF($F1928="BW",$I1928,$H1928*$I1928))</f>
        <v>0</v>
      </c>
      <c r="L1928" s="4" t="str">
        <f aca="false">IF($D1928="","",$D1928&amp;"|"&amp;$H1928)</f>
        <v/>
      </c>
    </row>
    <row r="1929" customFormat="false" ht="15" hidden="false" customHeight="false" outlineLevel="0" collapsed="false">
      <c r="K1929" s="4" t="n">
        <f aca="false">IF($J1929="Y","",IF($F1929="BW",$I1929,$H1929*$I1929))</f>
        <v>0</v>
      </c>
      <c r="L1929" s="4" t="str">
        <f aca="false">IF($D1929="","",$D1929&amp;"|"&amp;$H1929)</f>
        <v/>
      </c>
    </row>
    <row r="1930" customFormat="false" ht="15" hidden="false" customHeight="false" outlineLevel="0" collapsed="false">
      <c r="K1930" s="4" t="n">
        <f aca="false">IF($J1930="Y","",IF($F1930="BW",$I1930,$H1930*$I1930))</f>
        <v>0</v>
      </c>
      <c r="L1930" s="4" t="str">
        <f aca="false">IF($D1930="","",$D1930&amp;"|"&amp;$H1930)</f>
        <v/>
      </c>
    </row>
    <row r="1931" customFormat="false" ht="15" hidden="false" customHeight="false" outlineLevel="0" collapsed="false">
      <c r="K1931" s="4" t="n">
        <f aca="false">IF($J1931="Y","",IF($F1931="BW",$I1931,$H1931*$I1931))</f>
        <v>0</v>
      </c>
      <c r="L1931" s="4" t="str">
        <f aca="false">IF($D1931="","",$D1931&amp;"|"&amp;$H1931)</f>
        <v/>
      </c>
    </row>
    <row r="1932" customFormat="false" ht="15" hidden="false" customHeight="false" outlineLevel="0" collapsed="false">
      <c r="K1932" s="4" t="n">
        <f aca="false">IF($J1932="Y","",IF($F1932="BW",$I1932,$H1932*$I1932))</f>
        <v>0</v>
      </c>
      <c r="L1932" s="4" t="str">
        <f aca="false">IF($D1932="","",$D1932&amp;"|"&amp;$H1932)</f>
        <v/>
      </c>
    </row>
    <row r="1933" customFormat="false" ht="15" hidden="false" customHeight="false" outlineLevel="0" collapsed="false">
      <c r="K1933" s="4" t="n">
        <f aca="false">IF($J1933="Y","",IF($F1933="BW",$I1933,$H1933*$I1933))</f>
        <v>0</v>
      </c>
      <c r="L1933" s="4" t="str">
        <f aca="false">IF($D1933="","",$D1933&amp;"|"&amp;$H1933)</f>
        <v/>
      </c>
    </row>
    <row r="1934" customFormat="false" ht="15" hidden="false" customHeight="false" outlineLevel="0" collapsed="false">
      <c r="K1934" s="4" t="n">
        <f aca="false">IF($J1934="Y","",IF($F1934="BW",$I1934,$H1934*$I1934))</f>
        <v>0</v>
      </c>
      <c r="L1934" s="4" t="str">
        <f aca="false">IF($D1934="","",$D1934&amp;"|"&amp;$H1934)</f>
        <v/>
      </c>
    </row>
    <row r="1935" customFormat="false" ht="15" hidden="false" customHeight="false" outlineLevel="0" collapsed="false">
      <c r="K1935" s="4" t="n">
        <f aca="false">IF($J1935="Y","",IF($F1935="BW",$I1935,$H1935*$I1935))</f>
        <v>0</v>
      </c>
      <c r="L1935" s="4" t="str">
        <f aca="false">IF($D1935="","",$D1935&amp;"|"&amp;$H1935)</f>
        <v/>
      </c>
    </row>
    <row r="1936" customFormat="false" ht="15" hidden="false" customHeight="false" outlineLevel="0" collapsed="false">
      <c r="K1936" s="4" t="n">
        <f aca="false">IF($J1936="Y","",IF($F1936="BW",$I1936,$H1936*$I1936))</f>
        <v>0</v>
      </c>
      <c r="L1936" s="4" t="str">
        <f aca="false">IF($D1936="","",$D1936&amp;"|"&amp;$H1936)</f>
        <v/>
      </c>
    </row>
    <row r="1937" customFormat="false" ht="15" hidden="false" customHeight="false" outlineLevel="0" collapsed="false">
      <c r="K1937" s="4" t="n">
        <f aca="false">IF($J1937="Y","",IF($F1937="BW",$I1937,$H1937*$I1937))</f>
        <v>0</v>
      </c>
      <c r="L1937" s="4" t="str">
        <f aca="false">IF($D1937="","",$D1937&amp;"|"&amp;$H1937)</f>
        <v/>
      </c>
    </row>
    <row r="1938" customFormat="false" ht="15" hidden="false" customHeight="false" outlineLevel="0" collapsed="false">
      <c r="K1938" s="4" t="n">
        <f aca="false">IF($J1938="Y","",IF($F1938="BW",$I1938,$H1938*$I1938))</f>
        <v>0</v>
      </c>
      <c r="L1938" s="4" t="str">
        <f aca="false">IF($D1938="","",$D1938&amp;"|"&amp;$H1938)</f>
        <v/>
      </c>
    </row>
    <row r="1939" customFormat="false" ht="15" hidden="false" customHeight="false" outlineLevel="0" collapsed="false">
      <c r="K1939" s="4" t="n">
        <f aca="false">IF($J1939="Y","",IF($F1939="BW",$I1939,$H1939*$I1939))</f>
        <v>0</v>
      </c>
      <c r="L1939" s="4" t="str">
        <f aca="false">IF($D1939="","",$D1939&amp;"|"&amp;$H1939)</f>
        <v/>
      </c>
    </row>
    <row r="1940" customFormat="false" ht="15" hidden="false" customHeight="false" outlineLevel="0" collapsed="false">
      <c r="K1940" s="4" t="n">
        <f aca="false">IF($J1940="Y","",IF($F1940="BW",$I1940,$H1940*$I1940))</f>
        <v>0</v>
      </c>
      <c r="L1940" s="4" t="str">
        <f aca="false">IF($D1940="","",$D1940&amp;"|"&amp;$H1940)</f>
        <v/>
      </c>
    </row>
    <row r="1941" customFormat="false" ht="15" hidden="false" customHeight="false" outlineLevel="0" collapsed="false">
      <c r="K1941" s="4" t="n">
        <f aca="false">IF($J1941="Y","",IF($F1941="BW",$I1941,$H1941*$I1941))</f>
        <v>0</v>
      </c>
      <c r="L1941" s="4" t="str">
        <f aca="false">IF($D1941="","",$D1941&amp;"|"&amp;$H1941)</f>
        <v/>
      </c>
    </row>
    <row r="1942" customFormat="false" ht="15" hidden="false" customHeight="false" outlineLevel="0" collapsed="false">
      <c r="K1942" s="4" t="n">
        <f aca="false">IF($J1942="Y","",IF($F1942="BW",$I1942,$H1942*$I1942))</f>
        <v>0</v>
      </c>
      <c r="L1942" s="4" t="str">
        <f aca="false">IF($D1942="","",$D1942&amp;"|"&amp;$H1942)</f>
        <v/>
      </c>
    </row>
    <row r="1943" customFormat="false" ht="15" hidden="false" customHeight="false" outlineLevel="0" collapsed="false">
      <c r="K1943" s="4" t="n">
        <f aca="false">IF($J1943="Y","",IF($F1943="BW",$I1943,$H1943*$I1943))</f>
        <v>0</v>
      </c>
      <c r="L1943" s="4" t="str">
        <f aca="false">IF($D1943="","",$D1943&amp;"|"&amp;$H1943)</f>
        <v/>
      </c>
    </row>
    <row r="1944" customFormat="false" ht="15" hidden="false" customHeight="false" outlineLevel="0" collapsed="false">
      <c r="K1944" s="4" t="n">
        <f aca="false">IF($J1944="Y","",IF($F1944="BW",$I1944,$H1944*$I1944))</f>
        <v>0</v>
      </c>
      <c r="L1944" s="4" t="str">
        <f aca="false">IF($D1944="","",$D1944&amp;"|"&amp;$H1944)</f>
        <v/>
      </c>
    </row>
    <row r="1945" customFormat="false" ht="15" hidden="false" customHeight="false" outlineLevel="0" collapsed="false">
      <c r="K1945" s="4" t="n">
        <f aca="false">IF($J1945="Y","",IF($F1945="BW",$I1945,$H1945*$I1945))</f>
        <v>0</v>
      </c>
      <c r="L1945" s="4" t="str">
        <f aca="false">IF($D1945="","",$D1945&amp;"|"&amp;$H1945)</f>
        <v/>
      </c>
    </row>
    <row r="1946" customFormat="false" ht="15" hidden="false" customHeight="false" outlineLevel="0" collapsed="false">
      <c r="K1946" s="4" t="n">
        <f aca="false">IF($J1946="Y","",IF($F1946="BW",$I1946,$H1946*$I1946))</f>
        <v>0</v>
      </c>
      <c r="L1946" s="4" t="str">
        <f aca="false">IF($D1946="","",$D1946&amp;"|"&amp;$H1946)</f>
        <v/>
      </c>
    </row>
    <row r="1947" customFormat="false" ht="15" hidden="false" customHeight="false" outlineLevel="0" collapsed="false">
      <c r="K1947" s="4" t="n">
        <f aca="false">IF($J1947="Y","",IF($F1947="BW",$I1947,$H1947*$I1947))</f>
        <v>0</v>
      </c>
      <c r="L1947" s="4" t="str">
        <f aca="false">IF($D1947="","",$D1947&amp;"|"&amp;$H1947)</f>
        <v/>
      </c>
    </row>
    <row r="1948" customFormat="false" ht="15" hidden="false" customHeight="false" outlineLevel="0" collapsed="false">
      <c r="K1948" s="4" t="n">
        <f aca="false">IF($J1948="Y","",IF($F1948="BW",$I1948,$H1948*$I1948))</f>
        <v>0</v>
      </c>
      <c r="L1948" s="4" t="str">
        <f aca="false">IF($D1948="","",$D1948&amp;"|"&amp;$H1948)</f>
        <v/>
      </c>
    </row>
    <row r="1949" customFormat="false" ht="15" hidden="false" customHeight="false" outlineLevel="0" collapsed="false">
      <c r="K1949" s="4" t="n">
        <f aca="false">IF($J1949="Y","",IF($F1949="BW",$I1949,$H1949*$I1949))</f>
        <v>0</v>
      </c>
      <c r="L1949" s="4" t="str">
        <f aca="false">IF($D1949="","",$D1949&amp;"|"&amp;$H1949)</f>
        <v/>
      </c>
    </row>
    <row r="1950" customFormat="false" ht="15" hidden="false" customHeight="false" outlineLevel="0" collapsed="false">
      <c r="K1950" s="4" t="n">
        <f aca="false">IF($J1950="Y","",IF($F1950="BW",$I1950,$H1950*$I1950))</f>
        <v>0</v>
      </c>
      <c r="L1950" s="4" t="str">
        <f aca="false">IF($D1950="","",$D1950&amp;"|"&amp;$H1950)</f>
        <v/>
      </c>
    </row>
    <row r="1951" customFormat="false" ht="15" hidden="false" customHeight="false" outlineLevel="0" collapsed="false">
      <c r="K1951" s="4" t="n">
        <f aca="false">IF($J1951="Y","",IF($F1951="BW",$I1951,$H1951*$I1951))</f>
        <v>0</v>
      </c>
      <c r="L1951" s="4" t="str">
        <f aca="false">IF($D1951="","",$D1951&amp;"|"&amp;$H1951)</f>
        <v/>
      </c>
    </row>
    <row r="1952" customFormat="false" ht="15" hidden="false" customHeight="false" outlineLevel="0" collapsed="false">
      <c r="K1952" s="4" t="n">
        <f aca="false">IF($J1952="Y","",IF($F1952="BW",$I1952,$H1952*$I1952))</f>
        <v>0</v>
      </c>
      <c r="L1952" s="4" t="str">
        <f aca="false">IF($D1952="","",$D1952&amp;"|"&amp;$H1952)</f>
        <v/>
      </c>
    </row>
    <row r="1953" customFormat="false" ht="15" hidden="false" customHeight="false" outlineLevel="0" collapsed="false">
      <c r="K1953" s="4" t="n">
        <f aca="false">IF($J1953="Y","",IF($F1953="BW",$I1953,$H1953*$I1953))</f>
        <v>0</v>
      </c>
      <c r="L1953" s="4" t="str">
        <f aca="false">IF($D1953="","",$D1953&amp;"|"&amp;$H1953)</f>
        <v/>
      </c>
    </row>
    <row r="1954" customFormat="false" ht="15" hidden="false" customHeight="false" outlineLevel="0" collapsed="false">
      <c r="K1954" s="4" t="n">
        <f aca="false">IF($J1954="Y","",IF($F1954="BW",$I1954,$H1954*$I1954))</f>
        <v>0</v>
      </c>
      <c r="L1954" s="4" t="str">
        <f aca="false">IF($D1954="","",$D1954&amp;"|"&amp;$H1954)</f>
        <v/>
      </c>
    </row>
    <row r="1955" customFormat="false" ht="15" hidden="false" customHeight="false" outlineLevel="0" collapsed="false">
      <c r="K1955" s="4" t="n">
        <f aca="false">IF($J1955="Y","",IF($F1955="BW",$I1955,$H1955*$I1955))</f>
        <v>0</v>
      </c>
      <c r="L1955" s="4" t="str">
        <f aca="false">IF($D1955="","",$D1955&amp;"|"&amp;$H1955)</f>
        <v/>
      </c>
    </row>
    <row r="1956" customFormat="false" ht="15" hidden="false" customHeight="false" outlineLevel="0" collapsed="false">
      <c r="K1956" s="4" t="n">
        <f aca="false">IF($J1956="Y","",IF($F1956="BW",$I1956,$H1956*$I1956))</f>
        <v>0</v>
      </c>
      <c r="L1956" s="4" t="str">
        <f aca="false">IF($D1956="","",$D1956&amp;"|"&amp;$H1956)</f>
        <v/>
      </c>
    </row>
    <row r="1957" customFormat="false" ht="15" hidden="false" customHeight="false" outlineLevel="0" collapsed="false">
      <c r="K1957" s="4" t="n">
        <f aca="false">IF($J1957="Y","",IF($F1957="BW",$I1957,$H1957*$I1957))</f>
        <v>0</v>
      </c>
      <c r="L1957" s="4" t="str">
        <f aca="false">IF($D1957="","",$D1957&amp;"|"&amp;$H1957)</f>
        <v/>
      </c>
    </row>
    <row r="1958" customFormat="false" ht="15" hidden="false" customHeight="false" outlineLevel="0" collapsed="false">
      <c r="K1958" s="4" t="n">
        <f aca="false">IF($J1958="Y","",IF($F1958="BW",$I1958,$H1958*$I1958))</f>
        <v>0</v>
      </c>
      <c r="L1958" s="4" t="str">
        <f aca="false">IF($D1958="","",$D1958&amp;"|"&amp;$H1958)</f>
        <v/>
      </c>
    </row>
    <row r="1959" customFormat="false" ht="15" hidden="false" customHeight="false" outlineLevel="0" collapsed="false">
      <c r="K1959" s="4" t="n">
        <f aca="false">IF($J1959="Y","",IF($F1959="BW",$I1959,$H1959*$I1959))</f>
        <v>0</v>
      </c>
      <c r="L1959" s="4" t="str">
        <f aca="false">IF($D1959="","",$D1959&amp;"|"&amp;$H1959)</f>
        <v/>
      </c>
    </row>
    <row r="1960" customFormat="false" ht="15" hidden="false" customHeight="false" outlineLevel="0" collapsed="false">
      <c r="K1960" s="4" t="n">
        <f aca="false">IF($J1960="Y","",IF($F1960="BW",$I1960,$H1960*$I1960))</f>
        <v>0</v>
      </c>
      <c r="L1960" s="4" t="str">
        <f aca="false">IF($D1960="","",$D1960&amp;"|"&amp;$H1960)</f>
        <v/>
      </c>
    </row>
    <row r="1961" customFormat="false" ht="15" hidden="false" customHeight="false" outlineLevel="0" collapsed="false">
      <c r="K1961" s="4" t="n">
        <f aca="false">IF($J1961="Y","",IF($F1961="BW",$I1961,$H1961*$I1961))</f>
        <v>0</v>
      </c>
      <c r="L1961" s="4" t="str">
        <f aca="false">IF($D1961="","",$D1961&amp;"|"&amp;$H1961)</f>
        <v/>
      </c>
    </row>
    <row r="1962" customFormat="false" ht="15" hidden="false" customHeight="false" outlineLevel="0" collapsed="false">
      <c r="K1962" s="4" t="n">
        <f aca="false">IF($J1962="Y","",IF($F1962="BW",$I1962,$H1962*$I1962))</f>
        <v>0</v>
      </c>
      <c r="L1962" s="4" t="str">
        <f aca="false">IF($D1962="","",$D1962&amp;"|"&amp;$H1962)</f>
        <v/>
      </c>
    </row>
    <row r="1963" customFormat="false" ht="15" hidden="false" customHeight="false" outlineLevel="0" collapsed="false">
      <c r="K1963" s="4" t="n">
        <f aca="false">IF($J1963="Y","",IF($F1963="BW",$I1963,$H1963*$I1963))</f>
        <v>0</v>
      </c>
      <c r="L1963" s="4" t="str">
        <f aca="false">IF($D1963="","",$D1963&amp;"|"&amp;$H1963)</f>
        <v/>
      </c>
    </row>
    <row r="1964" customFormat="false" ht="15" hidden="false" customHeight="false" outlineLevel="0" collapsed="false">
      <c r="K1964" s="4" t="n">
        <f aca="false">IF($J1964="Y","",IF($F1964="BW",$I1964,$H1964*$I1964))</f>
        <v>0</v>
      </c>
      <c r="L1964" s="4" t="str">
        <f aca="false">IF($D1964="","",$D1964&amp;"|"&amp;$H1964)</f>
        <v/>
      </c>
    </row>
    <row r="1965" customFormat="false" ht="15" hidden="false" customHeight="false" outlineLevel="0" collapsed="false">
      <c r="K1965" s="4" t="n">
        <f aca="false">IF($J1965="Y","",IF($F1965="BW",$I1965,$H1965*$I1965))</f>
        <v>0</v>
      </c>
      <c r="L1965" s="4" t="str">
        <f aca="false">IF($D1965="","",$D1965&amp;"|"&amp;$H1965)</f>
        <v/>
      </c>
    </row>
    <row r="1966" customFormat="false" ht="15" hidden="false" customHeight="false" outlineLevel="0" collapsed="false">
      <c r="K1966" s="4" t="n">
        <f aca="false">IF($J1966="Y","",IF($F1966="BW",$I1966,$H1966*$I1966))</f>
        <v>0</v>
      </c>
      <c r="L1966" s="4" t="str">
        <f aca="false">IF($D1966="","",$D1966&amp;"|"&amp;$H1966)</f>
        <v/>
      </c>
    </row>
    <row r="1967" customFormat="false" ht="15" hidden="false" customHeight="false" outlineLevel="0" collapsed="false">
      <c r="K1967" s="4" t="n">
        <f aca="false">IF($J1967="Y","",IF($F1967="BW",$I1967,$H1967*$I1967))</f>
        <v>0</v>
      </c>
      <c r="L1967" s="4" t="str">
        <f aca="false">IF($D1967="","",$D1967&amp;"|"&amp;$H1967)</f>
        <v/>
      </c>
    </row>
    <row r="1968" customFormat="false" ht="15" hidden="false" customHeight="false" outlineLevel="0" collapsed="false">
      <c r="K1968" s="4" t="n">
        <f aca="false">IF($J1968="Y","",IF($F1968="BW",$I1968,$H1968*$I1968))</f>
        <v>0</v>
      </c>
      <c r="L1968" s="4" t="str">
        <f aca="false">IF($D1968="","",$D1968&amp;"|"&amp;$H1968)</f>
        <v/>
      </c>
    </row>
    <row r="1969" customFormat="false" ht="15" hidden="false" customHeight="false" outlineLevel="0" collapsed="false">
      <c r="K1969" s="4" t="n">
        <f aca="false">IF($J1969="Y","",IF($F1969="BW",$I1969,$H1969*$I1969))</f>
        <v>0</v>
      </c>
      <c r="L1969" s="4" t="str">
        <f aca="false">IF($D1969="","",$D1969&amp;"|"&amp;$H1969)</f>
        <v/>
      </c>
    </row>
    <row r="1970" customFormat="false" ht="15" hidden="false" customHeight="false" outlineLevel="0" collapsed="false">
      <c r="K1970" s="4" t="n">
        <f aca="false">IF($J1970="Y","",IF($F1970="BW",$I1970,$H1970*$I1970))</f>
        <v>0</v>
      </c>
      <c r="L1970" s="4" t="str">
        <f aca="false">IF($D1970="","",$D1970&amp;"|"&amp;$H1970)</f>
        <v/>
      </c>
    </row>
    <row r="1971" customFormat="false" ht="15" hidden="false" customHeight="false" outlineLevel="0" collapsed="false">
      <c r="K1971" s="4" t="n">
        <f aca="false">IF($J1971="Y","",IF($F1971="BW",$I1971,$H1971*$I1971))</f>
        <v>0</v>
      </c>
      <c r="L1971" s="4" t="str">
        <f aca="false">IF($D1971="","",$D1971&amp;"|"&amp;$H1971)</f>
        <v/>
      </c>
    </row>
    <row r="1972" customFormat="false" ht="15" hidden="false" customHeight="false" outlineLevel="0" collapsed="false">
      <c r="K1972" s="4" t="n">
        <f aca="false">IF($J1972="Y","",IF($F1972="BW",$I1972,$H1972*$I1972))</f>
        <v>0</v>
      </c>
      <c r="L1972" s="4" t="str">
        <f aca="false">IF($D1972="","",$D1972&amp;"|"&amp;$H1972)</f>
        <v/>
      </c>
    </row>
    <row r="1973" customFormat="false" ht="15" hidden="false" customHeight="false" outlineLevel="0" collapsed="false">
      <c r="K1973" s="4" t="n">
        <f aca="false">IF($J1973="Y","",IF($F1973="BW",$I1973,$H1973*$I1973))</f>
        <v>0</v>
      </c>
      <c r="L1973" s="4" t="str">
        <f aca="false">IF($D1973="","",$D1973&amp;"|"&amp;$H1973)</f>
        <v/>
      </c>
    </row>
    <row r="1974" customFormat="false" ht="15" hidden="false" customHeight="false" outlineLevel="0" collapsed="false">
      <c r="K1974" s="4" t="n">
        <f aca="false">IF($J1974="Y","",IF($F1974="BW",$I1974,$H1974*$I1974))</f>
        <v>0</v>
      </c>
      <c r="L1974" s="4" t="str">
        <f aca="false">IF($D1974="","",$D1974&amp;"|"&amp;$H1974)</f>
        <v/>
      </c>
    </row>
    <row r="1975" customFormat="false" ht="15" hidden="false" customHeight="false" outlineLevel="0" collapsed="false">
      <c r="K1975" s="4" t="n">
        <f aca="false">IF($J1975="Y","",IF($F1975="BW",$I1975,$H1975*$I1975))</f>
        <v>0</v>
      </c>
      <c r="L1975" s="4" t="str">
        <f aca="false">IF($D1975="","",$D1975&amp;"|"&amp;$H1975)</f>
        <v/>
      </c>
    </row>
    <row r="1976" customFormat="false" ht="15" hidden="false" customHeight="false" outlineLevel="0" collapsed="false">
      <c r="K1976" s="4" t="n">
        <f aca="false">IF($J1976="Y","",IF($F1976="BW",$I1976,$H1976*$I1976))</f>
        <v>0</v>
      </c>
      <c r="L1976" s="4" t="str">
        <f aca="false">IF($D1976="","",$D1976&amp;"|"&amp;$H1976)</f>
        <v/>
      </c>
    </row>
    <row r="1977" customFormat="false" ht="15" hidden="false" customHeight="false" outlineLevel="0" collapsed="false">
      <c r="K1977" s="4" t="n">
        <f aca="false">IF($J1977="Y","",IF($F1977="BW",$I1977,$H1977*$I1977))</f>
        <v>0</v>
      </c>
      <c r="L1977" s="4" t="str">
        <f aca="false">IF($D1977="","",$D1977&amp;"|"&amp;$H1977)</f>
        <v/>
      </c>
    </row>
    <row r="1978" customFormat="false" ht="15" hidden="false" customHeight="false" outlineLevel="0" collapsed="false">
      <c r="K1978" s="4" t="n">
        <f aca="false">IF($J1978="Y","",IF($F1978="BW",$I1978,$H1978*$I1978))</f>
        <v>0</v>
      </c>
      <c r="L1978" s="4" t="str">
        <f aca="false">IF($D1978="","",$D1978&amp;"|"&amp;$H1978)</f>
        <v/>
      </c>
    </row>
    <row r="1979" customFormat="false" ht="15" hidden="false" customHeight="false" outlineLevel="0" collapsed="false">
      <c r="K1979" s="4" t="n">
        <f aca="false">IF($J1979="Y","",IF($F1979="BW",$I1979,$H1979*$I1979))</f>
        <v>0</v>
      </c>
      <c r="L1979" s="4" t="str">
        <f aca="false">IF($D1979="","",$D1979&amp;"|"&amp;$H1979)</f>
        <v/>
      </c>
    </row>
    <row r="1980" customFormat="false" ht="15" hidden="false" customHeight="false" outlineLevel="0" collapsed="false">
      <c r="K1980" s="4" t="n">
        <f aca="false">IF($J1980="Y","",IF($F1980="BW",$I1980,$H1980*$I1980))</f>
        <v>0</v>
      </c>
      <c r="L1980" s="4" t="str">
        <f aca="false">IF($D1980="","",$D1980&amp;"|"&amp;$H1980)</f>
        <v/>
      </c>
    </row>
    <row r="1981" customFormat="false" ht="15" hidden="false" customHeight="false" outlineLevel="0" collapsed="false">
      <c r="K1981" s="4" t="n">
        <f aca="false">IF($J1981="Y","",IF($F1981="BW",$I1981,$H1981*$I1981))</f>
        <v>0</v>
      </c>
      <c r="L1981" s="4" t="str">
        <f aca="false">IF($D1981="","",$D1981&amp;"|"&amp;$H1981)</f>
        <v/>
      </c>
    </row>
    <row r="1982" customFormat="false" ht="15" hidden="false" customHeight="false" outlineLevel="0" collapsed="false">
      <c r="K1982" s="4" t="n">
        <f aca="false">IF($J1982="Y","",IF($F1982="BW",$I1982,$H1982*$I1982))</f>
        <v>0</v>
      </c>
      <c r="L1982" s="4" t="str">
        <f aca="false">IF($D1982="","",$D1982&amp;"|"&amp;$H1982)</f>
        <v/>
      </c>
    </row>
    <row r="1983" customFormat="false" ht="15" hidden="false" customHeight="false" outlineLevel="0" collapsed="false">
      <c r="K1983" s="4" t="n">
        <f aca="false">IF($J1983="Y","",IF($F1983="BW",$I1983,$H1983*$I1983))</f>
        <v>0</v>
      </c>
      <c r="L1983" s="4" t="str">
        <f aca="false">IF($D1983="","",$D1983&amp;"|"&amp;$H1983)</f>
        <v/>
      </c>
    </row>
    <row r="1984" customFormat="false" ht="15" hidden="false" customHeight="false" outlineLevel="0" collapsed="false">
      <c r="K1984" s="4" t="n">
        <f aca="false">IF($J1984="Y","",IF($F1984="BW",$I1984,$H1984*$I1984))</f>
        <v>0</v>
      </c>
      <c r="L1984" s="4" t="str">
        <f aca="false">IF($D1984="","",$D1984&amp;"|"&amp;$H1984)</f>
        <v/>
      </c>
    </row>
    <row r="1985" customFormat="false" ht="15" hidden="false" customHeight="false" outlineLevel="0" collapsed="false">
      <c r="K1985" s="4" t="n">
        <f aca="false">IF($J1985="Y","",IF($F1985="BW",$I1985,$H1985*$I1985))</f>
        <v>0</v>
      </c>
      <c r="L1985" s="4" t="str">
        <f aca="false">IF($D1985="","",$D1985&amp;"|"&amp;$H1985)</f>
        <v/>
      </c>
    </row>
    <row r="1986" customFormat="false" ht="15" hidden="false" customHeight="false" outlineLevel="0" collapsed="false">
      <c r="K1986" s="4" t="n">
        <f aca="false">IF($J1986="Y","",IF($F1986="BW",$I1986,$H1986*$I1986))</f>
        <v>0</v>
      </c>
      <c r="L1986" s="4" t="str">
        <f aca="false">IF($D1986="","",$D1986&amp;"|"&amp;$H1986)</f>
        <v/>
      </c>
    </row>
    <row r="1987" customFormat="false" ht="15" hidden="false" customHeight="false" outlineLevel="0" collapsed="false">
      <c r="K1987" s="4" t="n">
        <f aca="false">IF($J1987="Y","",IF($F1987="BW",$I1987,$H1987*$I1987))</f>
        <v>0</v>
      </c>
      <c r="L1987" s="4" t="str">
        <f aca="false">IF($D1987="","",$D1987&amp;"|"&amp;$H1987)</f>
        <v/>
      </c>
    </row>
    <row r="1988" customFormat="false" ht="15" hidden="false" customHeight="false" outlineLevel="0" collapsed="false">
      <c r="K1988" s="4" t="n">
        <f aca="false">IF($J1988="Y","",IF($F1988="BW",$I1988,$H1988*$I1988))</f>
        <v>0</v>
      </c>
      <c r="L1988" s="4" t="str">
        <f aca="false">IF($D1988="","",$D1988&amp;"|"&amp;$H1988)</f>
        <v/>
      </c>
    </row>
    <row r="1989" customFormat="false" ht="15" hidden="false" customHeight="false" outlineLevel="0" collapsed="false">
      <c r="K1989" s="4" t="n">
        <f aca="false">IF($J1989="Y","",IF($F1989="BW",$I1989,$H1989*$I1989))</f>
        <v>0</v>
      </c>
      <c r="L1989" s="4" t="str">
        <f aca="false">IF($D1989="","",$D1989&amp;"|"&amp;$H1989)</f>
        <v/>
      </c>
    </row>
    <row r="1990" customFormat="false" ht="15" hidden="false" customHeight="false" outlineLevel="0" collapsed="false">
      <c r="K1990" s="4" t="n">
        <f aca="false">IF($J1990="Y","",IF($F1990="BW",$I1990,$H1990*$I1990))</f>
        <v>0</v>
      </c>
      <c r="L1990" s="4" t="str">
        <f aca="false">IF($D1990="","",$D1990&amp;"|"&amp;$H1990)</f>
        <v/>
      </c>
    </row>
    <row r="1991" customFormat="false" ht="15" hidden="false" customHeight="false" outlineLevel="0" collapsed="false">
      <c r="K1991" s="4" t="n">
        <f aca="false">IF($J1991="Y","",IF($F1991="BW",$I1991,$H1991*$I1991))</f>
        <v>0</v>
      </c>
      <c r="L1991" s="4" t="str">
        <f aca="false">IF($D1991="","",$D1991&amp;"|"&amp;$H1991)</f>
        <v/>
      </c>
    </row>
    <row r="1992" customFormat="false" ht="15" hidden="false" customHeight="false" outlineLevel="0" collapsed="false">
      <c r="K1992" s="4" t="n">
        <f aca="false">IF($J1992="Y","",IF($F1992="BW",$I1992,$H1992*$I1992))</f>
        <v>0</v>
      </c>
      <c r="L1992" s="4" t="str">
        <f aca="false">IF($D1992="","",$D1992&amp;"|"&amp;$H1992)</f>
        <v/>
      </c>
    </row>
    <row r="1993" customFormat="false" ht="15" hidden="false" customHeight="false" outlineLevel="0" collapsed="false">
      <c r="K1993" s="4" t="n">
        <f aca="false">IF($J1993="Y","",IF($F1993="BW",$I1993,$H1993*$I1993))</f>
        <v>0</v>
      </c>
      <c r="L1993" s="4" t="str">
        <f aca="false">IF($D1993="","",$D1993&amp;"|"&amp;$H1993)</f>
        <v/>
      </c>
    </row>
    <row r="1994" customFormat="false" ht="15" hidden="false" customHeight="false" outlineLevel="0" collapsed="false">
      <c r="K1994" s="4" t="n">
        <f aca="false">IF($J1994="Y","",IF($F1994="BW",$I1994,$H1994*$I1994))</f>
        <v>0</v>
      </c>
      <c r="L1994" s="4" t="str">
        <f aca="false">IF($D1994="","",$D1994&amp;"|"&amp;$H1994)</f>
        <v/>
      </c>
    </row>
    <row r="1995" customFormat="false" ht="15" hidden="false" customHeight="false" outlineLevel="0" collapsed="false">
      <c r="K1995" s="4" t="n">
        <f aca="false">IF($J1995="Y","",IF($F1995="BW",$I1995,$H1995*$I1995))</f>
        <v>0</v>
      </c>
      <c r="L1995" s="4" t="str">
        <f aca="false">IF($D1995="","",$D1995&amp;"|"&amp;$H1995)</f>
        <v/>
      </c>
    </row>
    <row r="1996" customFormat="false" ht="15" hidden="false" customHeight="false" outlineLevel="0" collapsed="false">
      <c r="K1996" s="4" t="n">
        <f aca="false">IF($J1996="Y","",IF($F1996="BW",$I1996,$H1996*$I1996))</f>
        <v>0</v>
      </c>
      <c r="L1996" s="4" t="str">
        <f aca="false">IF($D1996="","",$D1996&amp;"|"&amp;$H1996)</f>
        <v/>
      </c>
    </row>
    <row r="1997" customFormat="false" ht="15" hidden="false" customHeight="false" outlineLevel="0" collapsed="false">
      <c r="K1997" s="4" t="n">
        <f aca="false">IF($J1997="Y","",IF($F1997="BW",$I1997,$H1997*$I1997))</f>
        <v>0</v>
      </c>
      <c r="L1997" s="4" t="str">
        <f aca="false">IF($D1997="","",$D1997&amp;"|"&amp;$H1997)</f>
        <v/>
      </c>
    </row>
    <row r="1998" customFormat="false" ht="15" hidden="false" customHeight="false" outlineLevel="0" collapsed="false">
      <c r="K1998" s="4" t="n">
        <f aca="false">IF($J1998="Y","",IF($F1998="BW",$I1998,$H1998*$I1998))</f>
        <v>0</v>
      </c>
      <c r="L1998" s="4" t="str">
        <f aca="false">IF($D1998="","",$D1998&amp;"|"&amp;$H1998)</f>
        <v/>
      </c>
    </row>
    <row r="1999" customFormat="false" ht="15" hidden="false" customHeight="false" outlineLevel="0" collapsed="false">
      <c r="K1999" s="4" t="n">
        <f aca="false">IF($J1999="Y","",IF($F1999="BW",$I1999,$H1999*$I1999))</f>
        <v>0</v>
      </c>
      <c r="L1999" s="4" t="str">
        <f aca="false">IF($D1999="","",$D1999&amp;"|"&amp;$H1999)</f>
        <v/>
      </c>
    </row>
    <row r="2000" customFormat="false" ht="15" hidden="false" customHeight="false" outlineLevel="0" collapsed="false">
      <c r="K2000" s="4" t="n">
        <f aca="false">IF($J2000="Y","",IF($F2000="BW",$I2000,$H2000*$I2000))</f>
        <v>0</v>
      </c>
      <c r="L2000" s="4" t="str">
        <f aca="false">IF($D2000="","",$D2000&amp;"|"&amp;$H2000)</f>
        <v/>
      </c>
    </row>
  </sheetData>
  <autoFilter ref="A1:M6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55"/>
  </cols>
  <sheetData>
    <row r="1" customFormat="false" ht="15" hidden="false" customHeight="false" outlineLevel="0" collapsed="false">
      <c r="A1" s="9" t="s">
        <v>22</v>
      </c>
      <c r="B1" s="9" t="s">
        <v>23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166</v>
      </c>
      <c r="I1" s="9" t="s">
        <v>167</v>
      </c>
      <c r="J1" s="9" t="s">
        <v>168</v>
      </c>
      <c r="K1" s="9" t="s">
        <v>34</v>
      </c>
    </row>
    <row r="2" customFormat="false" ht="15" hidden="false" customHeight="false" outlineLevel="0" collapsed="false">
      <c r="A2" s="10" t="n">
        <v>46038</v>
      </c>
      <c r="B2" s="11" t="s">
        <v>82</v>
      </c>
      <c r="C2" s="11" t="s">
        <v>169</v>
      </c>
      <c r="D2" s="11" t="s">
        <v>170</v>
      </c>
      <c r="E2" s="11" t="n">
        <v>20</v>
      </c>
      <c r="F2" s="11"/>
      <c r="G2" s="11"/>
      <c r="H2" s="11"/>
      <c r="I2" s="11"/>
      <c r="J2" s="11"/>
      <c r="K2" s="11" t="s">
        <v>171</v>
      </c>
    </row>
    <row r="3" customFormat="false" ht="15" hidden="false" customHeight="false" outlineLevel="0" collapsed="false">
      <c r="A3" s="10" t="n">
        <v>46042</v>
      </c>
      <c r="B3" s="11" t="s">
        <v>69</v>
      </c>
      <c r="C3" s="11" t="s">
        <v>172</v>
      </c>
      <c r="D3" s="11" t="s">
        <v>173</v>
      </c>
      <c r="E3" s="11" t="n">
        <v>30</v>
      </c>
      <c r="F3" s="11"/>
      <c r="G3" s="11"/>
      <c r="H3" s="11"/>
      <c r="I3" s="11"/>
      <c r="J3" s="11"/>
      <c r="K3" s="11"/>
    </row>
    <row r="4" customFormat="false" ht="15" hidden="false" customHeight="false" outlineLevel="0" collapsed="false">
      <c r="A4" s="10" t="n">
        <v>46045</v>
      </c>
      <c r="B4" s="11" t="s">
        <v>82</v>
      </c>
      <c r="C4" s="11" t="s">
        <v>174</v>
      </c>
      <c r="D4" s="11" t="s">
        <v>175</v>
      </c>
      <c r="E4" s="11" t="n">
        <v>10</v>
      </c>
      <c r="F4" s="11"/>
      <c r="G4" s="11"/>
      <c r="H4" s="11"/>
      <c r="I4" s="11"/>
      <c r="J4" s="11"/>
      <c r="K4" s="11" t="s">
        <v>176</v>
      </c>
    </row>
    <row r="5" customFormat="false" ht="15" hidden="false" customHeight="false" outlineLevel="0" collapsed="false">
      <c r="A5" s="10" t="n">
        <v>46047</v>
      </c>
      <c r="B5" s="11" t="s">
        <v>83</v>
      </c>
      <c r="C5" s="11" t="s">
        <v>177</v>
      </c>
      <c r="D5" s="11" t="s">
        <v>173</v>
      </c>
      <c r="E5" s="11" t="n">
        <v>30</v>
      </c>
      <c r="F5" s="11" t="n">
        <v>2.2</v>
      </c>
      <c r="G5" s="11" t="s">
        <v>178</v>
      </c>
      <c r="H5" s="11"/>
      <c r="I5" s="11"/>
      <c r="J5" s="11"/>
      <c r="K5" s="11" t="s">
        <v>176</v>
      </c>
    </row>
    <row r="6" customFormat="false" ht="15" hidden="false" customHeight="false" outlineLevel="0" collapsed="false">
      <c r="A6" s="10" t="n">
        <v>46051</v>
      </c>
      <c r="B6" s="11" t="s">
        <v>35</v>
      </c>
      <c r="C6" s="11" t="s">
        <v>177</v>
      </c>
      <c r="D6" s="11" t="s">
        <v>170</v>
      </c>
      <c r="E6" s="11" t="n">
        <v>20</v>
      </c>
      <c r="F6" s="11"/>
      <c r="G6" s="11"/>
      <c r="H6" s="11"/>
      <c r="I6" s="11"/>
      <c r="J6" s="11"/>
      <c r="K6" s="11" t="s">
        <v>176</v>
      </c>
    </row>
    <row r="7" customFormat="false" ht="15" hidden="false" customHeight="false" outlineLevel="0" collapsed="false">
      <c r="A7" s="10" t="n">
        <v>46060</v>
      </c>
      <c r="B7" s="11" t="s">
        <v>60</v>
      </c>
      <c r="C7" s="11" t="s">
        <v>177</v>
      </c>
      <c r="D7" s="11" t="s">
        <v>170</v>
      </c>
      <c r="E7" s="11" t="n">
        <v>20</v>
      </c>
      <c r="F7" s="11"/>
      <c r="G7" s="11"/>
      <c r="H7" s="11"/>
      <c r="I7" s="11"/>
      <c r="J7" s="11"/>
      <c r="K7" s="11" t="s">
        <v>179</v>
      </c>
    </row>
    <row r="8" customFormat="false" ht="15" hidden="false" customHeight="false" outlineLevel="0" collapsed="false">
      <c r="A8" s="10" t="n">
        <v>46062</v>
      </c>
      <c r="B8" s="11" t="s">
        <v>94</v>
      </c>
      <c r="C8" s="11" t="s">
        <v>177</v>
      </c>
      <c r="D8" s="11" t="s">
        <v>170</v>
      </c>
      <c r="E8" s="11" t="n">
        <v>20</v>
      </c>
      <c r="F8" s="11"/>
      <c r="G8" s="11"/>
      <c r="H8" s="11"/>
      <c r="I8" s="11"/>
      <c r="J8" s="11"/>
      <c r="K8" s="11"/>
    </row>
    <row r="9" customFormat="false" ht="15" hidden="false" customHeight="false" outlineLevel="0" collapsed="false">
      <c r="A9" s="10" t="n">
        <v>46063</v>
      </c>
      <c r="B9" s="11" t="s">
        <v>69</v>
      </c>
      <c r="C9" s="11" t="s">
        <v>177</v>
      </c>
      <c r="D9" s="11" t="s">
        <v>170</v>
      </c>
      <c r="E9" s="11" t="n">
        <v>20</v>
      </c>
      <c r="F9" s="11"/>
      <c r="G9" s="11"/>
      <c r="H9" s="11"/>
      <c r="I9" s="11"/>
      <c r="J9" s="11"/>
      <c r="K9" s="11"/>
    </row>
    <row r="10" customFormat="false" ht="15" hidden="false" customHeight="false" outlineLevel="0" collapsed="false">
      <c r="A10" s="10" t="n">
        <v>46074</v>
      </c>
      <c r="B10" s="11" t="s">
        <v>60</v>
      </c>
      <c r="C10" s="11" t="s">
        <v>177</v>
      </c>
      <c r="D10" s="11" t="s">
        <v>173</v>
      </c>
      <c r="E10" s="11" t="n">
        <v>30</v>
      </c>
      <c r="F10" s="11"/>
      <c r="G10" s="11"/>
      <c r="H10" s="11"/>
      <c r="I10" s="11"/>
      <c r="J10" s="11"/>
      <c r="K10" s="11"/>
    </row>
    <row r="11" customFormat="false" ht="15" hidden="false" customHeight="false" outlineLevel="0" collapsed="false">
      <c r="A11" s="10" t="n">
        <v>46117</v>
      </c>
      <c r="B11" s="11" t="s">
        <v>83</v>
      </c>
      <c r="C11" s="11" t="s">
        <v>174</v>
      </c>
      <c r="D11" s="11" t="s">
        <v>180</v>
      </c>
      <c r="E11" s="11" t="n">
        <v>19.62</v>
      </c>
      <c r="F11" s="11" t="n">
        <v>3.32</v>
      </c>
      <c r="G11" s="11" t="s">
        <v>178</v>
      </c>
      <c r="H11" s="11" t="n">
        <v>136</v>
      </c>
      <c r="I11" s="11" t="n">
        <v>118</v>
      </c>
      <c r="J11" s="11"/>
      <c r="K11" s="11"/>
    </row>
    <row r="12" customFormat="false" ht="15" hidden="false" customHeight="false" outlineLevel="0" collapsed="false">
      <c r="A12" s="10" t="n">
        <v>46119</v>
      </c>
      <c r="B12" s="11" t="s">
        <v>69</v>
      </c>
      <c r="C12" s="11" t="s">
        <v>174</v>
      </c>
      <c r="D12" s="11" t="s">
        <v>181</v>
      </c>
      <c r="E12" s="11" t="n">
        <v>30.03</v>
      </c>
      <c r="F12" s="11" t="n">
        <v>6.28</v>
      </c>
      <c r="G12" s="11" t="s">
        <v>178</v>
      </c>
      <c r="H12" s="11" t="n">
        <v>245</v>
      </c>
      <c r="I12" s="11" t="n">
        <v>143</v>
      </c>
      <c r="J12" s="11"/>
      <c r="K12" s="11"/>
    </row>
    <row r="13" customFormat="false" ht="15" hidden="false" customHeight="false" outlineLevel="0" collapsed="false">
      <c r="A13" s="10" t="n">
        <v>46125</v>
      </c>
      <c r="B13" s="11" t="s">
        <v>94</v>
      </c>
      <c r="C13" s="11" t="s">
        <v>174</v>
      </c>
      <c r="D13" s="11" t="s">
        <v>182</v>
      </c>
      <c r="E13" s="11" t="n">
        <v>25.27</v>
      </c>
      <c r="F13" s="11" t="n">
        <v>5.14</v>
      </c>
      <c r="G13" s="11" t="s">
        <v>178</v>
      </c>
      <c r="H13" s="11" t="n">
        <v>133</v>
      </c>
      <c r="I13" s="11" t="n">
        <v>90</v>
      </c>
      <c r="J13" s="11"/>
      <c r="K13" s="11" t="s">
        <v>176</v>
      </c>
    </row>
    <row r="14" customFormat="false" ht="15" hidden="false" customHeight="false" outlineLevel="0" collapsed="false">
      <c r="A14" s="10" t="n">
        <v>46127</v>
      </c>
      <c r="B14" s="11" t="s">
        <v>115</v>
      </c>
      <c r="C14" s="11" t="s">
        <v>174</v>
      </c>
      <c r="D14" s="11" t="s">
        <v>183</v>
      </c>
      <c r="E14" s="11" t="n">
        <v>21.22</v>
      </c>
      <c r="F14" s="11" t="n">
        <v>4.57</v>
      </c>
      <c r="G14" s="11" t="s">
        <v>178</v>
      </c>
      <c r="H14" s="11" t="n">
        <v>198</v>
      </c>
      <c r="I14" s="11" t="n">
        <v>148</v>
      </c>
      <c r="J14" s="11"/>
      <c r="K14" s="11"/>
    </row>
    <row r="15" customFormat="false" ht="15" hidden="false" customHeight="false" outlineLevel="0" collapsed="false">
      <c r="A15" s="10" t="n">
        <v>46129</v>
      </c>
      <c r="B15" s="11" t="s">
        <v>82</v>
      </c>
      <c r="C15" s="11" t="s">
        <v>174</v>
      </c>
      <c r="D15" s="11" t="s">
        <v>184</v>
      </c>
      <c r="E15" s="11" t="n">
        <v>29.03</v>
      </c>
      <c r="F15" s="11" t="n">
        <v>6.41</v>
      </c>
      <c r="G15" s="11" t="s">
        <v>178</v>
      </c>
      <c r="H15" s="11" t="n">
        <v>303</v>
      </c>
      <c r="I15" s="11" t="n">
        <v>147</v>
      </c>
      <c r="J15" s="11"/>
      <c r="K15" s="11"/>
    </row>
    <row r="16" customFormat="false" ht="15" hidden="false" customHeight="false" outlineLevel="0" collapsed="false">
      <c r="A16" s="10" t="n">
        <v>46131</v>
      </c>
      <c r="B16" s="11" t="s">
        <v>83</v>
      </c>
      <c r="C16" s="11" t="s">
        <v>174</v>
      </c>
      <c r="D16" s="11" t="s">
        <v>185</v>
      </c>
      <c r="E16" s="11" t="n">
        <v>20.25</v>
      </c>
      <c r="F16" s="11" t="n">
        <v>4.48</v>
      </c>
      <c r="G16" s="11" t="s">
        <v>178</v>
      </c>
      <c r="H16" s="11" t="n">
        <v>168</v>
      </c>
      <c r="I16" s="11" t="n">
        <v>135</v>
      </c>
      <c r="J16" s="11"/>
      <c r="K16" s="11" t="s">
        <v>186</v>
      </c>
    </row>
    <row r="17" customFormat="false" ht="15" hidden="false" customHeight="false" outlineLevel="0" collapsed="false">
      <c r="A17" s="10" t="n">
        <v>46134</v>
      </c>
      <c r="B17" s="11" t="s">
        <v>115</v>
      </c>
      <c r="C17" s="11" t="s">
        <v>174</v>
      </c>
      <c r="D17" s="11" t="s">
        <v>187</v>
      </c>
      <c r="E17" s="11" t="n">
        <v>15.1</v>
      </c>
      <c r="F17" s="11" t="n">
        <v>2.94</v>
      </c>
      <c r="G17" s="11" t="s">
        <v>178</v>
      </c>
      <c r="H17" s="11" t="n">
        <v>120</v>
      </c>
      <c r="I17" s="11" t="n">
        <v>138</v>
      </c>
      <c r="J17" s="11"/>
      <c r="K17" s="11"/>
    </row>
    <row r="18" customFormat="false" ht="15" hidden="false" customHeight="false" outlineLevel="0" collapsed="false">
      <c r="A18" s="10" t="n">
        <v>46140</v>
      </c>
      <c r="B18" s="11" t="s">
        <v>69</v>
      </c>
      <c r="C18" s="11" t="s">
        <v>174</v>
      </c>
      <c r="D18" s="11" t="s">
        <v>188</v>
      </c>
      <c r="E18" s="11" t="n">
        <v>20.05</v>
      </c>
      <c r="F18" s="11" t="n">
        <v>4.61</v>
      </c>
      <c r="G18" s="11" t="s">
        <v>178</v>
      </c>
      <c r="H18" s="11" t="n">
        <v>211</v>
      </c>
      <c r="I18" s="11" t="n">
        <v>148</v>
      </c>
      <c r="J18" s="11"/>
      <c r="K18" s="11"/>
    </row>
    <row r="19" customFormat="false" ht="15" hidden="false" customHeight="false" outlineLevel="0" collapsed="false">
      <c r="A19" s="10" t="n">
        <v>46140</v>
      </c>
      <c r="B19" s="11" t="s">
        <v>69</v>
      </c>
      <c r="C19" s="11" t="s">
        <v>174</v>
      </c>
      <c r="D19" s="11" t="s">
        <v>189</v>
      </c>
      <c r="E19" s="11" t="n">
        <v>7</v>
      </c>
      <c r="F19" s="11"/>
      <c r="G19" s="11"/>
      <c r="H19" s="11"/>
      <c r="I19" s="11"/>
      <c r="J19" s="11"/>
      <c r="K19" s="11"/>
    </row>
    <row r="20" customFormat="false" ht="15" hidden="false" customHeight="false" outlineLevel="0" collapsed="false">
      <c r="A20" s="10" t="n">
        <v>46142</v>
      </c>
      <c r="B20" s="11" t="s">
        <v>35</v>
      </c>
      <c r="C20" s="11" t="s">
        <v>174</v>
      </c>
      <c r="D20" s="11" t="s">
        <v>190</v>
      </c>
      <c r="E20" s="11" t="n">
        <v>21.02</v>
      </c>
      <c r="F20" s="11" t="n">
        <v>4.77</v>
      </c>
      <c r="G20" s="11" t="s">
        <v>178</v>
      </c>
      <c r="H20" s="11" t="n">
        <v>216</v>
      </c>
      <c r="I20" s="11" t="n">
        <v>152</v>
      </c>
      <c r="J20" s="11"/>
      <c r="K20" s="11"/>
    </row>
    <row r="21" customFormat="false" ht="15" hidden="false" customHeight="false" outlineLevel="0" collapsed="false">
      <c r="A21" s="10" t="n">
        <v>46145</v>
      </c>
      <c r="B21" s="11" t="s">
        <v>83</v>
      </c>
      <c r="C21" s="11" t="s">
        <v>191</v>
      </c>
      <c r="D21" s="11"/>
      <c r="E21" s="11"/>
      <c r="F21" s="11"/>
      <c r="G21" s="11"/>
      <c r="H21" s="11" t="n">
        <v>95</v>
      </c>
      <c r="I21" s="11"/>
      <c r="J21" s="11"/>
      <c r="K21" s="11"/>
    </row>
    <row r="22" customFormat="false" ht="15" hidden="false" customHeight="false" outlineLevel="0" collapsed="false">
      <c r="A22" s="10" t="n">
        <v>46145</v>
      </c>
      <c r="B22" s="11" t="s">
        <v>83</v>
      </c>
      <c r="C22" s="11" t="s">
        <v>172</v>
      </c>
      <c r="D22" s="11"/>
      <c r="E22" s="11"/>
      <c r="F22" s="11" t="n">
        <v>1</v>
      </c>
      <c r="G22" s="11" t="s">
        <v>178</v>
      </c>
      <c r="H22" s="11"/>
      <c r="I22" s="11"/>
      <c r="J22" s="11"/>
      <c r="K22" s="11"/>
    </row>
    <row r="23" customFormat="false" ht="15" hidden="false" customHeight="false" outlineLevel="0" collapsed="false">
      <c r="A23" s="10" t="n">
        <v>46145</v>
      </c>
      <c r="B23" s="11" t="s">
        <v>83</v>
      </c>
      <c r="C23" s="11" t="s">
        <v>192</v>
      </c>
      <c r="D23" s="11"/>
      <c r="E23" s="11"/>
      <c r="F23" s="11" t="n">
        <v>0.21</v>
      </c>
      <c r="G23" s="11" t="s">
        <v>178</v>
      </c>
      <c r="H23" s="11"/>
      <c r="I23" s="11"/>
      <c r="J23" s="11"/>
      <c r="K23" s="11"/>
    </row>
    <row r="24" customFormat="false" ht="15" hidden="false" customHeight="false" outlineLevel="0" collapsed="false">
      <c r="A24" s="10" t="n">
        <v>46145</v>
      </c>
      <c r="B24" s="11" t="s">
        <v>83</v>
      </c>
      <c r="C24" s="11" t="s">
        <v>169</v>
      </c>
      <c r="D24" s="11" t="s">
        <v>173</v>
      </c>
      <c r="E24" s="11" t="n">
        <v>30</v>
      </c>
      <c r="F24" s="11"/>
      <c r="G24" s="11"/>
      <c r="H24" s="11"/>
      <c r="I24" s="11"/>
      <c r="J24" s="11"/>
      <c r="K24" s="11" t="s">
        <v>193</v>
      </c>
    </row>
    <row r="25" customFormat="false" ht="15" hidden="false" customHeight="false" outlineLevel="0" collapsed="false">
      <c r="A25" s="10" t="n">
        <v>46154</v>
      </c>
      <c r="B25" s="11" t="s">
        <v>69</v>
      </c>
      <c r="C25" s="11" t="s">
        <v>174</v>
      </c>
      <c r="D25" s="11" t="s">
        <v>194</v>
      </c>
      <c r="E25" s="11" t="n">
        <v>25.4</v>
      </c>
      <c r="F25" s="11"/>
      <c r="G25" s="11"/>
      <c r="H25" s="11" t="n">
        <v>259</v>
      </c>
      <c r="I25" s="11" t="n">
        <v>149</v>
      </c>
      <c r="J25" s="11"/>
      <c r="K25" s="11"/>
    </row>
    <row r="26" customFormat="false" ht="15" hidden="false" customHeight="false" outlineLevel="0" collapsed="false">
      <c r="A26" s="10" t="n">
        <v>46156</v>
      </c>
      <c r="B26" s="11" t="s">
        <v>35</v>
      </c>
      <c r="C26" s="11" t="s">
        <v>174</v>
      </c>
      <c r="D26" s="11" t="s">
        <v>195</v>
      </c>
      <c r="E26" s="11" t="n">
        <v>39.43</v>
      </c>
      <c r="F26" s="11" t="n">
        <v>8.02</v>
      </c>
      <c r="G26" s="11" t="s">
        <v>178</v>
      </c>
      <c r="H26" s="11" t="n">
        <v>369</v>
      </c>
      <c r="I26" s="11" t="n">
        <v>149</v>
      </c>
      <c r="J26" s="11"/>
      <c r="K26" s="11" t="s">
        <v>196</v>
      </c>
    </row>
    <row r="27" customFormat="false" ht="15" hidden="false" customHeight="false" outlineLevel="0" collapsed="false">
      <c r="A27" s="10" t="n">
        <v>46157</v>
      </c>
      <c r="B27" s="11" t="s">
        <v>82</v>
      </c>
      <c r="C27" s="11" t="s">
        <v>169</v>
      </c>
      <c r="D27" s="11" t="s">
        <v>197</v>
      </c>
      <c r="E27" s="11" t="n">
        <v>32.72</v>
      </c>
      <c r="F27" s="11" t="n">
        <v>2.36</v>
      </c>
      <c r="G27" s="11" t="s">
        <v>178</v>
      </c>
      <c r="H27" s="11" t="n">
        <v>224</v>
      </c>
      <c r="I27" s="11" t="n">
        <v>104</v>
      </c>
      <c r="J27" s="11"/>
      <c r="K27" s="11"/>
    </row>
    <row r="28" customFormat="false" ht="15" hidden="false" customHeight="false" outlineLevel="0" collapsed="false">
      <c r="A28" s="10" t="n">
        <v>46161</v>
      </c>
      <c r="B28" s="11" t="s">
        <v>69</v>
      </c>
      <c r="C28" s="11" t="s">
        <v>169</v>
      </c>
      <c r="D28" s="11" t="s">
        <v>198</v>
      </c>
      <c r="E28" s="11" t="n">
        <v>37.4</v>
      </c>
      <c r="F28" s="11" t="n">
        <v>2.73</v>
      </c>
      <c r="G28" s="11" t="s">
        <v>178</v>
      </c>
      <c r="H28" s="11" t="n">
        <v>279</v>
      </c>
      <c r="I28" s="11" t="n">
        <v>107</v>
      </c>
      <c r="J28" s="11"/>
      <c r="K28" s="11" t="s">
        <v>176</v>
      </c>
    </row>
    <row r="29" customFormat="false" ht="15" hidden="false" customHeight="false" outlineLevel="0" collapsed="false">
      <c r="A29" s="10" t="n">
        <v>46164</v>
      </c>
      <c r="B29" s="11" t="s">
        <v>82</v>
      </c>
      <c r="C29" s="11" t="s">
        <v>169</v>
      </c>
      <c r="D29" s="11" t="s">
        <v>199</v>
      </c>
      <c r="E29" s="11" t="n">
        <v>34.22</v>
      </c>
      <c r="F29" s="11" t="n">
        <v>2.58</v>
      </c>
      <c r="G29" s="11" t="s">
        <v>178</v>
      </c>
      <c r="H29" s="11" t="n">
        <v>266</v>
      </c>
      <c r="I29" s="11" t="n">
        <v>122</v>
      </c>
      <c r="J29" s="11"/>
      <c r="K29" s="11"/>
    </row>
    <row r="30" customFormat="false" ht="15" hidden="false" customHeight="false" outlineLevel="0" collapsed="false">
      <c r="A30" s="10" t="n">
        <v>46165</v>
      </c>
      <c r="B30" s="11" t="s">
        <v>60</v>
      </c>
      <c r="C30" s="11" t="s">
        <v>174</v>
      </c>
      <c r="D30" s="11" t="s">
        <v>187</v>
      </c>
      <c r="E30" s="11" t="n">
        <v>15.1</v>
      </c>
      <c r="F30" s="11" t="n">
        <v>3.38</v>
      </c>
      <c r="G30" s="11" t="s">
        <v>178</v>
      </c>
      <c r="H30" s="11" t="n">
        <v>124</v>
      </c>
      <c r="I30" s="11" t="n">
        <v>143</v>
      </c>
      <c r="J30" s="11"/>
      <c r="K30" s="11"/>
    </row>
    <row r="31" customFormat="false" ht="15" hidden="false" customHeight="false" outlineLevel="0" collapsed="false">
      <c r="A31" s="10" t="n">
        <v>46165</v>
      </c>
      <c r="B31" s="11" t="s">
        <v>60</v>
      </c>
      <c r="C31" s="11" t="s">
        <v>174</v>
      </c>
      <c r="D31" s="11" t="s">
        <v>200</v>
      </c>
      <c r="E31" s="11" t="n">
        <v>14.53</v>
      </c>
      <c r="F31" s="11"/>
      <c r="G31" s="11"/>
      <c r="H31" s="11" t="n">
        <v>112</v>
      </c>
      <c r="I31" s="11"/>
      <c r="J31" s="11"/>
      <c r="K31" s="11"/>
    </row>
    <row r="32" customFormat="false" ht="15" hidden="false" customHeight="false" outlineLevel="0" collapsed="false">
      <c r="A32" s="10" t="n">
        <v>46167</v>
      </c>
      <c r="B32" s="11" t="s">
        <v>94</v>
      </c>
      <c r="C32" s="11" t="s">
        <v>174</v>
      </c>
      <c r="D32" s="11" t="s">
        <v>201</v>
      </c>
      <c r="E32" s="11" t="n">
        <v>20.2</v>
      </c>
      <c r="F32" s="11" t="n">
        <v>4.82</v>
      </c>
      <c r="G32" s="11" t="s">
        <v>178</v>
      </c>
      <c r="H32" s="11" t="n">
        <v>177</v>
      </c>
      <c r="I32" s="11" t="n">
        <v>149</v>
      </c>
      <c r="J32" s="11"/>
      <c r="K32" s="11"/>
    </row>
    <row r="33" customFormat="false" ht="15" hidden="false" customHeight="false" outlineLevel="0" collapsed="false">
      <c r="A33" s="10" t="n">
        <v>46167</v>
      </c>
      <c r="B33" s="11" t="s">
        <v>94</v>
      </c>
      <c r="C33" s="11" t="s">
        <v>202</v>
      </c>
      <c r="D33" s="11" t="s">
        <v>203</v>
      </c>
      <c r="E33" s="11" t="n">
        <v>14.9</v>
      </c>
      <c r="F33" s="11"/>
      <c r="G33" s="11"/>
      <c r="H33" s="11" t="n">
        <v>133</v>
      </c>
      <c r="I33" s="11"/>
      <c r="J33" s="11" t="n">
        <v>48</v>
      </c>
      <c r="K33" s="11" t="s">
        <v>204</v>
      </c>
    </row>
    <row r="34" customFormat="false" ht="15" hidden="false" customHeight="false" outlineLevel="0" collapsed="false">
      <c r="A34" s="10" t="n">
        <v>46170</v>
      </c>
      <c r="B34" s="11" t="s">
        <v>35</v>
      </c>
      <c r="C34" s="11" t="s">
        <v>174</v>
      </c>
      <c r="D34" s="11" t="s">
        <v>205</v>
      </c>
      <c r="E34" s="11" t="n">
        <v>17.72</v>
      </c>
      <c r="F34" s="11" t="n">
        <v>3.53</v>
      </c>
      <c r="G34" s="11" t="s">
        <v>178</v>
      </c>
      <c r="H34" s="11" t="n">
        <v>127</v>
      </c>
      <c r="I34" s="11" t="n">
        <v>132</v>
      </c>
      <c r="J34" s="11"/>
      <c r="K34" s="11"/>
    </row>
    <row r="35" customFormat="false" ht="15" hidden="false" customHeight="false" outlineLevel="0" collapsed="false">
      <c r="A35" s="10" t="n">
        <v>46170</v>
      </c>
      <c r="B35" s="11" t="s">
        <v>35</v>
      </c>
      <c r="C35" s="11" t="s">
        <v>174</v>
      </c>
      <c r="D35" s="11" t="s">
        <v>206</v>
      </c>
      <c r="E35" s="11" t="n">
        <v>17.08</v>
      </c>
      <c r="F35" s="11" t="n">
        <v>3.84</v>
      </c>
      <c r="G35" s="11" t="s">
        <v>178</v>
      </c>
      <c r="H35" s="11" t="n">
        <v>144</v>
      </c>
      <c r="I35" s="11" t="n">
        <v>143</v>
      </c>
      <c r="J35" s="11"/>
      <c r="K35" s="11"/>
    </row>
    <row r="36" customFormat="false" ht="15" hidden="false" customHeight="false" outlineLevel="0" collapsed="false">
      <c r="A36" s="10" t="n">
        <v>46171</v>
      </c>
      <c r="B36" s="11" t="s">
        <v>82</v>
      </c>
      <c r="C36" s="11" t="s">
        <v>169</v>
      </c>
      <c r="D36" s="11" t="s">
        <v>207</v>
      </c>
      <c r="E36" s="11" t="n">
        <v>33.77</v>
      </c>
      <c r="F36" s="11" t="n">
        <v>2.58</v>
      </c>
      <c r="G36" s="11" t="s">
        <v>178</v>
      </c>
      <c r="H36" s="11" t="n">
        <v>274</v>
      </c>
      <c r="I36" s="11"/>
      <c r="J36" s="11"/>
      <c r="K36" s="11"/>
    </row>
    <row r="37" customFormat="false" ht="15" hidden="false" customHeight="false" outlineLevel="0" collapsed="false">
      <c r="A37" s="10" t="n">
        <v>46172</v>
      </c>
      <c r="B37" s="11" t="s">
        <v>60</v>
      </c>
      <c r="C37" s="11" t="s">
        <v>174</v>
      </c>
      <c r="D37" s="11" t="s">
        <v>208</v>
      </c>
      <c r="E37" s="11" t="n">
        <v>20.27</v>
      </c>
      <c r="F37" s="11"/>
      <c r="G37" s="11"/>
      <c r="H37" s="11" t="n">
        <v>148</v>
      </c>
      <c r="I37" s="11" t="n">
        <v>131</v>
      </c>
      <c r="J37" s="11"/>
      <c r="K37" s="11"/>
    </row>
    <row r="38" customFormat="false" ht="15" hidden="false" customHeight="false" outlineLevel="0" collapsed="false">
      <c r="A38" s="10" t="n">
        <v>46180</v>
      </c>
      <c r="B38" s="11" t="s">
        <v>83</v>
      </c>
      <c r="C38" s="11" t="s">
        <v>209</v>
      </c>
      <c r="D38" s="11"/>
      <c r="E38" s="11"/>
      <c r="F38" s="11" t="n">
        <v>2</v>
      </c>
      <c r="G38" s="11" t="s">
        <v>178</v>
      </c>
      <c r="H38" s="11"/>
      <c r="I38" s="11"/>
      <c r="J38" s="11"/>
      <c r="K38" s="11" t="s">
        <v>210</v>
      </c>
    </row>
    <row r="39" customFormat="false" ht="15" hidden="false" customHeight="false" outlineLevel="0" collapsed="false">
      <c r="A39" s="10" t="n">
        <v>46181</v>
      </c>
      <c r="B39" s="11" t="s">
        <v>94</v>
      </c>
      <c r="C39" s="11" t="s">
        <v>209</v>
      </c>
      <c r="D39" s="11"/>
      <c r="E39" s="11"/>
      <c r="F39" s="11" t="n">
        <v>1.5</v>
      </c>
      <c r="G39" s="11" t="s">
        <v>178</v>
      </c>
      <c r="H39" s="11"/>
      <c r="I39" s="11"/>
      <c r="J39" s="11"/>
      <c r="K39" s="11" t="s">
        <v>211</v>
      </c>
    </row>
    <row r="40" customFormat="false" ht="15" hidden="false" customHeight="false" outlineLevel="0" collapsed="false">
      <c r="A40" s="10" t="n">
        <v>46182</v>
      </c>
      <c r="B40" s="11" t="s">
        <v>69</v>
      </c>
      <c r="C40" s="11" t="s">
        <v>174</v>
      </c>
      <c r="D40" s="11" t="s">
        <v>212</v>
      </c>
      <c r="E40" s="11" t="n">
        <v>20.3</v>
      </c>
      <c r="F40" s="11"/>
      <c r="G40" s="11"/>
      <c r="H40" s="11" t="n">
        <v>235</v>
      </c>
      <c r="I40" s="11" t="n">
        <v>152</v>
      </c>
      <c r="J40" s="11"/>
      <c r="K40" s="11"/>
    </row>
    <row r="41" customFormat="false" ht="15" hidden="false" customHeight="false" outlineLevel="0" collapsed="false">
      <c r="A41" s="10" t="n">
        <v>46182</v>
      </c>
      <c r="B41" s="11" t="s">
        <v>69</v>
      </c>
      <c r="C41" s="11" t="s">
        <v>202</v>
      </c>
      <c r="D41" s="11" t="s">
        <v>213</v>
      </c>
      <c r="E41" s="11" t="n">
        <v>10.13</v>
      </c>
      <c r="F41" s="11"/>
      <c r="G41" s="11"/>
      <c r="H41" s="11" t="n">
        <v>123</v>
      </c>
      <c r="I41" s="11" t="n">
        <v>157</v>
      </c>
      <c r="J41" s="11"/>
      <c r="K41" s="11"/>
    </row>
    <row r="42" customFormat="false" ht="15" hidden="false" customHeight="false" outlineLevel="0" collapsed="false">
      <c r="A42" s="10" t="n">
        <v>46184</v>
      </c>
      <c r="B42" s="11" t="s">
        <v>35</v>
      </c>
      <c r="C42" s="11" t="s">
        <v>169</v>
      </c>
      <c r="D42" s="11" t="s">
        <v>214</v>
      </c>
      <c r="E42" s="11" t="n">
        <v>36.17</v>
      </c>
      <c r="F42" s="11" t="n">
        <v>2.54</v>
      </c>
      <c r="G42" s="11" t="s">
        <v>178</v>
      </c>
      <c r="H42" s="11" t="n">
        <v>281</v>
      </c>
      <c r="I42" s="11"/>
      <c r="J42" s="11"/>
      <c r="K42" s="11"/>
    </row>
    <row r="43" customFormat="false" ht="15" hidden="false" customHeight="false" outlineLevel="0" collapsed="false">
      <c r="A43" s="10" t="n">
        <v>46185</v>
      </c>
      <c r="B43" s="11" t="s">
        <v>82</v>
      </c>
      <c r="C43" s="11" t="s">
        <v>174</v>
      </c>
      <c r="D43" s="11" t="s">
        <v>215</v>
      </c>
      <c r="E43" s="11" t="n">
        <v>20.15</v>
      </c>
      <c r="F43" s="11" t="n">
        <v>4.29</v>
      </c>
      <c r="G43" s="11" t="s">
        <v>178</v>
      </c>
      <c r="H43" s="11" t="n">
        <v>186</v>
      </c>
      <c r="I43" s="11"/>
      <c r="J43" s="11"/>
      <c r="K43" s="11" t="s">
        <v>216</v>
      </c>
    </row>
    <row r="44" customFormat="false" ht="15" hidden="false" customHeight="false" outlineLevel="0" collapsed="false">
      <c r="A44" s="10" t="n">
        <v>46189</v>
      </c>
      <c r="B44" s="11" t="s">
        <v>69</v>
      </c>
      <c r="C44" s="11" t="s">
        <v>169</v>
      </c>
      <c r="D44" s="11" t="s">
        <v>217</v>
      </c>
      <c r="E44" s="11" t="n">
        <v>34.07</v>
      </c>
      <c r="F44" s="11" t="n">
        <v>2.62</v>
      </c>
      <c r="G44" s="11" t="s">
        <v>178</v>
      </c>
      <c r="H44" s="11" t="n">
        <v>305</v>
      </c>
      <c r="I44" s="11" t="n">
        <v>89</v>
      </c>
      <c r="J44" s="11"/>
      <c r="K44" s="11"/>
    </row>
    <row r="45" customFormat="false" ht="15" hidden="false" customHeight="false" outlineLevel="0" collapsed="false">
      <c r="A45" s="10" t="n">
        <v>46191</v>
      </c>
      <c r="B45" s="11" t="s">
        <v>35</v>
      </c>
      <c r="C45" s="11" t="s">
        <v>169</v>
      </c>
      <c r="D45" s="11" t="s">
        <v>218</v>
      </c>
      <c r="E45" s="11" t="n">
        <v>25.3</v>
      </c>
      <c r="F45" s="11" t="n">
        <v>1.9</v>
      </c>
      <c r="G45" s="11" t="s">
        <v>178</v>
      </c>
      <c r="H45" s="11" t="n">
        <v>204</v>
      </c>
      <c r="I45" s="11"/>
      <c r="J45" s="11"/>
      <c r="K45" s="11" t="s">
        <v>219</v>
      </c>
    </row>
    <row r="46" customFormat="false" ht="15" hidden="false" customHeight="false" outlineLevel="0" collapsed="false">
      <c r="A46" s="10" t="n">
        <v>46196</v>
      </c>
      <c r="B46" s="11" t="s">
        <v>69</v>
      </c>
      <c r="C46" s="11" t="s">
        <v>172</v>
      </c>
      <c r="D46" s="11" t="s">
        <v>220</v>
      </c>
      <c r="E46" s="11" t="n">
        <v>36.15</v>
      </c>
      <c r="F46" s="11" t="n">
        <v>2.74</v>
      </c>
      <c r="G46" s="11" t="s">
        <v>178</v>
      </c>
      <c r="H46" s="11" t="n">
        <v>302</v>
      </c>
      <c r="I46" s="11" t="n">
        <v>117</v>
      </c>
      <c r="J46" s="11"/>
      <c r="K46" s="11"/>
    </row>
    <row r="47" customFormat="false" ht="15" hidden="false" customHeight="false" outlineLevel="0" collapsed="false">
      <c r="A47" s="10" t="n">
        <v>46198</v>
      </c>
      <c r="B47" s="11" t="s">
        <v>35</v>
      </c>
      <c r="C47" s="11" t="s">
        <v>169</v>
      </c>
      <c r="D47" s="11" t="s">
        <v>221</v>
      </c>
      <c r="E47" s="11" t="n">
        <v>35.77</v>
      </c>
      <c r="F47" s="11" t="n">
        <v>2.73</v>
      </c>
      <c r="G47" s="11" t="s">
        <v>178</v>
      </c>
      <c r="H47" s="11" t="n">
        <v>315</v>
      </c>
      <c r="I47" s="11"/>
      <c r="J47" s="11"/>
      <c r="K47" s="11"/>
    </row>
    <row r="48" customFormat="false" ht="15" hidden="false" customHeight="false" outlineLevel="0" collapsed="false">
      <c r="A48" s="10" t="n">
        <v>46201</v>
      </c>
      <c r="B48" s="11" t="s">
        <v>83</v>
      </c>
      <c r="C48" s="11" t="s">
        <v>174</v>
      </c>
      <c r="D48" s="11" t="s">
        <v>222</v>
      </c>
      <c r="E48" s="11" t="n">
        <v>10.65</v>
      </c>
      <c r="F48" s="11" t="n">
        <v>2.26</v>
      </c>
      <c r="G48" s="11" t="s">
        <v>178</v>
      </c>
      <c r="H48" s="11" t="n">
        <v>98</v>
      </c>
      <c r="I48" s="11"/>
      <c r="J48" s="11"/>
      <c r="K48" s="11" t="s">
        <v>223</v>
      </c>
    </row>
    <row r="49" customFormat="false" ht="15" hidden="false" customHeight="false" outlineLevel="0" collapsed="false">
      <c r="A49" s="10" t="n">
        <v>46212</v>
      </c>
      <c r="B49" s="11" t="s">
        <v>35</v>
      </c>
      <c r="C49" s="11" t="s">
        <v>169</v>
      </c>
      <c r="D49" s="11" t="s">
        <v>224</v>
      </c>
      <c r="E49" s="11" t="n">
        <v>23.83</v>
      </c>
      <c r="F49" s="11" t="n">
        <v>2</v>
      </c>
      <c r="G49" s="11" t="s">
        <v>178</v>
      </c>
      <c r="H49" s="11" t="n">
        <v>225</v>
      </c>
      <c r="I49" s="11"/>
      <c r="J49" s="11"/>
      <c r="K49" s="11" t="s">
        <v>225</v>
      </c>
    </row>
    <row r="50" customFormat="false" ht="15" hidden="false" customHeight="false" outlineLevel="0" collapsed="false">
      <c r="A50" s="10" t="n">
        <v>46213</v>
      </c>
      <c r="B50" s="11" t="s">
        <v>82</v>
      </c>
      <c r="C50" s="11" t="s">
        <v>174</v>
      </c>
      <c r="D50" s="11" t="s">
        <v>226</v>
      </c>
      <c r="E50" s="11" t="n">
        <v>15.08</v>
      </c>
      <c r="F50" s="11" t="n">
        <v>2.94</v>
      </c>
      <c r="G50" s="11" t="s">
        <v>178</v>
      </c>
      <c r="H50" s="11" t="n">
        <v>144</v>
      </c>
      <c r="I50" s="11"/>
      <c r="J50" s="11"/>
      <c r="K50" s="11"/>
    </row>
    <row r="51" customFormat="false" ht="15" hidden="false" customHeight="false" outlineLevel="0" collapsed="false">
      <c r="A51" s="10" t="n">
        <v>46217</v>
      </c>
      <c r="B51" s="11" t="s">
        <v>69</v>
      </c>
      <c r="C51" s="11" t="s">
        <v>174</v>
      </c>
      <c r="D51" s="11" t="s">
        <v>227</v>
      </c>
      <c r="E51" s="11" t="n">
        <v>15.12</v>
      </c>
      <c r="F51" s="11" t="n">
        <v>3.3</v>
      </c>
      <c r="G51" s="11" t="s">
        <v>178</v>
      </c>
      <c r="H51" s="11" t="n">
        <v>164</v>
      </c>
      <c r="I51" s="11" t="n">
        <v>142</v>
      </c>
      <c r="J51" s="11"/>
      <c r="K51" s="11"/>
    </row>
    <row r="52" customFormat="false" ht="15" hidden="false" customHeight="false" outlineLevel="0" collapsed="false">
      <c r="A52" s="10" t="n">
        <v>46217</v>
      </c>
      <c r="B52" s="11" t="s">
        <v>69</v>
      </c>
      <c r="C52" s="11" t="s">
        <v>202</v>
      </c>
      <c r="D52" s="11" t="s">
        <v>228</v>
      </c>
      <c r="E52" s="11" t="n">
        <v>15.03</v>
      </c>
      <c r="F52" s="11"/>
      <c r="G52" s="11"/>
      <c r="H52" s="11" t="n">
        <v>179</v>
      </c>
      <c r="I52" s="11" t="n">
        <v>149</v>
      </c>
      <c r="J52" s="11" t="n">
        <v>54</v>
      </c>
      <c r="K52" s="11"/>
    </row>
    <row r="53" customFormat="false" ht="15" hidden="false" customHeight="false" outlineLevel="0" collapsed="false">
      <c r="A53" s="10" t="n">
        <v>46219</v>
      </c>
      <c r="B53" s="11" t="s">
        <v>35</v>
      </c>
      <c r="C53" s="11" t="s">
        <v>169</v>
      </c>
      <c r="D53" s="11" t="s">
        <v>229</v>
      </c>
      <c r="E53" s="11" t="n">
        <v>35.48</v>
      </c>
      <c r="F53" s="11" t="n">
        <v>2.78</v>
      </c>
      <c r="G53" s="11" t="s">
        <v>178</v>
      </c>
      <c r="H53" s="11" t="n">
        <v>330</v>
      </c>
      <c r="I53" s="11"/>
      <c r="J53" s="11"/>
      <c r="K53" s="11" t="s">
        <v>230</v>
      </c>
    </row>
    <row r="54" customFormat="false" ht="15" hidden="false" customHeight="false" outlineLevel="0" collapsed="false">
      <c r="A54" s="10" t="n">
        <v>46220</v>
      </c>
      <c r="B54" s="11" t="s">
        <v>82</v>
      </c>
      <c r="C54" s="11" t="s">
        <v>191</v>
      </c>
      <c r="D54" s="11"/>
      <c r="E54" s="11"/>
      <c r="F54" s="11" t="n">
        <v>2800</v>
      </c>
      <c r="G54" s="11" t="s">
        <v>231</v>
      </c>
      <c r="H54" s="11"/>
      <c r="I54" s="11"/>
      <c r="J54" s="11"/>
      <c r="K54" s="11" t="s">
        <v>232</v>
      </c>
    </row>
    <row r="55" customFormat="false" ht="15" hidden="false" customHeight="false" outlineLevel="0" collapsed="false">
      <c r="A55" s="10" t="n">
        <v>46221</v>
      </c>
      <c r="B55" s="11" t="s">
        <v>60</v>
      </c>
      <c r="C55" s="11" t="s">
        <v>174</v>
      </c>
      <c r="D55" s="11" t="s">
        <v>227</v>
      </c>
      <c r="E55" s="11" t="n">
        <v>15.12</v>
      </c>
      <c r="F55" s="11" t="n">
        <v>2.9</v>
      </c>
      <c r="G55" s="11" t="s">
        <v>178</v>
      </c>
      <c r="H55" s="11" t="n">
        <v>126</v>
      </c>
      <c r="I55" s="11"/>
      <c r="J55" s="11"/>
      <c r="K55" s="11" t="s">
        <v>233</v>
      </c>
    </row>
    <row r="56" customFormat="false" ht="15" hidden="false" customHeight="false" outlineLevel="0" collapsed="false">
      <c r="A56" s="10" t="n">
        <v>46222</v>
      </c>
      <c r="B56" s="11" t="s">
        <v>83</v>
      </c>
      <c r="C56" s="11" t="s">
        <v>174</v>
      </c>
      <c r="D56" s="11" t="s">
        <v>234</v>
      </c>
      <c r="E56" s="11" t="n">
        <v>20.07</v>
      </c>
      <c r="F56" s="11"/>
      <c r="G56" s="11"/>
      <c r="H56" s="11" t="n">
        <v>202</v>
      </c>
      <c r="I56" s="11" t="n">
        <v>149</v>
      </c>
      <c r="J56" s="11"/>
      <c r="K56" s="11" t="s">
        <v>235</v>
      </c>
    </row>
    <row r="57" customFormat="false" ht="15" hidden="false" customHeight="false" outlineLevel="0" collapsed="false">
      <c r="A57" s="10" t="n">
        <v>46222</v>
      </c>
      <c r="B57" s="11" t="s">
        <v>83</v>
      </c>
      <c r="C57" s="11" t="s">
        <v>202</v>
      </c>
      <c r="D57" s="11" t="s">
        <v>236</v>
      </c>
      <c r="E57" s="11" t="n">
        <v>10.05</v>
      </c>
      <c r="F57" s="11"/>
      <c r="G57" s="11"/>
      <c r="H57" s="11" t="n">
        <v>106</v>
      </c>
      <c r="I57" s="11" t="n">
        <v>153</v>
      </c>
      <c r="J57" s="11" t="n">
        <v>33</v>
      </c>
      <c r="K57" s="11" t="s">
        <v>237</v>
      </c>
    </row>
    <row r="58" customFormat="false" ht="15" hidden="false" customHeight="false" outlineLevel="0" collapsed="false">
      <c r="A58" s="10" t="n">
        <v>46224</v>
      </c>
      <c r="B58" s="11" t="s">
        <v>69</v>
      </c>
      <c r="C58" s="11" t="s">
        <v>169</v>
      </c>
      <c r="D58" s="11" t="s">
        <v>238</v>
      </c>
      <c r="E58" s="11" t="n">
        <v>30.12</v>
      </c>
      <c r="F58" s="11" t="n">
        <v>2.09</v>
      </c>
      <c r="G58" s="11" t="s">
        <v>178</v>
      </c>
      <c r="H58" s="11" t="n">
        <v>222</v>
      </c>
      <c r="I58" s="11" t="n">
        <v>138</v>
      </c>
      <c r="J58" s="11"/>
      <c r="K58" s="11" t="s">
        <v>239</v>
      </c>
    </row>
  </sheetData>
  <autoFilter ref="A1:K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4" min="2" style="0" width="13"/>
  </cols>
  <sheetData>
    <row r="1" customFormat="false" ht="45.75" hidden="false" customHeight="true" outlineLevel="0" collapsed="false">
      <c r="A1" s="14" t="s">
        <v>22</v>
      </c>
      <c r="B1" s="15" t="s">
        <v>76</v>
      </c>
      <c r="C1" s="15" t="s">
        <v>73</v>
      </c>
      <c r="D1" s="15" t="s">
        <v>80</v>
      </c>
      <c r="E1" s="15" t="s">
        <v>110</v>
      </c>
      <c r="F1" s="15" t="s">
        <v>77</v>
      </c>
      <c r="G1" s="15" t="s">
        <v>91</v>
      </c>
      <c r="H1" s="15" t="s">
        <v>88</v>
      </c>
      <c r="I1" s="15" t="s">
        <v>63</v>
      </c>
      <c r="J1" s="15" t="s">
        <v>71</v>
      </c>
      <c r="K1" s="15" t="s">
        <v>79</v>
      </c>
      <c r="L1" s="15" t="s">
        <v>90</v>
      </c>
      <c r="M1" s="15" t="s">
        <v>62</v>
      </c>
      <c r="N1" s="15" t="s">
        <v>64</v>
      </c>
      <c r="O1" s="15" t="s">
        <v>113</v>
      </c>
      <c r="P1" s="15" t="s">
        <v>85</v>
      </c>
      <c r="Q1" s="15" t="s">
        <v>65</v>
      </c>
      <c r="R1" s="15" t="s">
        <v>134</v>
      </c>
      <c r="S1" s="15" t="s">
        <v>151</v>
      </c>
      <c r="T1" s="15" t="s">
        <v>103</v>
      </c>
      <c r="U1" s="15" t="s">
        <v>114</v>
      </c>
      <c r="V1" s="15" t="s">
        <v>155</v>
      </c>
      <c r="W1" s="15" t="s">
        <v>137</v>
      </c>
      <c r="X1" s="15" t="s">
        <v>97</v>
      </c>
      <c r="Y1" s="15" t="s">
        <v>106</v>
      </c>
      <c r="Z1" s="15" t="s">
        <v>105</v>
      </c>
      <c r="AA1" s="15" t="s">
        <v>121</v>
      </c>
      <c r="AB1" s="15" t="s">
        <v>149</v>
      </c>
      <c r="AC1" s="15" t="s">
        <v>123</v>
      </c>
      <c r="AD1" s="15" t="s">
        <v>128</v>
      </c>
      <c r="AE1" s="15" t="s">
        <v>100</v>
      </c>
      <c r="AF1" s="15" t="s">
        <v>101</v>
      </c>
      <c r="AG1" s="15" t="s">
        <v>132</v>
      </c>
      <c r="AH1" s="15" t="s">
        <v>136</v>
      </c>
    </row>
    <row r="2" customFormat="false" ht="15" hidden="false" customHeight="false" outlineLevel="0" collapsed="false">
      <c r="A2" s="16" t="n">
        <v>46039</v>
      </c>
      <c r="B2" s="4" t="str">
        <f aca="false">IF(_xlfn.MAXIFS(Sets!$H$2:$H$2000,Sets!$A$2:$A$2000,$A2,Sets!$D$2:$D$2000,B$1,Sets!$J$2:$J$2000,"N")=0,"",_xlfn.MAXIFS(Sets!$H$2:$H$2000,Sets!$A$2:$A$2000,$A2,Sets!$D$2:$D$2000,B$1,Sets!$J$2:$J$2000,"N"))</f>
        <v/>
      </c>
      <c r="C2" s="4" t="str">
        <f aca="false">IF(_xlfn.MAXIFS(Sets!$H$2:$H$2000,Sets!$A$2:$A$2000,$A2,Sets!$D$2:$D$2000,C$1,Sets!$J$2:$J$2000,"N")=0,"",_xlfn.MAXIFS(Sets!$H$2:$H$2000,Sets!$A$2:$A$2000,$A2,Sets!$D$2:$D$2000,C$1,Sets!$J$2:$J$2000,"N"))</f>
        <v/>
      </c>
      <c r="D2" s="4" t="str">
        <f aca="false">IF(_xlfn.MAXIFS(Sets!$H$2:$H$2000,Sets!$A$2:$A$2000,$A2,Sets!$D$2:$D$2000,D$1,Sets!$J$2:$J$2000,"N")=0,"",_xlfn.MAXIFS(Sets!$H$2:$H$2000,Sets!$A$2:$A$2000,$A2,Sets!$D$2:$D$2000,D$1,Sets!$J$2:$J$2000,"N"))</f>
        <v/>
      </c>
      <c r="E2" s="4" t="str">
        <f aca="false">IF(_xlfn.MAXIFS(Sets!$H$2:$H$2000,Sets!$A$2:$A$2000,$A2,Sets!$D$2:$D$2000,E$1,Sets!$J$2:$J$2000,"N")=0,"",_xlfn.MAXIFS(Sets!$H$2:$H$2000,Sets!$A$2:$A$2000,$A2,Sets!$D$2:$D$2000,E$1,Sets!$J$2:$J$2000,"N"))</f>
        <v/>
      </c>
      <c r="F2" s="4" t="str">
        <f aca="false">IF(_xlfn.MAXIFS(Sets!$H$2:$H$2000,Sets!$A$2:$A$2000,$A2,Sets!$D$2:$D$2000,F$1,Sets!$J$2:$J$2000,"N")=0,"",_xlfn.MAXIFS(Sets!$H$2:$H$2000,Sets!$A$2:$A$2000,$A2,Sets!$D$2:$D$2000,F$1,Sets!$J$2:$J$2000,"N"))</f>
        <v/>
      </c>
      <c r="G2" s="4" t="str">
        <f aca="false">IF(_xlfn.MAXIFS(Sets!$H$2:$H$2000,Sets!$A$2:$A$2000,$A2,Sets!$D$2:$D$2000,G$1,Sets!$J$2:$J$2000,"N")=0,"",_xlfn.MAXIFS(Sets!$H$2:$H$2000,Sets!$A$2:$A$2000,$A2,Sets!$D$2:$D$2000,G$1,Sets!$J$2:$J$2000,"N"))</f>
        <v/>
      </c>
      <c r="H2" s="4" t="str">
        <f aca="false">IF(_xlfn.MAXIFS(Sets!$H$2:$H$2000,Sets!$A$2:$A$2000,$A2,Sets!$D$2:$D$2000,H$1,Sets!$J$2:$J$2000,"N")=0,"",_xlfn.MAXIFS(Sets!$H$2:$H$2000,Sets!$A$2:$A$2000,$A2,Sets!$D$2:$D$2000,H$1,Sets!$J$2:$J$2000,"N"))</f>
        <v/>
      </c>
      <c r="I2" s="4" t="n">
        <f aca="false">IF(_xlfn.MAXIFS(Sets!$H$2:$H$2000,Sets!$A$2:$A$2000,$A2,Sets!$D$2:$D$2000,I$1,Sets!$J$2:$J$2000,"N")=0,"",_xlfn.MAXIFS(Sets!$H$2:$H$2000,Sets!$A$2:$A$2000,$A2,Sets!$D$2:$D$2000,I$1,Sets!$J$2:$J$2000,"N"))</f>
        <v>20</v>
      </c>
      <c r="J2" s="4" t="str">
        <f aca="false">IF(_xlfn.MAXIFS(Sets!$H$2:$H$2000,Sets!$A$2:$A$2000,$A2,Sets!$D$2:$D$2000,J$1,Sets!$J$2:$J$2000,"N")=0,"",_xlfn.MAXIFS(Sets!$H$2:$H$2000,Sets!$A$2:$A$2000,$A2,Sets!$D$2:$D$2000,J$1,Sets!$J$2:$J$2000,"N"))</f>
        <v/>
      </c>
      <c r="K2" s="4" t="str">
        <f aca="false">IF(_xlfn.MAXIFS(Sets!$H$2:$H$2000,Sets!$A$2:$A$2000,$A2,Sets!$D$2:$D$2000,K$1,Sets!$J$2:$J$2000,"N")=0,"",_xlfn.MAXIFS(Sets!$H$2:$H$2000,Sets!$A$2:$A$2000,$A2,Sets!$D$2:$D$2000,K$1,Sets!$J$2:$J$2000,"N"))</f>
        <v/>
      </c>
      <c r="L2" s="4" t="str">
        <f aca="false">IF(_xlfn.MAXIFS(Sets!$H$2:$H$2000,Sets!$A$2:$A$2000,$A2,Sets!$D$2:$D$2000,L$1,Sets!$J$2:$J$2000,"N")=0,"",_xlfn.MAXIFS(Sets!$H$2:$H$2000,Sets!$A$2:$A$2000,$A2,Sets!$D$2:$D$2000,L$1,Sets!$J$2:$J$2000,"N"))</f>
        <v/>
      </c>
      <c r="M2" s="4" t="n">
        <f aca="false">IF(_xlfn.MAXIFS(Sets!$H$2:$H$2000,Sets!$A$2:$A$2000,$A2,Sets!$D$2:$D$2000,M$1,Sets!$J$2:$J$2000,"N")=0,"",_xlfn.MAXIFS(Sets!$H$2:$H$2000,Sets!$A$2:$A$2000,$A2,Sets!$D$2:$D$2000,M$1,Sets!$J$2:$J$2000,"N"))</f>
        <v>50</v>
      </c>
      <c r="N2" s="4" t="n">
        <f aca="false">IF(_xlfn.MAXIFS(Sets!$H$2:$H$2000,Sets!$A$2:$A$2000,$A2,Sets!$D$2:$D$2000,N$1,Sets!$J$2:$J$2000,"N")=0,"",_xlfn.MAXIFS(Sets!$H$2:$H$2000,Sets!$A$2:$A$2000,$A2,Sets!$D$2:$D$2000,N$1,Sets!$J$2:$J$2000,"N"))</f>
        <v>20</v>
      </c>
      <c r="O2" s="4" t="str">
        <f aca="false">IF(_xlfn.MAXIFS(Sets!$H$2:$H$2000,Sets!$A$2:$A$2000,$A2,Sets!$D$2:$D$2000,O$1,Sets!$J$2:$J$2000,"N")=0,"",_xlfn.MAXIFS(Sets!$H$2:$H$2000,Sets!$A$2:$A$2000,$A2,Sets!$D$2:$D$2000,O$1,Sets!$J$2:$J$2000,"N"))</f>
        <v/>
      </c>
      <c r="P2" s="4" t="str">
        <f aca="false">IF(_xlfn.MAXIFS(Sets!$H$2:$H$2000,Sets!$A$2:$A$2000,$A2,Sets!$D$2:$D$2000,P$1,Sets!$J$2:$J$2000,"N")=0,"",_xlfn.MAXIFS(Sets!$H$2:$H$2000,Sets!$A$2:$A$2000,$A2,Sets!$D$2:$D$2000,P$1,Sets!$J$2:$J$2000,"N"))</f>
        <v/>
      </c>
      <c r="Q2" s="4" t="str">
        <f aca="false">IF(_xlfn.MAXIFS(Sets!$H$2:$H$2000,Sets!$A$2:$A$2000,$A2,Sets!$D$2:$D$2000,Q$1,Sets!$J$2:$J$2000,"N")=0,"",_xlfn.MAXIFS(Sets!$H$2:$H$2000,Sets!$A$2:$A$2000,$A2,Sets!$D$2:$D$2000,Q$1,Sets!$J$2:$J$2000,"N"))</f>
        <v/>
      </c>
      <c r="R2" s="4" t="str">
        <f aca="false">IF(_xlfn.MAXIFS(Sets!$H$2:$H$2000,Sets!$A$2:$A$2000,$A2,Sets!$D$2:$D$2000,R$1,Sets!$J$2:$J$2000,"N")=0,"",_xlfn.MAXIFS(Sets!$H$2:$H$2000,Sets!$A$2:$A$2000,$A2,Sets!$D$2:$D$2000,R$1,Sets!$J$2:$J$2000,"N"))</f>
        <v/>
      </c>
      <c r="S2" s="4" t="str">
        <f aca="false">IF(_xlfn.MAXIFS(Sets!$H$2:$H$2000,Sets!$A$2:$A$2000,$A2,Sets!$D$2:$D$2000,S$1,Sets!$J$2:$J$2000,"N")=0,"",_xlfn.MAXIFS(Sets!$H$2:$H$2000,Sets!$A$2:$A$2000,$A2,Sets!$D$2:$D$2000,S$1,Sets!$J$2:$J$2000,"N"))</f>
        <v/>
      </c>
      <c r="T2" s="4" t="str">
        <f aca="false">IF(_xlfn.MAXIFS(Sets!$H$2:$H$2000,Sets!$A$2:$A$2000,$A2,Sets!$D$2:$D$2000,T$1,Sets!$J$2:$J$2000,"N")=0,"",_xlfn.MAXIFS(Sets!$H$2:$H$2000,Sets!$A$2:$A$2000,$A2,Sets!$D$2:$D$2000,T$1,Sets!$J$2:$J$2000,"N"))</f>
        <v/>
      </c>
      <c r="U2" s="4" t="str">
        <f aca="false">IF(_xlfn.MAXIFS(Sets!$H$2:$H$2000,Sets!$A$2:$A$2000,$A2,Sets!$D$2:$D$2000,U$1,Sets!$J$2:$J$2000,"N")=0,"",_xlfn.MAXIFS(Sets!$H$2:$H$2000,Sets!$A$2:$A$2000,$A2,Sets!$D$2:$D$2000,U$1,Sets!$J$2:$J$2000,"N"))</f>
        <v/>
      </c>
      <c r="V2" s="4" t="str">
        <f aca="false">IF(_xlfn.MAXIFS(Sets!$H$2:$H$2000,Sets!$A$2:$A$2000,$A2,Sets!$D$2:$D$2000,V$1,Sets!$J$2:$J$2000,"N")=0,"",_xlfn.MAXIFS(Sets!$H$2:$H$2000,Sets!$A$2:$A$2000,$A2,Sets!$D$2:$D$2000,V$1,Sets!$J$2:$J$2000,"N"))</f>
        <v/>
      </c>
      <c r="W2" s="4" t="str">
        <f aca="false">IF(_xlfn.MAXIFS(Sets!$H$2:$H$2000,Sets!$A$2:$A$2000,$A2,Sets!$D$2:$D$2000,W$1,Sets!$J$2:$J$2000,"N")=0,"",_xlfn.MAXIFS(Sets!$H$2:$H$2000,Sets!$A$2:$A$2000,$A2,Sets!$D$2:$D$2000,W$1,Sets!$J$2:$J$2000,"N"))</f>
        <v/>
      </c>
      <c r="X2" s="4" t="str">
        <f aca="false">IF(_xlfn.MAXIFS(Sets!$H$2:$H$2000,Sets!$A$2:$A$2000,$A2,Sets!$D$2:$D$2000,X$1,Sets!$J$2:$J$2000,"N")=0,"",_xlfn.MAXIFS(Sets!$H$2:$H$2000,Sets!$A$2:$A$2000,$A2,Sets!$D$2:$D$2000,X$1,Sets!$J$2:$J$2000,"N"))</f>
        <v/>
      </c>
      <c r="Y2" s="4" t="str">
        <f aca="false">IF(_xlfn.MAXIFS(Sets!$H$2:$H$2000,Sets!$A$2:$A$2000,$A2,Sets!$D$2:$D$2000,Y$1,Sets!$J$2:$J$2000,"N")=0,"",_xlfn.MAXIFS(Sets!$H$2:$H$2000,Sets!$A$2:$A$2000,$A2,Sets!$D$2:$D$2000,Y$1,Sets!$J$2:$J$2000,"N"))</f>
        <v/>
      </c>
      <c r="Z2" s="4" t="str">
        <f aca="false">IF(_xlfn.MAXIFS(Sets!$H$2:$H$2000,Sets!$A$2:$A$2000,$A2,Sets!$D$2:$D$2000,Z$1,Sets!$J$2:$J$2000,"N")=0,"",_xlfn.MAXIFS(Sets!$H$2:$H$2000,Sets!$A$2:$A$2000,$A2,Sets!$D$2:$D$2000,Z$1,Sets!$J$2:$J$2000,"N"))</f>
        <v/>
      </c>
      <c r="AA2" s="4" t="str">
        <f aca="false">IF(_xlfn.MAXIFS(Sets!$H$2:$H$2000,Sets!$A$2:$A$2000,$A2,Sets!$D$2:$D$2000,AA$1,Sets!$J$2:$J$2000,"N")=0,"",_xlfn.MAXIFS(Sets!$H$2:$H$2000,Sets!$A$2:$A$2000,$A2,Sets!$D$2:$D$2000,AA$1,Sets!$J$2:$J$2000,"N"))</f>
        <v/>
      </c>
      <c r="AB2" s="4" t="str">
        <f aca="false">IF(_xlfn.MAXIFS(Sets!$H$2:$H$2000,Sets!$A$2:$A$2000,$A2,Sets!$D$2:$D$2000,AB$1,Sets!$J$2:$J$2000,"N")=0,"",_xlfn.MAXIFS(Sets!$H$2:$H$2000,Sets!$A$2:$A$2000,$A2,Sets!$D$2:$D$2000,AB$1,Sets!$J$2:$J$2000,"N"))</f>
        <v/>
      </c>
      <c r="AC2" s="4" t="str">
        <f aca="false">IF(_xlfn.MAXIFS(Sets!$H$2:$H$2000,Sets!$A$2:$A$2000,$A2,Sets!$D$2:$D$2000,AC$1,Sets!$J$2:$J$2000,"N")=0,"",_xlfn.MAXIFS(Sets!$H$2:$H$2000,Sets!$A$2:$A$2000,$A2,Sets!$D$2:$D$2000,AC$1,Sets!$J$2:$J$2000,"N"))</f>
        <v/>
      </c>
      <c r="AD2" s="4" t="str">
        <f aca="false">IF(_xlfn.MAXIFS(Sets!$H$2:$H$2000,Sets!$A$2:$A$2000,$A2,Sets!$D$2:$D$2000,AD$1,Sets!$J$2:$J$2000,"N")=0,"",_xlfn.MAXIFS(Sets!$H$2:$H$2000,Sets!$A$2:$A$2000,$A2,Sets!$D$2:$D$2000,AD$1,Sets!$J$2:$J$2000,"N"))</f>
        <v/>
      </c>
      <c r="AE2" s="4" t="str">
        <f aca="false">IF(_xlfn.MAXIFS(Sets!$H$2:$H$2000,Sets!$A$2:$A$2000,$A2,Sets!$D$2:$D$2000,AE$1,Sets!$J$2:$J$2000,"N")=0,"",_xlfn.MAXIFS(Sets!$H$2:$H$2000,Sets!$A$2:$A$2000,$A2,Sets!$D$2:$D$2000,AE$1,Sets!$J$2:$J$2000,"N"))</f>
        <v/>
      </c>
      <c r="AF2" s="4" t="str">
        <f aca="false">IF(_xlfn.MAXIFS(Sets!$H$2:$H$2000,Sets!$A$2:$A$2000,$A2,Sets!$D$2:$D$2000,AF$1,Sets!$J$2:$J$2000,"N")=0,"",_xlfn.MAXIFS(Sets!$H$2:$H$2000,Sets!$A$2:$A$2000,$A2,Sets!$D$2:$D$2000,AF$1,Sets!$J$2:$J$2000,"N"))</f>
        <v/>
      </c>
      <c r="AG2" s="4" t="str">
        <f aca="false">IF(_xlfn.MAXIFS(Sets!$H$2:$H$2000,Sets!$A$2:$A$2000,$A2,Sets!$D$2:$D$2000,AG$1,Sets!$J$2:$J$2000,"N")=0,"",_xlfn.MAXIFS(Sets!$H$2:$H$2000,Sets!$A$2:$A$2000,$A2,Sets!$D$2:$D$2000,AG$1,Sets!$J$2:$J$2000,"N"))</f>
        <v/>
      </c>
      <c r="AH2" s="4" t="str">
        <f aca="false">IF(_xlfn.MAXIFS(Sets!$H$2:$H$2000,Sets!$A$2:$A$2000,$A2,Sets!$D$2:$D$2000,AH$1,Sets!$J$2:$J$2000,"N")=0,"",_xlfn.MAXIFS(Sets!$H$2:$H$2000,Sets!$A$2:$A$2000,$A2,Sets!$D$2:$D$2000,AH$1,Sets!$J$2:$J$2000,"N"))</f>
        <v/>
      </c>
    </row>
    <row r="3" customFormat="false" ht="15" hidden="false" customHeight="false" outlineLevel="0" collapsed="false">
      <c r="A3" s="16" t="n">
        <v>46042</v>
      </c>
      <c r="B3" s="4" t="n">
        <f aca="false">IF(_xlfn.MAXIFS(Sets!$H$2:$H$2000,Sets!$A$2:$A$2000,$A3,Sets!$D$2:$D$2000,B$1,Sets!$J$2:$J$2000,"N")=0,"",_xlfn.MAXIFS(Sets!$H$2:$H$2000,Sets!$A$2:$A$2000,$A3,Sets!$D$2:$D$2000,B$1,Sets!$J$2:$J$2000,"N"))</f>
        <v>30</v>
      </c>
      <c r="C3" s="4" t="n">
        <f aca="false">IF(_xlfn.MAXIFS(Sets!$H$2:$H$2000,Sets!$A$2:$A$2000,$A3,Sets!$D$2:$D$2000,C$1,Sets!$J$2:$J$2000,"N")=0,"",_xlfn.MAXIFS(Sets!$H$2:$H$2000,Sets!$A$2:$A$2000,$A3,Sets!$D$2:$D$2000,C$1,Sets!$J$2:$J$2000,"N"))</f>
        <v>15</v>
      </c>
      <c r="D3" s="4" t="str">
        <f aca="false">IF(_xlfn.MAXIFS(Sets!$H$2:$H$2000,Sets!$A$2:$A$2000,$A3,Sets!$D$2:$D$2000,D$1,Sets!$J$2:$J$2000,"N")=0,"",_xlfn.MAXIFS(Sets!$H$2:$H$2000,Sets!$A$2:$A$2000,$A3,Sets!$D$2:$D$2000,D$1,Sets!$J$2:$J$2000,"N"))</f>
        <v/>
      </c>
      <c r="E3" s="4" t="str">
        <f aca="false">IF(_xlfn.MAXIFS(Sets!$H$2:$H$2000,Sets!$A$2:$A$2000,$A3,Sets!$D$2:$D$2000,E$1,Sets!$J$2:$J$2000,"N")=0,"",_xlfn.MAXIFS(Sets!$H$2:$H$2000,Sets!$A$2:$A$2000,$A3,Sets!$D$2:$D$2000,E$1,Sets!$J$2:$J$2000,"N"))</f>
        <v/>
      </c>
      <c r="F3" s="4" t="n">
        <f aca="false">IF(_xlfn.MAXIFS(Sets!$H$2:$H$2000,Sets!$A$2:$A$2000,$A3,Sets!$D$2:$D$2000,F$1,Sets!$J$2:$J$2000,"N")=0,"",_xlfn.MAXIFS(Sets!$H$2:$H$2000,Sets!$A$2:$A$2000,$A3,Sets!$D$2:$D$2000,F$1,Sets!$J$2:$J$2000,"N"))</f>
        <v>25</v>
      </c>
      <c r="G3" s="4" t="str">
        <f aca="false">IF(_xlfn.MAXIFS(Sets!$H$2:$H$2000,Sets!$A$2:$A$2000,$A3,Sets!$D$2:$D$2000,G$1,Sets!$J$2:$J$2000,"N")=0,"",_xlfn.MAXIFS(Sets!$H$2:$H$2000,Sets!$A$2:$A$2000,$A3,Sets!$D$2:$D$2000,G$1,Sets!$J$2:$J$2000,"N"))</f>
        <v/>
      </c>
      <c r="H3" s="4" t="str">
        <f aca="false">IF(_xlfn.MAXIFS(Sets!$H$2:$H$2000,Sets!$A$2:$A$2000,$A3,Sets!$D$2:$D$2000,H$1,Sets!$J$2:$J$2000,"N")=0,"",_xlfn.MAXIFS(Sets!$H$2:$H$2000,Sets!$A$2:$A$2000,$A3,Sets!$D$2:$D$2000,H$1,Sets!$J$2:$J$2000,"N"))</f>
        <v/>
      </c>
      <c r="I3" s="4" t="str">
        <f aca="false">IF(_xlfn.MAXIFS(Sets!$H$2:$H$2000,Sets!$A$2:$A$2000,$A3,Sets!$D$2:$D$2000,I$1,Sets!$J$2:$J$2000,"N")=0,"",_xlfn.MAXIFS(Sets!$H$2:$H$2000,Sets!$A$2:$A$2000,$A3,Sets!$D$2:$D$2000,I$1,Sets!$J$2:$J$2000,"N"))</f>
        <v/>
      </c>
      <c r="J3" s="4" t="n">
        <f aca="false">IF(_xlfn.MAXIFS(Sets!$H$2:$H$2000,Sets!$A$2:$A$2000,$A3,Sets!$D$2:$D$2000,J$1,Sets!$J$2:$J$2000,"N")=0,"",_xlfn.MAXIFS(Sets!$H$2:$H$2000,Sets!$A$2:$A$2000,$A3,Sets!$D$2:$D$2000,J$1,Sets!$J$2:$J$2000,"N"))</f>
        <v>40</v>
      </c>
      <c r="K3" s="4" t="str">
        <f aca="false">IF(_xlfn.MAXIFS(Sets!$H$2:$H$2000,Sets!$A$2:$A$2000,$A3,Sets!$D$2:$D$2000,K$1,Sets!$J$2:$J$2000,"N")=0,"",_xlfn.MAXIFS(Sets!$H$2:$H$2000,Sets!$A$2:$A$2000,$A3,Sets!$D$2:$D$2000,K$1,Sets!$J$2:$J$2000,"N"))</f>
        <v/>
      </c>
      <c r="L3" s="4" t="str">
        <f aca="false">IF(_xlfn.MAXIFS(Sets!$H$2:$H$2000,Sets!$A$2:$A$2000,$A3,Sets!$D$2:$D$2000,L$1,Sets!$J$2:$J$2000,"N")=0,"",_xlfn.MAXIFS(Sets!$H$2:$H$2000,Sets!$A$2:$A$2000,$A3,Sets!$D$2:$D$2000,L$1,Sets!$J$2:$J$2000,"N"))</f>
        <v/>
      </c>
      <c r="M3" s="4" t="str">
        <f aca="false">IF(_xlfn.MAXIFS(Sets!$H$2:$H$2000,Sets!$A$2:$A$2000,$A3,Sets!$D$2:$D$2000,M$1,Sets!$J$2:$J$2000,"N")=0,"",_xlfn.MAXIFS(Sets!$H$2:$H$2000,Sets!$A$2:$A$2000,$A3,Sets!$D$2:$D$2000,M$1,Sets!$J$2:$J$2000,"N"))</f>
        <v/>
      </c>
      <c r="N3" s="4" t="str">
        <f aca="false">IF(_xlfn.MAXIFS(Sets!$H$2:$H$2000,Sets!$A$2:$A$2000,$A3,Sets!$D$2:$D$2000,N$1,Sets!$J$2:$J$2000,"N")=0,"",_xlfn.MAXIFS(Sets!$H$2:$H$2000,Sets!$A$2:$A$2000,$A3,Sets!$D$2:$D$2000,N$1,Sets!$J$2:$J$2000,"N"))</f>
        <v/>
      </c>
      <c r="O3" s="4" t="str">
        <f aca="false">IF(_xlfn.MAXIFS(Sets!$H$2:$H$2000,Sets!$A$2:$A$2000,$A3,Sets!$D$2:$D$2000,O$1,Sets!$J$2:$J$2000,"N")=0,"",_xlfn.MAXIFS(Sets!$H$2:$H$2000,Sets!$A$2:$A$2000,$A3,Sets!$D$2:$D$2000,O$1,Sets!$J$2:$J$2000,"N"))</f>
        <v/>
      </c>
      <c r="P3" s="4" t="str">
        <f aca="false">IF(_xlfn.MAXIFS(Sets!$H$2:$H$2000,Sets!$A$2:$A$2000,$A3,Sets!$D$2:$D$2000,P$1,Sets!$J$2:$J$2000,"N")=0,"",_xlfn.MAXIFS(Sets!$H$2:$H$2000,Sets!$A$2:$A$2000,$A3,Sets!$D$2:$D$2000,P$1,Sets!$J$2:$J$2000,"N"))</f>
        <v/>
      </c>
      <c r="Q3" s="4" t="str">
        <f aca="false">IF(_xlfn.MAXIFS(Sets!$H$2:$H$2000,Sets!$A$2:$A$2000,$A3,Sets!$D$2:$D$2000,Q$1,Sets!$J$2:$J$2000,"N")=0,"",_xlfn.MAXIFS(Sets!$H$2:$H$2000,Sets!$A$2:$A$2000,$A3,Sets!$D$2:$D$2000,Q$1,Sets!$J$2:$J$2000,"N"))</f>
        <v/>
      </c>
      <c r="R3" s="4" t="str">
        <f aca="false">IF(_xlfn.MAXIFS(Sets!$H$2:$H$2000,Sets!$A$2:$A$2000,$A3,Sets!$D$2:$D$2000,R$1,Sets!$J$2:$J$2000,"N")=0,"",_xlfn.MAXIFS(Sets!$H$2:$H$2000,Sets!$A$2:$A$2000,$A3,Sets!$D$2:$D$2000,R$1,Sets!$J$2:$J$2000,"N"))</f>
        <v/>
      </c>
      <c r="S3" s="4" t="str">
        <f aca="false">IF(_xlfn.MAXIFS(Sets!$H$2:$H$2000,Sets!$A$2:$A$2000,$A3,Sets!$D$2:$D$2000,S$1,Sets!$J$2:$J$2000,"N")=0,"",_xlfn.MAXIFS(Sets!$H$2:$H$2000,Sets!$A$2:$A$2000,$A3,Sets!$D$2:$D$2000,S$1,Sets!$J$2:$J$2000,"N"))</f>
        <v/>
      </c>
      <c r="T3" s="4" t="str">
        <f aca="false">IF(_xlfn.MAXIFS(Sets!$H$2:$H$2000,Sets!$A$2:$A$2000,$A3,Sets!$D$2:$D$2000,T$1,Sets!$J$2:$J$2000,"N")=0,"",_xlfn.MAXIFS(Sets!$H$2:$H$2000,Sets!$A$2:$A$2000,$A3,Sets!$D$2:$D$2000,T$1,Sets!$J$2:$J$2000,"N"))</f>
        <v/>
      </c>
      <c r="U3" s="4" t="str">
        <f aca="false">IF(_xlfn.MAXIFS(Sets!$H$2:$H$2000,Sets!$A$2:$A$2000,$A3,Sets!$D$2:$D$2000,U$1,Sets!$J$2:$J$2000,"N")=0,"",_xlfn.MAXIFS(Sets!$H$2:$H$2000,Sets!$A$2:$A$2000,$A3,Sets!$D$2:$D$2000,U$1,Sets!$J$2:$J$2000,"N"))</f>
        <v/>
      </c>
      <c r="V3" s="4" t="str">
        <f aca="false">IF(_xlfn.MAXIFS(Sets!$H$2:$H$2000,Sets!$A$2:$A$2000,$A3,Sets!$D$2:$D$2000,V$1,Sets!$J$2:$J$2000,"N")=0,"",_xlfn.MAXIFS(Sets!$H$2:$H$2000,Sets!$A$2:$A$2000,$A3,Sets!$D$2:$D$2000,V$1,Sets!$J$2:$J$2000,"N"))</f>
        <v/>
      </c>
      <c r="W3" s="4" t="str">
        <f aca="false">IF(_xlfn.MAXIFS(Sets!$H$2:$H$2000,Sets!$A$2:$A$2000,$A3,Sets!$D$2:$D$2000,W$1,Sets!$J$2:$J$2000,"N")=0,"",_xlfn.MAXIFS(Sets!$H$2:$H$2000,Sets!$A$2:$A$2000,$A3,Sets!$D$2:$D$2000,W$1,Sets!$J$2:$J$2000,"N"))</f>
        <v/>
      </c>
      <c r="X3" s="4" t="str">
        <f aca="false">IF(_xlfn.MAXIFS(Sets!$H$2:$H$2000,Sets!$A$2:$A$2000,$A3,Sets!$D$2:$D$2000,X$1,Sets!$J$2:$J$2000,"N")=0,"",_xlfn.MAXIFS(Sets!$H$2:$H$2000,Sets!$A$2:$A$2000,$A3,Sets!$D$2:$D$2000,X$1,Sets!$J$2:$J$2000,"N"))</f>
        <v/>
      </c>
      <c r="Y3" s="4" t="str">
        <f aca="false">IF(_xlfn.MAXIFS(Sets!$H$2:$H$2000,Sets!$A$2:$A$2000,$A3,Sets!$D$2:$D$2000,Y$1,Sets!$J$2:$J$2000,"N")=0,"",_xlfn.MAXIFS(Sets!$H$2:$H$2000,Sets!$A$2:$A$2000,$A3,Sets!$D$2:$D$2000,Y$1,Sets!$J$2:$J$2000,"N"))</f>
        <v/>
      </c>
      <c r="Z3" s="4" t="str">
        <f aca="false">IF(_xlfn.MAXIFS(Sets!$H$2:$H$2000,Sets!$A$2:$A$2000,$A3,Sets!$D$2:$D$2000,Z$1,Sets!$J$2:$J$2000,"N")=0,"",_xlfn.MAXIFS(Sets!$H$2:$H$2000,Sets!$A$2:$A$2000,$A3,Sets!$D$2:$D$2000,Z$1,Sets!$J$2:$J$2000,"N"))</f>
        <v/>
      </c>
      <c r="AA3" s="4" t="str">
        <f aca="false">IF(_xlfn.MAXIFS(Sets!$H$2:$H$2000,Sets!$A$2:$A$2000,$A3,Sets!$D$2:$D$2000,AA$1,Sets!$J$2:$J$2000,"N")=0,"",_xlfn.MAXIFS(Sets!$H$2:$H$2000,Sets!$A$2:$A$2000,$A3,Sets!$D$2:$D$2000,AA$1,Sets!$J$2:$J$2000,"N"))</f>
        <v/>
      </c>
      <c r="AB3" s="4" t="str">
        <f aca="false">IF(_xlfn.MAXIFS(Sets!$H$2:$H$2000,Sets!$A$2:$A$2000,$A3,Sets!$D$2:$D$2000,AB$1,Sets!$J$2:$J$2000,"N")=0,"",_xlfn.MAXIFS(Sets!$H$2:$H$2000,Sets!$A$2:$A$2000,$A3,Sets!$D$2:$D$2000,AB$1,Sets!$J$2:$J$2000,"N"))</f>
        <v/>
      </c>
      <c r="AC3" s="4" t="str">
        <f aca="false">IF(_xlfn.MAXIFS(Sets!$H$2:$H$2000,Sets!$A$2:$A$2000,$A3,Sets!$D$2:$D$2000,AC$1,Sets!$J$2:$J$2000,"N")=0,"",_xlfn.MAXIFS(Sets!$H$2:$H$2000,Sets!$A$2:$A$2000,$A3,Sets!$D$2:$D$2000,AC$1,Sets!$J$2:$J$2000,"N"))</f>
        <v/>
      </c>
      <c r="AD3" s="4" t="str">
        <f aca="false">IF(_xlfn.MAXIFS(Sets!$H$2:$H$2000,Sets!$A$2:$A$2000,$A3,Sets!$D$2:$D$2000,AD$1,Sets!$J$2:$J$2000,"N")=0,"",_xlfn.MAXIFS(Sets!$H$2:$H$2000,Sets!$A$2:$A$2000,$A3,Sets!$D$2:$D$2000,AD$1,Sets!$J$2:$J$2000,"N"))</f>
        <v/>
      </c>
      <c r="AE3" s="4" t="str">
        <f aca="false">IF(_xlfn.MAXIFS(Sets!$H$2:$H$2000,Sets!$A$2:$A$2000,$A3,Sets!$D$2:$D$2000,AE$1,Sets!$J$2:$J$2000,"N")=0,"",_xlfn.MAXIFS(Sets!$H$2:$H$2000,Sets!$A$2:$A$2000,$A3,Sets!$D$2:$D$2000,AE$1,Sets!$J$2:$J$2000,"N"))</f>
        <v/>
      </c>
      <c r="AF3" s="4" t="str">
        <f aca="false">IF(_xlfn.MAXIFS(Sets!$H$2:$H$2000,Sets!$A$2:$A$2000,$A3,Sets!$D$2:$D$2000,AF$1,Sets!$J$2:$J$2000,"N")=0,"",_xlfn.MAXIFS(Sets!$H$2:$H$2000,Sets!$A$2:$A$2000,$A3,Sets!$D$2:$D$2000,AF$1,Sets!$J$2:$J$2000,"N"))</f>
        <v/>
      </c>
      <c r="AG3" s="4" t="str">
        <f aca="false">IF(_xlfn.MAXIFS(Sets!$H$2:$H$2000,Sets!$A$2:$A$2000,$A3,Sets!$D$2:$D$2000,AG$1,Sets!$J$2:$J$2000,"N")=0,"",_xlfn.MAXIFS(Sets!$H$2:$H$2000,Sets!$A$2:$A$2000,$A3,Sets!$D$2:$D$2000,AG$1,Sets!$J$2:$J$2000,"N"))</f>
        <v/>
      </c>
      <c r="AH3" s="4" t="str">
        <f aca="false">IF(_xlfn.MAXIFS(Sets!$H$2:$H$2000,Sets!$A$2:$A$2000,$A3,Sets!$D$2:$D$2000,AH$1,Sets!$J$2:$J$2000,"N")=0,"",_xlfn.MAXIFS(Sets!$H$2:$H$2000,Sets!$A$2:$A$2000,$A3,Sets!$D$2:$D$2000,AH$1,Sets!$J$2:$J$2000,"N"))</f>
        <v/>
      </c>
    </row>
    <row r="4" customFormat="false" ht="15" hidden="false" customHeight="false" outlineLevel="0" collapsed="false">
      <c r="A4" s="16" t="n">
        <v>46044</v>
      </c>
      <c r="B4" s="4" t="str">
        <f aca="false">IF(_xlfn.MAXIFS(Sets!$H$2:$H$2000,Sets!$A$2:$A$2000,$A4,Sets!$D$2:$D$2000,B$1,Sets!$J$2:$J$2000,"N")=0,"",_xlfn.MAXIFS(Sets!$H$2:$H$2000,Sets!$A$2:$A$2000,$A4,Sets!$D$2:$D$2000,B$1,Sets!$J$2:$J$2000,"N"))</f>
        <v/>
      </c>
      <c r="C4" s="4" t="str">
        <f aca="false">IF(_xlfn.MAXIFS(Sets!$H$2:$H$2000,Sets!$A$2:$A$2000,$A4,Sets!$D$2:$D$2000,C$1,Sets!$J$2:$J$2000,"N")=0,"",_xlfn.MAXIFS(Sets!$H$2:$H$2000,Sets!$A$2:$A$2000,$A4,Sets!$D$2:$D$2000,C$1,Sets!$J$2:$J$2000,"N"))</f>
        <v/>
      </c>
      <c r="D4" s="4" t="n">
        <f aca="false">IF(_xlfn.MAXIFS(Sets!$H$2:$H$2000,Sets!$A$2:$A$2000,$A4,Sets!$D$2:$D$2000,D$1,Sets!$J$2:$J$2000,"N")=0,"",_xlfn.MAXIFS(Sets!$H$2:$H$2000,Sets!$A$2:$A$2000,$A4,Sets!$D$2:$D$2000,D$1,Sets!$J$2:$J$2000,"N"))</f>
        <v>50</v>
      </c>
      <c r="E4" s="4" t="str">
        <f aca="false">IF(_xlfn.MAXIFS(Sets!$H$2:$H$2000,Sets!$A$2:$A$2000,$A4,Sets!$D$2:$D$2000,E$1,Sets!$J$2:$J$2000,"N")=0,"",_xlfn.MAXIFS(Sets!$H$2:$H$2000,Sets!$A$2:$A$2000,$A4,Sets!$D$2:$D$2000,E$1,Sets!$J$2:$J$2000,"N"))</f>
        <v/>
      </c>
      <c r="F4" s="4" t="n">
        <f aca="false">IF(_xlfn.MAXIFS(Sets!$H$2:$H$2000,Sets!$A$2:$A$2000,$A4,Sets!$D$2:$D$2000,F$1,Sets!$J$2:$J$2000,"N")=0,"",_xlfn.MAXIFS(Sets!$H$2:$H$2000,Sets!$A$2:$A$2000,$A4,Sets!$D$2:$D$2000,F$1,Sets!$J$2:$J$2000,"N"))</f>
        <v>30</v>
      </c>
      <c r="G4" s="4" t="str">
        <f aca="false">IF(_xlfn.MAXIFS(Sets!$H$2:$H$2000,Sets!$A$2:$A$2000,$A4,Sets!$D$2:$D$2000,G$1,Sets!$J$2:$J$2000,"N")=0,"",_xlfn.MAXIFS(Sets!$H$2:$H$2000,Sets!$A$2:$A$2000,$A4,Sets!$D$2:$D$2000,G$1,Sets!$J$2:$J$2000,"N"))</f>
        <v/>
      </c>
      <c r="H4" s="4" t="str">
        <f aca="false">IF(_xlfn.MAXIFS(Sets!$H$2:$H$2000,Sets!$A$2:$A$2000,$A4,Sets!$D$2:$D$2000,H$1,Sets!$J$2:$J$2000,"N")=0,"",_xlfn.MAXIFS(Sets!$H$2:$H$2000,Sets!$A$2:$A$2000,$A4,Sets!$D$2:$D$2000,H$1,Sets!$J$2:$J$2000,"N"))</f>
        <v/>
      </c>
      <c r="I4" s="4" t="str">
        <f aca="false">IF(_xlfn.MAXIFS(Sets!$H$2:$H$2000,Sets!$A$2:$A$2000,$A4,Sets!$D$2:$D$2000,I$1,Sets!$J$2:$J$2000,"N")=0,"",_xlfn.MAXIFS(Sets!$H$2:$H$2000,Sets!$A$2:$A$2000,$A4,Sets!$D$2:$D$2000,I$1,Sets!$J$2:$J$2000,"N"))</f>
        <v/>
      </c>
      <c r="J4" s="4" t="str">
        <f aca="false">IF(_xlfn.MAXIFS(Sets!$H$2:$H$2000,Sets!$A$2:$A$2000,$A4,Sets!$D$2:$D$2000,J$1,Sets!$J$2:$J$2000,"N")=0,"",_xlfn.MAXIFS(Sets!$H$2:$H$2000,Sets!$A$2:$A$2000,$A4,Sets!$D$2:$D$2000,J$1,Sets!$J$2:$J$2000,"N"))</f>
        <v/>
      </c>
      <c r="K4" s="4" t="n">
        <f aca="false">IF(_xlfn.MAXIFS(Sets!$H$2:$H$2000,Sets!$A$2:$A$2000,$A4,Sets!$D$2:$D$2000,K$1,Sets!$J$2:$J$2000,"N")=0,"",_xlfn.MAXIFS(Sets!$H$2:$H$2000,Sets!$A$2:$A$2000,$A4,Sets!$D$2:$D$2000,K$1,Sets!$J$2:$J$2000,"N"))</f>
        <v>30</v>
      </c>
      <c r="L4" s="4" t="str">
        <f aca="false">IF(_xlfn.MAXIFS(Sets!$H$2:$H$2000,Sets!$A$2:$A$2000,$A4,Sets!$D$2:$D$2000,L$1,Sets!$J$2:$J$2000,"N")=0,"",_xlfn.MAXIFS(Sets!$H$2:$H$2000,Sets!$A$2:$A$2000,$A4,Sets!$D$2:$D$2000,L$1,Sets!$J$2:$J$2000,"N"))</f>
        <v/>
      </c>
      <c r="M4" s="4" t="str">
        <f aca="false">IF(_xlfn.MAXIFS(Sets!$H$2:$H$2000,Sets!$A$2:$A$2000,$A4,Sets!$D$2:$D$2000,M$1,Sets!$J$2:$J$2000,"N")=0,"",_xlfn.MAXIFS(Sets!$H$2:$H$2000,Sets!$A$2:$A$2000,$A4,Sets!$D$2:$D$2000,M$1,Sets!$J$2:$J$2000,"N"))</f>
        <v/>
      </c>
      <c r="N4" s="4" t="str">
        <f aca="false">IF(_xlfn.MAXIFS(Sets!$H$2:$H$2000,Sets!$A$2:$A$2000,$A4,Sets!$D$2:$D$2000,N$1,Sets!$J$2:$J$2000,"N")=0,"",_xlfn.MAXIFS(Sets!$H$2:$H$2000,Sets!$A$2:$A$2000,$A4,Sets!$D$2:$D$2000,N$1,Sets!$J$2:$J$2000,"N"))</f>
        <v/>
      </c>
      <c r="O4" s="4" t="str">
        <f aca="false">IF(_xlfn.MAXIFS(Sets!$H$2:$H$2000,Sets!$A$2:$A$2000,$A4,Sets!$D$2:$D$2000,O$1,Sets!$J$2:$J$2000,"N")=0,"",_xlfn.MAXIFS(Sets!$H$2:$H$2000,Sets!$A$2:$A$2000,$A4,Sets!$D$2:$D$2000,O$1,Sets!$J$2:$J$2000,"N"))</f>
        <v/>
      </c>
      <c r="P4" s="4" t="str">
        <f aca="false">IF(_xlfn.MAXIFS(Sets!$H$2:$H$2000,Sets!$A$2:$A$2000,$A4,Sets!$D$2:$D$2000,P$1,Sets!$J$2:$J$2000,"N")=0,"",_xlfn.MAXIFS(Sets!$H$2:$H$2000,Sets!$A$2:$A$2000,$A4,Sets!$D$2:$D$2000,P$1,Sets!$J$2:$J$2000,"N"))</f>
        <v/>
      </c>
      <c r="Q4" s="4" t="str">
        <f aca="false">IF(_xlfn.MAXIFS(Sets!$H$2:$H$2000,Sets!$A$2:$A$2000,$A4,Sets!$D$2:$D$2000,Q$1,Sets!$J$2:$J$2000,"N")=0,"",_xlfn.MAXIFS(Sets!$H$2:$H$2000,Sets!$A$2:$A$2000,$A4,Sets!$D$2:$D$2000,Q$1,Sets!$J$2:$J$2000,"N"))</f>
        <v/>
      </c>
      <c r="R4" s="4" t="str">
        <f aca="false">IF(_xlfn.MAXIFS(Sets!$H$2:$H$2000,Sets!$A$2:$A$2000,$A4,Sets!$D$2:$D$2000,R$1,Sets!$J$2:$J$2000,"N")=0,"",_xlfn.MAXIFS(Sets!$H$2:$H$2000,Sets!$A$2:$A$2000,$A4,Sets!$D$2:$D$2000,R$1,Sets!$J$2:$J$2000,"N"))</f>
        <v/>
      </c>
      <c r="S4" s="4" t="str">
        <f aca="false">IF(_xlfn.MAXIFS(Sets!$H$2:$H$2000,Sets!$A$2:$A$2000,$A4,Sets!$D$2:$D$2000,S$1,Sets!$J$2:$J$2000,"N")=0,"",_xlfn.MAXIFS(Sets!$H$2:$H$2000,Sets!$A$2:$A$2000,$A4,Sets!$D$2:$D$2000,S$1,Sets!$J$2:$J$2000,"N"))</f>
        <v/>
      </c>
      <c r="T4" s="4" t="str">
        <f aca="false">IF(_xlfn.MAXIFS(Sets!$H$2:$H$2000,Sets!$A$2:$A$2000,$A4,Sets!$D$2:$D$2000,T$1,Sets!$J$2:$J$2000,"N")=0,"",_xlfn.MAXIFS(Sets!$H$2:$H$2000,Sets!$A$2:$A$2000,$A4,Sets!$D$2:$D$2000,T$1,Sets!$J$2:$J$2000,"N"))</f>
        <v/>
      </c>
      <c r="U4" s="4" t="str">
        <f aca="false">IF(_xlfn.MAXIFS(Sets!$H$2:$H$2000,Sets!$A$2:$A$2000,$A4,Sets!$D$2:$D$2000,U$1,Sets!$J$2:$J$2000,"N")=0,"",_xlfn.MAXIFS(Sets!$H$2:$H$2000,Sets!$A$2:$A$2000,$A4,Sets!$D$2:$D$2000,U$1,Sets!$J$2:$J$2000,"N"))</f>
        <v/>
      </c>
      <c r="V4" s="4" t="str">
        <f aca="false">IF(_xlfn.MAXIFS(Sets!$H$2:$H$2000,Sets!$A$2:$A$2000,$A4,Sets!$D$2:$D$2000,V$1,Sets!$J$2:$J$2000,"N")=0,"",_xlfn.MAXIFS(Sets!$H$2:$H$2000,Sets!$A$2:$A$2000,$A4,Sets!$D$2:$D$2000,V$1,Sets!$J$2:$J$2000,"N"))</f>
        <v/>
      </c>
      <c r="W4" s="4" t="str">
        <f aca="false">IF(_xlfn.MAXIFS(Sets!$H$2:$H$2000,Sets!$A$2:$A$2000,$A4,Sets!$D$2:$D$2000,W$1,Sets!$J$2:$J$2000,"N")=0,"",_xlfn.MAXIFS(Sets!$H$2:$H$2000,Sets!$A$2:$A$2000,$A4,Sets!$D$2:$D$2000,W$1,Sets!$J$2:$J$2000,"N"))</f>
        <v/>
      </c>
      <c r="X4" s="4" t="str">
        <f aca="false">IF(_xlfn.MAXIFS(Sets!$H$2:$H$2000,Sets!$A$2:$A$2000,$A4,Sets!$D$2:$D$2000,X$1,Sets!$J$2:$J$2000,"N")=0,"",_xlfn.MAXIFS(Sets!$H$2:$H$2000,Sets!$A$2:$A$2000,$A4,Sets!$D$2:$D$2000,X$1,Sets!$J$2:$J$2000,"N"))</f>
        <v/>
      </c>
      <c r="Y4" s="4" t="str">
        <f aca="false">IF(_xlfn.MAXIFS(Sets!$H$2:$H$2000,Sets!$A$2:$A$2000,$A4,Sets!$D$2:$D$2000,Y$1,Sets!$J$2:$J$2000,"N")=0,"",_xlfn.MAXIFS(Sets!$H$2:$H$2000,Sets!$A$2:$A$2000,$A4,Sets!$D$2:$D$2000,Y$1,Sets!$J$2:$J$2000,"N"))</f>
        <v/>
      </c>
      <c r="Z4" s="4" t="str">
        <f aca="false">IF(_xlfn.MAXIFS(Sets!$H$2:$H$2000,Sets!$A$2:$A$2000,$A4,Sets!$D$2:$D$2000,Z$1,Sets!$J$2:$J$2000,"N")=0,"",_xlfn.MAXIFS(Sets!$H$2:$H$2000,Sets!$A$2:$A$2000,$A4,Sets!$D$2:$D$2000,Z$1,Sets!$J$2:$J$2000,"N"))</f>
        <v/>
      </c>
      <c r="AA4" s="4" t="str">
        <f aca="false">IF(_xlfn.MAXIFS(Sets!$H$2:$H$2000,Sets!$A$2:$A$2000,$A4,Sets!$D$2:$D$2000,AA$1,Sets!$J$2:$J$2000,"N")=0,"",_xlfn.MAXIFS(Sets!$H$2:$H$2000,Sets!$A$2:$A$2000,$A4,Sets!$D$2:$D$2000,AA$1,Sets!$J$2:$J$2000,"N"))</f>
        <v/>
      </c>
      <c r="AB4" s="4" t="str">
        <f aca="false">IF(_xlfn.MAXIFS(Sets!$H$2:$H$2000,Sets!$A$2:$A$2000,$A4,Sets!$D$2:$D$2000,AB$1,Sets!$J$2:$J$2000,"N")=0,"",_xlfn.MAXIFS(Sets!$H$2:$H$2000,Sets!$A$2:$A$2000,$A4,Sets!$D$2:$D$2000,AB$1,Sets!$J$2:$J$2000,"N"))</f>
        <v/>
      </c>
      <c r="AC4" s="4" t="str">
        <f aca="false">IF(_xlfn.MAXIFS(Sets!$H$2:$H$2000,Sets!$A$2:$A$2000,$A4,Sets!$D$2:$D$2000,AC$1,Sets!$J$2:$J$2000,"N")=0,"",_xlfn.MAXIFS(Sets!$H$2:$H$2000,Sets!$A$2:$A$2000,$A4,Sets!$D$2:$D$2000,AC$1,Sets!$J$2:$J$2000,"N"))</f>
        <v/>
      </c>
      <c r="AD4" s="4" t="str">
        <f aca="false">IF(_xlfn.MAXIFS(Sets!$H$2:$H$2000,Sets!$A$2:$A$2000,$A4,Sets!$D$2:$D$2000,AD$1,Sets!$J$2:$J$2000,"N")=0,"",_xlfn.MAXIFS(Sets!$H$2:$H$2000,Sets!$A$2:$A$2000,$A4,Sets!$D$2:$D$2000,AD$1,Sets!$J$2:$J$2000,"N"))</f>
        <v/>
      </c>
      <c r="AE4" s="4" t="str">
        <f aca="false">IF(_xlfn.MAXIFS(Sets!$H$2:$H$2000,Sets!$A$2:$A$2000,$A4,Sets!$D$2:$D$2000,AE$1,Sets!$J$2:$J$2000,"N")=0,"",_xlfn.MAXIFS(Sets!$H$2:$H$2000,Sets!$A$2:$A$2000,$A4,Sets!$D$2:$D$2000,AE$1,Sets!$J$2:$J$2000,"N"))</f>
        <v/>
      </c>
      <c r="AF4" s="4" t="str">
        <f aca="false">IF(_xlfn.MAXIFS(Sets!$H$2:$H$2000,Sets!$A$2:$A$2000,$A4,Sets!$D$2:$D$2000,AF$1,Sets!$J$2:$J$2000,"N")=0,"",_xlfn.MAXIFS(Sets!$H$2:$H$2000,Sets!$A$2:$A$2000,$A4,Sets!$D$2:$D$2000,AF$1,Sets!$J$2:$J$2000,"N"))</f>
        <v/>
      </c>
      <c r="AG4" s="4" t="str">
        <f aca="false">IF(_xlfn.MAXIFS(Sets!$H$2:$H$2000,Sets!$A$2:$A$2000,$A4,Sets!$D$2:$D$2000,AG$1,Sets!$J$2:$J$2000,"N")=0,"",_xlfn.MAXIFS(Sets!$H$2:$H$2000,Sets!$A$2:$A$2000,$A4,Sets!$D$2:$D$2000,AG$1,Sets!$J$2:$J$2000,"N"))</f>
        <v/>
      </c>
      <c r="AH4" s="4" t="str">
        <f aca="false">IF(_xlfn.MAXIFS(Sets!$H$2:$H$2000,Sets!$A$2:$A$2000,$A4,Sets!$D$2:$D$2000,AH$1,Sets!$J$2:$J$2000,"N")=0,"",_xlfn.MAXIFS(Sets!$H$2:$H$2000,Sets!$A$2:$A$2000,$A4,Sets!$D$2:$D$2000,AH$1,Sets!$J$2:$J$2000,"N"))</f>
        <v/>
      </c>
    </row>
    <row r="5" customFormat="false" ht="15" hidden="false" customHeight="false" outlineLevel="0" collapsed="false">
      <c r="A5" s="16" t="n">
        <v>46045</v>
      </c>
      <c r="B5" s="4" t="str">
        <f aca="false">IF(_xlfn.MAXIFS(Sets!$H$2:$H$2000,Sets!$A$2:$A$2000,$A5,Sets!$D$2:$D$2000,B$1,Sets!$J$2:$J$2000,"N")=0,"",_xlfn.MAXIFS(Sets!$H$2:$H$2000,Sets!$A$2:$A$2000,$A5,Sets!$D$2:$D$2000,B$1,Sets!$J$2:$J$2000,"N"))</f>
        <v/>
      </c>
      <c r="C5" s="4" t="str">
        <f aca="false">IF(_xlfn.MAXIFS(Sets!$H$2:$H$2000,Sets!$A$2:$A$2000,$A5,Sets!$D$2:$D$2000,C$1,Sets!$J$2:$J$2000,"N")=0,"",_xlfn.MAXIFS(Sets!$H$2:$H$2000,Sets!$A$2:$A$2000,$A5,Sets!$D$2:$D$2000,C$1,Sets!$J$2:$J$2000,"N"))</f>
        <v/>
      </c>
      <c r="D5" s="4" t="str">
        <f aca="false">IF(_xlfn.MAXIFS(Sets!$H$2:$H$2000,Sets!$A$2:$A$2000,$A5,Sets!$D$2:$D$2000,D$1,Sets!$J$2:$J$2000,"N")=0,"",_xlfn.MAXIFS(Sets!$H$2:$H$2000,Sets!$A$2:$A$2000,$A5,Sets!$D$2:$D$2000,D$1,Sets!$J$2:$J$2000,"N"))</f>
        <v/>
      </c>
      <c r="E5" s="4" t="str">
        <f aca="false">IF(_xlfn.MAXIFS(Sets!$H$2:$H$2000,Sets!$A$2:$A$2000,$A5,Sets!$D$2:$D$2000,E$1,Sets!$J$2:$J$2000,"N")=0,"",_xlfn.MAXIFS(Sets!$H$2:$H$2000,Sets!$A$2:$A$2000,$A5,Sets!$D$2:$D$2000,E$1,Sets!$J$2:$J$2000,"N"))</f>
        <v/>
      </c>
      <c r="F5" s="4" t="str">
        <f aca="false">IF(_xlfn.MAXIFS(Sets!$H$2:$H$2000,Sets!$A$2:$A$2000,$A5,Sets!$D$2:$D$2000,F$1,Sets!$J$2:$J$2000,"N")=0,"",_xlfn.MAXIFS(Sets!$H$2:$H$2000,Sets!$A$2:$A$2000,$A5,Sets!$D$2:$D$2000,F$1,Sets!$J$2:$J$2000,"N"))</f>
        <v/>
      </c>
      <c r="G5" s="4" t="str">
        <f aca="false">IF(_xlfn.MAXIFS(Sets!$H$2:$H$2000,Sets!$A$2:$A$2000,$A5,Sets!$D$2:$D$2000,G$1,Sets!$J$2:$J$2000,"N")=0,"",_xlfn.MAXIFS(Sets!$H$2:$H$2000,Sets!$A$2:$A$2000,$A5,Sets!$D$2:$D$2000,G$1,Sets!$J$2:$J$2000,"N"))</f>
        <v/>
      </c>
      <c r="H5" s="4" t="str">
        <f aca="false">IF(_xlfn.MAXIFS(Sets!$H$2:$H$2000,Sets!$A$2:$A$2000,$A5,Sets!$D$2:$D$2000,H$1,Sets!$J$2:$J$2000,"N")=0,"",_xlfn.MAXIFS(Sets!$H$2:$H$2000,Sets!$A$2:$A$2000,$A5,Sets!$D$2:$D$2000,H$1,Sets!$J$2:$J$2000,"N"))</f>
        <v/>
      </c>
      <c r="I5" s="4" t="n">
        <f aca="false">IF(_xlfn.MAXIFS(Sets!$H$2:$H$2000,Sets!$A$2:$A$2000,$A5,Sets!$D$2:$D$2000,I$1,Sets!$J$2:$J$2000,"N")=0,"",_xlfn.MAXIFS(Sets!$H$2:$H$2000,Sets!$A$2:$A$2000,$A5,Sets!$D$2:$D$2000,I$1,Sets!$J$2:$J$2000,"N"))</f>
        <v>30</v>
      </c>
      <c r="J5" s="4" t="str">
        <f aca="false">IF(_xlfn.MAXIFS(Sets!$H$2:$H$2000,Sets!$A$2:$A$2000,$A5,Sets!$D$2:$D$2000,J$1,Sets!$J$2:$J$2000,"N")=0,"",_xlfn.MAXIFS(Sets!$H$2:$H$2000,Sets!$A$2:$A$2000,$A5,Sets!$D$2:$D$2000,J$1,Sets!$J$2:$J$2000,"N"))</f>
        <v/>
      </c>
      <c r="K5" s="4" t="str">
        <f aca="false">IF(_xlfn.MAXIFS(Sets!$H$2:$H$2000,Sets!$A$2:$A$2000,$A5,Sets!$D$2:$D$2000,K$1,Sets!$J$2:$J$2000,"N")=0,"",_xlfn.MAXIFS(Sets!$H$2:$H$2000,Sets!$A$2:$A$2000,$A5,Sets!$D$2:$D$2000,K$1,Sets!$J$2:$J$2000,"N"))</f>
        <v/>
      </c>
      <c r="L5" s="4" t="str">
        <f aca="false">IF(_xlfn.MAXIFS(Sets!$H$2:$H$2000,Sets!$A$2:$A$2000,$A5,Sets!$D$2:$D$2000,L$1,Sets!$J$2:$J$2000,"N")=0,"",_xlfn.MAXIFS(Sets!$H$2:$H$2000,Sets!$A$2:$A$2000,$A5,Sets!$D$2:$D$2000,L$1,Sets!$J$2:$J$2000,"N"))</f>
        <v/>
      </c>
      <c r="M5" s="4" t="n">
        <f aca="false">IF(_xlfn.MAXIFS(Sets!$H$2:$H$2000,Sets!$A$2:$A$2000,$A5,Sets!$D$2:$D$2000,M$1,Sets!$J$2:$J$2000,"N")=0,"",_xlfn.MAXIFS(Sets!$H$2:$H$2000,Sets!$A$2:$A$2000,$A5,Sets!$D$2:$D$2000,M$1,Sets!$J$2:$J$2000,"N"))</f>
        <v>50</v>
      </c>
      <c r="N5" s="4" t="n">
        <f aca="false">IF(_xlfn.MAXIFS(Sets!$H$2:$H$2000,Sets!$A$2:$A$2000,$A5,Sets!$D$2:$D$2000,N$1,Sets!$J$2:$J$2000,"N")=0,"",_xlfn.MAXIFS(Sets!$H$2:$H$2000,Sets!$A$2:$A$2000,$A5,Sets!$D$2:$D$2000,N$1,Sets!$J$2:$J$2000,"N"))</f>
        <v>30</v>
      </c>
      <c r="O5" s="4" t="str">
        <f aca="false">IF(_xlfn.MAXIFS(Sets!$H$2:$H$2000,Sets!$A$2:$A$2000,$A5,Sets!$D$2:$D$2000,O$1,Sets!$J$2:$J$2000,"N")=0,"",_xlfn.MAXIFS(Sets!$H$2:$H$2000,Sets!$A$2:$A$2000,$A5,Sets!$D$2:$D$2000,O$1,Sets!$J$2:$J$2000,"N"))</f>
        <v/>
      </c>
      <c r="P5" s="4" t="str">
        <f aca="false">IF(_xlfn.MAXIFS(Sets!$H$2:$H$2000,Sets!$A$2:$A$2000,$A5,Sets!$D$2:$D$2000,P$1,Sets!$J$2:$J$2000,"N")=0,"",_xlfn.MAXIFS(Sets!$H$2:$H$2000,Sets!$A$2:$A$2000,$A5,Sets!$D$2:$D$2000,P$1,Sets!$J$2:$J$2000,"N"))</f>
        <v/>
      </c>
      <c r="Q5" s="4" t="str">
        <f aca="false">IF(_xlfn.MAXIFS(Sets!$H$2:$H$2000,Sets!$A$2:$A$2000,$A5,Sets!$D$2:$D$2000,Q$1,Sets!$J$2:$J$2000,"N")=0,"",_xlfn.MAXIFS(Sets!$H$2:$H$2000,Sets!$A$2:$A$2000,$A5,Sets!$D$2:$D$2000,Q$1,Sets!$J$2:$J$2000,"N"))</f>
        <v/>
      </c>
      <c r="R5" s="4" t="str">
        <f aca="false">IF(_xlfn.MAXIFS(Sets!$H$2:$H$2000,Sets!$A$2:$A$2000,$A5,Sets!$D$2:$D$2000,R$1,Sets!$J$2:$J$2000,"N")=0,"",_xlfn.MAXIFS(Sets!$H$2:$H$2000,Sets!$A$2:$A$2000,$A5,Sets!$D$2:$D$2000,R$1,Sets!$J$2:$J$2000,"N"))</f>
        <v/>
      </c>
      <c r="S5" s="4" t="str">
        <f aca="false">IF(_xlfn.MAXIFS(Sets!$H$2:$H$2000,Sets!$A$2:$A$2000,$A5,Sets!$D$2:$D$2000,S$1,Sets!$J$2:$J$2000,"N")=0,"",_xlfn.MAXIFS(Sets!$H$2:$H$2000,Sets!$A$2:$A$2000,$A5,Sets!$D$2:$D$2000,S$1,Sets!$J$2:$J$2000,"N"))</f>
        <v/>
      </c>
      <c r="T5" s="4" t="str">
        <f aca="false">IF(_xlfn.MAXIFS(Sets!$H$2:$H$2000,Sets!$A$2:$A$2000,$A5,Sets!$D$2:$D$2000,T$1,Sets!$J$2:$J$2000,"N")=0,"",_xlfn.MAXIFS(Sets!$H$2:$H$2000,Sets!$A$2:$A$2000,$A5,Sets!$D$2:$D$2000,T$1,Sets!$J$2:$J$2000,"N"))</f>
        <v/>
      </c>
      <c r="U5" s="4" t="str">
        <f aca="false">IF(_xlfn.MAXIFS(Sets!$H$2:$H$2000,Sets!$A$2:$A$2000,$A5,Sets!$D$2:$D$2000,U$1,Sets!$J$2:$J$2000,"N")=0,"",_xlfn.MAXIFS(Sets!$H$2:$H$2000,Sets!$A$2:$A$2000,$A5,Sets!$D$2:$D$2000,U$1,Sets!$J$2:$J$2000,"N"))</f>
        <v/>
      </c>
      <c r="V5" s="4" t="str">
        <f aca="false">IF(_xlfn.MAXIFS(Sets!$H$2:$H$2000,Sets!$A$2:$A$2000,$A5,Sets!$D$2:$D$2000,V$1,Sets!$J$2:$J$2000,"N")=0,"",_xlfn.MAXIFS(Sets!$H$2:$H$2000,Sets!$A$2:$A$2000,$A5,Sets!$D$2:$D$2000,V$1,Sets!$J$2:$J$2000,"N"))</f>
        <v/>
      </c>
      <c r="W5" s="4" t="str">
        <f aca="false">IF(_xlfn.MAXIFS(Sets!$H$2:$H$2000,Sets!$A$2:$A$2000,$A5,Sets!$D$2:$D$2000,W$1,Sets!$J$2:$J$2000,"N")=0,"",_xlfn.MAXIFS(Sets!$H$2:$H$2000,Sets!$A$2:$A$2000,$A5,Sets!$D$2:$D$2000,W$1,Sets!$J$2:$J$2000,"N"))</f>
        <v/>
      </c>
      <c r="X5" s="4" t="str">
        <f aca="false">IF(_xlfn.MAXIFS(Sets!$H$2:$H$2000,Sets!$A$2:$A$2000,$A5,Sets!$D$2:$D$2000,X$1,Sets!$J$2:$J$2000,"N")=0,"",_xlfn.MAXIFS(Sets!$H$2:$H$2000,Sets!$A$2:$A$2000,$A5,Sets!$D$2:$D$2000,X$1,Sets!$J$2:$J$2000,"N"))</f>
        <v/>
      </c>
      <c r="Y5" s="4" t="str">
        <f aca="false">IF(_xlfn.MAXIFS(Sets!$H$2:$H$2000,Sets!$A$2:$A$2000,$A5,Sets!$D$2:$D$2000,Y$1,Sets!$J$2:$J$2000,"N")=0,"",_xlfn.MAXIFS(Sets!$H$2:$H$2000,Sets!$A$2:$A$2000,$A5,Sets!$D$2:$D$2000,Y$1,Sets!$J$2:$J$2000,"N"))</f>
        <v/>
      </c>
      <c r="Z5" s="4" t="str">
        <f aca="false">IF(_xlfn.MAXIFS(Sets!$H$2:$H$2000,Sets!$A$2:$A$2000,$A5,Sets!$D$2:$D$2000,Z$1,Sets!$J$2:$J$2000,"N")=0,"",_xlfn.MAXIFS(Sets!$H$2:$H$2000,Sets!$A$2:$A$2000,$A5,Sets!$D$2:$D$2000,Z$1,Sets!$J$2:$J$2000,"N"))</f>
        <v/>
      </c>
      <c r="AA5" s="4" t="str">
        <f aca="false">IF(_xlfn.MAXIFS(Sets!$H$2:$H$2000,Sets!$A$2:$A$2000,$A5,Sets!$D$2:$D$2000,AA$1,Sets!$J$2:$J$2000,"N")=0,"",_xlfn.MAXIFS(Sets!$H$2:$H$2000,Sets!$A$2:$A$2000,$A5,Sets!$D$2:$D$2000,AA$1,Sets!$J$2:$J$2000,"N"))</f>
        <v/>
      </c>
      <c r="AB5" s="4" t="str">
        <f aca="false">IF(_xlfn.MAXIFS(Sets!$H$2:$H$2000,Sets!$A$2:$A$2000,$A5,Sets!$D$2:$D$2000,AB$1,Sets!$J$2:$J$2000,"N")=0,"",_xlfn.MAXIFS(Sets!$H$2:$H$2000,Sets!$A$2:$A$2000,$A5,Sets!$D$2:$D$2000,AB$1,Sets!$J$2:$J$2000,"N"))</f>
        <v/>
      </c>
      <c r="AC5" s="4" t="str">
        <f aca="false">IF(_xlfn.MAXIFS(Sets!$H$2:$H$2000,Sets!$A$2:$A$2000,$A5,Sets!$D$2:$D$2000,AC$1,Sets!$J$2:$J$2000,"N")=0,"",_xlfn.MAXIFS(Sets!$H$2:$H$2000,Sets!$A$2:$A$2000,$A5,Sets!$D$2:$D$2000,AC$1,Sets!$J$2:$J$2000,"N"))</f>
        <v/>
      </c>
      <c r="AD5" s="4" t="str">
        <f aca="false">IF(_xlfn.MAXIFS(Sets!$H$2:$H$2000,Sets!$A$2:$A$2000,$A5,Sets!$D$2:$D$2000,AD$1,Sets!$J$2:$J$2000,"N")=0,"",_xlfn.MAXIFS(Sets!$H$2:$H$2000,Sets!$A$2:$A$2000,$A5,Sets!$D$2:$D$2000,AD$1,Sets!$J$2:$J$2000,"N"))</f>
        <v/>
      </c>
      <c r="AE5" s="4" t="str">
        <f aca="false">IF(_xlfn.MAXIFS(Sets!$H$2:$H$2000,Sets!$A$2:$A$2000,$A5,Sets!$D$2:$D$2000,AE$1,Sets!$J$2:$J$2000,"N")=0,"",_xlfn.MAXIFS(Sets!$H$2:$H$2000,Sets!$A$2:$A$2000,$A5,Sets!$D$2:$D$2000,AE$1,Sets!$J$2:$J$2000,"N"))</f>
        <v/>
      </c>
      <c r="AF5" s="4" t="str">
        <f aca="false">IF(_xlfn.MAXIFS(Sets!$H$2:$H$2000,Sets!$A$2:$A$2000,$A5,Sets!$D$2:$D$2000,AF$1,Sets!$J$2:$J$2000,"N")=0,"",_xlfn.MAXIFS(Sets!$H$2:$H$2000,Sets!$A$2:$A$2000,$A5,Sets!$D$2:$D$2000,AF$1,Sets!$J$2:$J$2000,"N"))</f>
        <v/>
      </c>
      <c r="AG5" s="4" t="str">
        <f aca="false">IF(_xlfn.MAXIFS(Sets!$H$2:$H$2000,Sets!$A$2:$A$2000,$A5,Sets!$D$2:$D$2000,AG$1,Sets!$J$2:$J$2000,"N")=0,"",_xlfn.MAXIFS(Sets!$H$2:$H$2000,Sets!$A$2:$A$2000,$A5,Sets!$D$2:$D$2000,AG$1,Sets!$J$2:$J$2000,"N"))</f>
        <v/>
      </c>
      <c r="AH5" s="4" t="str">
        <f aca="false">IF(_xlfn.MAXIFS(Sets!$H$2:$H$2000,Sets!$A$2:$A$2000,$A5,Sets!$D$2:$D$2000,AH$1,Sets!$J$2:$J$2000,"N")=0,"",_xlfn.MAXIFS(Sets!$H$2:$H$2000,Sets!$A$2:$A$2000,$A5,Sets!$D$2:$D$2000,AH$1,Sets!$J$2:$J$2000,"N"))</f>
        <v/>
      </c>
    </row>
    <row r="6" customFormat="false" ht="15" hidden="false" customHeight="false" outlineLevel="0" collapsed="false">
      <c r="A6" s="16" t="n">
        <v>46047</v>
      </c>
      <c r="B6" s="4" t="str">
        <f aca="false">IF(_xlfn.MAXIFS(Sets!$H$2:$H$2000,Sets!$A$2:$A$2000,$A6,Sets!$D$2:$D$2000,B$1,Sets!$J$2:$J$2000,"N")=0,"",_xlfn.MAXIFS(Sets!$H$2:$H$2000,Sets!$A$2:$A$2000,$A6,Sets!$D$2:$D$2000,B$1,Sets!$J$2:$J$2000,"N"))</f>
        <v/>
      </c>
      <c r="C6" s="4" t="str">
        <f aca="false">IF(_xlfn.MAXIFS(Sets!$H$2:$H$2000,Sets!$A$2:$A$2000,$A6,Sets!$D$2:$D$2000,C$1,Sets!$J$2:$J$2000,"N")=0,"",_xlfn.MAXIFS(Sets!$H$2:$H$2000,Sets!$A$2:$A$2000,$A6,Sets!$D$2:$D$2000,C$1,Sets!$J$2:$J$2000,"N"))</f>
        <v/>
      </c>
      <c r="D6" s="4" t="n">
        <f aca="false">IF(_xlfn.MAXIFS(Sets!$H$2:$H$2000,Sets!$A$2:$A$2000,$A6,Sets!$D$2:$D$2000,D$1,Sets!$J$2:$J$2000,"N")=0,"",_xlfn.MAXIFS(Sets!$H$2:$H$2000,Sets!$A$2:$A$2000,$A6,Sets!$D$2:$D$2000,D$1,Sets!$J$2:$J$2000,"N"))</f>
        <v>50</v>
      </c>
      <c r="E6" s="4" t="str">
        <f aca="false">IF(_xlfn.MAXIFS(Sets!$H$2:$H$2000,Sets!$A$2:$A$2000,$A6,Sets!$D$2:$D$2000,E$1,Sets!$J$2:$J$2000,"N")=0,"",_xlfn.MAXIFS(Sets!$H$2:$H$2000,Sets!$A$2:$A$2000,$A6,Sets!$D$2:$D$2000,E$1,Sets!$J$2:$J$2000,"N"))</f>
        <v/>
      </c>
      <c r="F6" s="4" t="str">
        <f aca="false">IF(_xlfn.MAXIFS(Sets!$H$2:$H$2000,Sets!$A$2:$A$2000,$A6,Sets!$D$2:$D$2000,F$1,Sets!$J$2:$J$2000,"N")=0,"",_xlfn.MAXIFS(Sets!$H$2:$H$2000,Sets!$A$2:$A$2000,$A6,Sets!$D$2:$D$2000,F$1,Sets!$J$2:$J$2000,"N"))</f>
        <v/>
      </c>
      <c r="G6" s="4" t="str">
        <f aca="false">IF(_xlfn.MAXIFS(Sets!$H$2:$H$2000,Sets!$A$2:$A$2000,$A6,Sets!$D$2:$D$2000,G$1,Sets!$J$2:$J$2000,"N")=0,"",_xlfn.MAXIFS(Sets!$H$2:$H$2000,Sets!$A$2:$A$2000,$A6,Sets!$D$2:$D$2000,G$1,Sets!$J$2:$J$2000,"N"))</f>
        <v/>
      </c>
      <c r="H6" s="4" t="str">
        <f aca="false">IF(_xlfn.MAXIFS(Sets!$H$2:$H$2000,Sets!$A$2:$A$2000,$A6,Sets!$D$2:$D$2000,H$1,Sets!$J$2:$J$2000,"N")=0,"",_xlfn.MAXIFS(Sets!$H$2:$H$2000,Sets!$A$2:$A$2000,$A6,Sets!$D$2:$D$2000,H$1,Sets!$J$2:$J$2000,"N"))</f>
        <v/>
      </c>
      <c r="I6" s="4" t="str">
        <f aca="false">IF(_xlfn.MAXIFS(Sets!$H$2:$H$2000,Sets!$A$2:$A$2000,$A6,Sets!$D$2:$D$2000,I$1,Sets!$J$2:$J$2000,"N")=0,"",_xlfn.MAXIFS(Sets!$H$2:$H$2000,Sets!$A$2:$A$2000,$A6,Sets!$D$2:$D$2000,I$1,Sets!$J$2:$J$2000,"N"))</f>
        <v/>
      </c>
      <c r="J6" s="4" t="n">
        <f aca="false">IF(_xlfn.MAXIFS(Sets!$H$2:$H$2000,Sets!$A$2:$A$2000,$A6,Sets!$D$2:$D$2000,J$1,Sets!$J$2:$J$2000,"N")=0,"",_xlfn.MAXIFS(Sets!$H$2:$H$2000,Sets!$A$2:$A$2000,$A6,Sets!$D$2:$D$2000,J$1,Sets!$J$2:$J$2000,"N"))</f>
        <v>40</v>
      </c>
      <c r="K6" s="4" t="str">
        <f aca="false">IF(_xlfn.MAXIFS(Sets!$H$2:$H$2000,Sets!$A$2:$A$2000,$A6,Sets!$D$2:$D$2000,K$1,Sets!$J$2:$J$2000,"N")=0,"",_xlfn.MAXIFS(Sets!$H$2:$H$2000,Sets!$A$2:$A$2000,$A6,Sets!$D$2:$D$2000,K$1,Sets!$J$2:$J$2000,"N"))</f>
        <v/>
      </c>
      <c r="L6" s="4" t="str">
        <f aca="false">IF(_xlfn.MAXIFS(Sets!$H$2:$H$2000,Sets!$A$2:$A$2000,$A6,Sets!$D$2:$D$2000,L$1,Sets!$J$2:$J$2000,"N")=0,"",_xlfn.MAXIFS(Sets!$H$2:$H$2000,Sets!$A$2:$A$2000,$A6,Sets!$D$2:$D$2000,L$1,Sets!$J$2:$J$2000,"N"))</f>
        <v/>
      </c>
      <c r="M6" s="4" t="str">
        <f aca="false">IF(_xlfn.MAXIFS(Sets!$H$2:$H$2000,Sets!$A$2:$A$2000,$A6,Sets!$D$2:$D$2000,M$1,Sets!$J$2:$J$2000,"N")=0,"",_xlfn.MAXIFS(Sets!$H$2:$H$2000,Sets!$A$2:$A$2000,$A6,Sets!$D$2:$D$2000,M$1,Sets!$J$2:$J$2000,"N"))</f>
        <v/>
      </c>
      <c r="N6" s="4" t="str">
        <f aca="false">IF(_xlfn.MAXIFS(Sets!$H$2:$H$2000,Sets!$A$2:$A$2000,$A6,Sets!$D$2:$D$2000,N$1,Sets!$J$2:$J$2000,"N")=0,"",_xlfn.MAXIFS(Sets!$H$2:$H$2000,Sets!$A$2:$A$2000,$A6,Sets!$D$2:$D$2000,N$1,Sets!$J$2:$J$2000,"N"))</f>
        <v/>
      </c>
      <c r="O6" s="4" t="str">
        <f aca="false">IF(_xlfn.MAXIFS(Sets!$H$2:$H$2000,Sets!$A$2:$A$2000,$A6,Sets!$D$2:$D$2000,O$1,Sets!$J$2:$J$2000,"N")=0,"",_xlfn.MAXIFS(Sets!$H$2:$H$2000,Sets!$A$2:$A$2000,$A6,Sets!$D$2:$D$2000,O$1,Sets!$J$2:$J$2000,"N"))</f>
        <v/>
      </c>
      <c r="P6" s="4" t="n">
        <f aca="false">IF(_xlfn.MAXIFS(Sets!$H$2:$H$2000,Sets!$A$2:$A$2000,$A6,Sets!$D$2:$D$2000,P$1,Sets!$J$2:$J$2000,"N")=0,"",_xlfn.MAXIFS(Sets!$H$2:$H$2000,Sets!$A$2:$A$2000,$A6,Sets!$D$2:$D$2000,P$1,Sets!$J$2:$J$2000,"N"))</f>
        <v>20</v>
      </c>
      <c r="Q6" s="4" t="str">
        <f aca="false">IF(_xlfn.MAXIFS(Sets!$H$2:$H$2000,Sets!$A$2:$A$2000,$A6,Sets!$D$2:$D$2000,Q$1,Sets!$J$2:$J$2000,"N")=0,"",_xlfn.MAXIFS(Sets!$H$2:$H$2000,Sets!$A$2:$A$2000,$A6,Sets!$D$2:$D$2000,Q$1,Sets!$J$2:$J$2000,"N"))</f>
        <v/>
      </c>
      <c r="R6" s="4" t="str">
        <f aca="false">IF(_xlfn.MAXIFS(Sets!$H$2:$H$2000,Sets!$A$2:$A$2000,$A6,Sets!$D$2:$D$2000,R$1,Sets!$J$2:$J$2000,"N")=0,"",_xlfn.MAXIFS(Sets!$H$2:$H$2000,Sets!$A$2:$A$2000,$A6,Sets!$D$2:$D$2000,R$1,Sets!$J$2:$J$2000,"N"))</f>
        <v/>
      </c>
      <c r="S6" s="4" t="str">
        <f aca="false">IF(_xlfn.MAXIFS(Sets!$H$2:$H$2000,Sets!$A$2:$A$2000,$A6,Sets!$D$2:$D$2000,S$1,Sets!$J$2:$J$2000,"N")=0,"",_xlfn.MAXIFS(Sets!$H$2:$H$2000,Sets!$A$2:$A$2000,$A6,Sets!$D$2:$D$2000,S$1,Sets!$J$2:$J$2000,"N"))</f>
        <v/>
      </c>
      <c r="T6" s="4" t="str">
        <f aca="false">IF(_xlfn.MAXIFS(Sets!$H$2:$H$2000,Sets!$A$2:$A$2000,$A6,Sets!$D$2:$D$2000,T$1,Sets!$J$2:$J$2000,"N")=0,"",_xlfn.MAXIFS(Sets!$H$2:$H$2000,Sets!$A$2:$A$2000,$A6,Sets!$D$2:$D$2000,T$1,Sets!$J$2:$J$2000,"N"))</f>
        <v/>
      </c>
      <c r="U6" s="4" t="str">
        <f aca="false">IF(_xlfn.MAXIFS(Sets!$H$2:$H$2000,Sets!$A$2:$A$2000,$A6,Sets!$D$2:$D$2000,U$1,Sets!$J$2:$J$2000,"N")=0,"",_xlfn.MAXIFS(Sets!$H$2:$H$2000,Sets!$A$2:$A$2000,$A6,Sets!$D$2:$D$2000,U$1,Sets!$J$2:$J$2000,"N"))</f>
        <v/>
      </c>
      <c r="V6" s="4" t="str">
        <f aca="false">IF(_xlfn.MAXIFS(Sets!$H$2:$H$2000,Sets!$A$2:$A$2000,$A6,Sets!$D$2:$D$2000,V$1,Sets!$J$2:$J$2000,"N")=0,"",_xlfn.MAXIFS(Sets!$H$2:$H$2000,Sets!$A$2:$A$2000,$A6,Sets!$D$2:$D$2000,V$1,Sets!$J$2:$J$2000,"N"))</f>
        <v/>
      </c>
      <c r="W6" s="4" t="str">
        <f aca="false">IF(_xlfn.MAXIFS(Sets!$H$2:$H$2000,Sets!$A$2:$A$2000,$A6,Sets!$D$2:$D$2000,W$1,Sets!$J$2:$J$2000,"N")=0,"",_xlfn.MAXIFS(Sets!$H$2:$H$2000,Sets!$A$2:$A$2000,$A6,Sets!$D$2:$D$2000,W$1,Sets!$J$2:$J$2000,"N"))</f>
        <v/>
      </c>
      <c r="X6" s="4" t="str">
        <f aca="false">IF(_xlfn.MAXIFS(Sets!$H$2:$H$2000,Sets!$A$2:$A$2000,$A6,Sets!$D$2:$D$2000,X$1,Sets!$J$2:$J$2000,"N")=0,"",_xlfn.MAXIFS(Sets!$H$2:$H$2000,Sets!$A$2:$A$2000,$A6,Sets!$D$2:$D$2000,X$1,Sets!$J$2:$J$2000,"N"))</f>
        <v/>
      </c>
      <c r="Y6" s="4" t="str">
        <f aca="false">IF(_xlfn.MAXIFS(Sets!$H$2:$H$2000,Sets!$A$2:$A$2000,$A6,Sets!$D$2:$D$2000,Y$1,Sets!$J$2:$J$2000,"N")=0,"",_xlfn.MAXIFS(Sets!$H$2:$H$2000,Sets!$A$2:$A$2000,$A6,Sets!$D$2:$D$2000,Y$1,Sets!$J$2:$J$2000,"N"))</f>
        <v/>
      </c>
      <c r="Z6" s="4" t="str">
        <f aca="false">IF(_xlfn.MAXIFS(Sets!$H$2:$H$2000,Sets!$A$2:$A$2000,$A6,Sets!$D$2:$D$2000,Z$1,Sets!$J$2:$J$2000,"N")=0,"",_xlfn.MAXIFS(Sets!$H$2:$H$2000,Sets!$A$2:$A$2000,$A6,Sets!$D$2:$D$2000,Z$1,Sets!$J$2:$J$2000,"N"))</f>
        <v/>
      </c>
      <c r="AA6" s="4" t="str">
        <f aca="false">IF(_xlfn.MAXIFS(Sets!$H$2:$H$2000,Sets!$A$2:$A$2000,$A6,Sets!$D$2:$D$2000,AA$1,Sets!$J$2:$J$2000,"N")=0,"",_xlfn.MAXIFS(Sets!$H$2:$H$2000,Sets!$A$2:$A$2000,$A6,Sets!$D$2:$D$2000,AA$1,Sets!$J$2:$J$2000,"N"))</f>
        <v/>
      </c>
      <c r="AB6" s="4" t="str">
        <f aca="false">IF(_xlfn.MAXIFS(Sets!$H$2:$H$2000,Sets!$A$2:$A$2000,$A6,Sets!$D$2:$D$2000,AB$1,Sets!$J$2:$J$2000,"N")=0,"",_xlfn.MAXIFS(Sets!$H$2:$H$2000,Sets!$A$2:$A$2000,$A6,Sets!$D$2:$D$2000,AB$1,Sets!$J$2:$J$2000,"N"))</f>
        <v/>
      </c>
      <c r="AC6" s="4" t="str">
        <f aca="false">IF(_xlfn.MAXIFS(Sets!$H$2:$H$2000,Sets!$A$2:$A$2000,$A6,Sets!$D$2:$D$2000,AC$1,Sets!$J$2:$J$2000,"N")=0,"",_xlfn.MAXIFS(Sets!$H$2:$H$2000,Sets!$A$2:$A$2000,$A6,Sets!$D$2:$D$2000,AC$1,Sets!$J$2:$J$2000,"N"))</f>
        <v/>
      </c>
      <c r="AD6" s="4" t="str">
        <f aca="false">IF(_xlfn.MAXIFS(Sets!$H$2:$H$2000,Sets!$A$2:$A$2000,$A6,Sets!$D$2:$D$2000,AD$1,Sets!$J$2:$J$2000,"N")=0,"",_xlfn.MAXIFS(Sets!$H$2:$H$2000,Sets!$A$2:$A$2000,$A6,Sets!$D$2:$D$2000,AD$1,Sets!$J$2:$J$2000,"N"))</f>
        <v/>
      </c>
      <c r="AE6" s="4" t="str">
        <f aca="false">IF(_xlfn.MAXIFS(Sets!$H$2:$H$2000,Sets!$A$2:$A$2000,$A6,Sets!$D$2:$D$2000,AE$1,Sets!$J$2:$J$2000,"N")=0,"",_xlfn.MAXIFS(Sets!$H$2:$H$2000,Sets!$A$2:$A$2000,$A6,Sets!$D$2:$D$2000,AE$1,Sets!$J$2:$J$2000,"N"))</f>
        <v/>
      </c>
      <c r="AF6" s="4" t="str">
        <f aca="false">IF(_xlfn.MAXIFS(Sets!$H$2:$H$2000,Sets!$A$2:$A$2000,$A6,Sets!$D$2:$D$2000,AF$1,Sets!$J$2:$J$2000,"N")=0,"",_xlfn.MAXIFS(Sets!$H$2:$H$2000,Sets!$A$2:$A$2000,$A6,Sets!$D$2:$D$2000,AF$1,Sets!$J$2:$J$2000,"N"))</f>
        <v/>
      </c>
      <c r="AG6" s="4" t="str">
        <f aca="false">IF(_xlfn.MAXIFS(Sets!$H$2:$H$2000,Sets!$A$2:$A$2000,$A6,Sets!$D$2:$D$2000,AG$1,Sets!$J$2:$J$2000,"N")=0,"",_xlfn.MAXIFS(Sets!$H$2:$H$2000,Sets!$A$2:$A$2000,$A6,Sets!$D$2:$D$2000,AG$1,Sets!$J$2:$J$2000,"N"))</f>
        <v/>
      </c>
      <c r="AH6" s="4" t="str">
        <f aca="false">IF(_xlfn.MAXIFS(Sets!$H$2:$H$2000,Sets!$A$2:$A$2000,$A6,Sets!$D$2:$D$2000,AH$1,Sets!$J$2:$J$2000,"N")=0,"",_xlfn.MAXIFS(Sets!$H$2:$H$2000,Sets!$A$2:$A$2000,$A6,Sets!$D$2:$D$2000,AH$1,Sets!$J$2:$J$2000,"N"))</f>
        <v/>
      </c>
    </row>
    <row r="7" customFormat="false" ht="15" hidden="false" customHeight="false" outlineLevel="0" collapsed="false">
      <c r="A7" s="16" t="n">
        <v>46049</v>
      </c>
      <c r="B7" s="4" t="n">
        <f aca="false">IF(_xlfn.MAXIFS(Sets!$H$2:$H$2000,Sets!$A$2:$A$2000,$A7,Sets!$D$2:$D$2000,B$1,Sets!$J$2:$J$2000,"N")=0,"",_xlfn.MAXIFS(Sets!$H$2:$H$2000,Sets!$A$2:$A$2000,$A7,Sets!$D$2:$D$2000,B$1,Sets!$J$2:$J$2000,"N"))</f>
        <v>35</v>
      </c>
      <c r="C7" s="4" t="n">
        <f aca="false">IF(_xlfn.MAXIFS(Sets!$H$2:$H$2000,Sets!$A$2:$A$2000,$A7,Sets!$D$2:$D$2000,C$1,Sets!$J$2:$J$2000,"N")=0,"",_xlfn.MAXIFS(Sets!$H$2:$H$2000,Sets!$A$2:$A$2000,$A7,Sets!$D$2:$D$2000,C$1,Sets!$J$2:$J$2000,"N"))</f>
        <v>17.5</v>
      </c>
      <c r="D7" s="4" t="str">
        <f aca="false">IF(_xlfn.MAXIFS(Sets!$H$2:$H$2000,Sets!$A$2:$A$2000,$A7,Sets!$D$2:$D$2000,D$1,Sets!$J$2:$J$2000,"N")=0,"",_xlfn.MAXIFS(Sets!$H$2:$H$2000,Sets!$A$2:$A$2000,$A7,Sets!$D$2:$D$2000,D$1,Sets!$J$2:$J$2000,"N"))</f>
        <v/>
      </c>
      <c r="E7" s="4" t="str">
        <f aca="false">IF(_xlfn.MAXIFS(Sets!$H$2:$H$2000,Sets!$A$2:$A$2000,$A7,Sets!$D$2:$D$2000,E$1,Sets!$J$2:$J$2000,"N")=0,"",_xlfn.MAXIFS(Sets!$H$2:$H$2000,Sets!$A$2:$A$2000,$A7,Sets!$D$2:$D$2000,E$1,Sets!$J$2:$J$2000,"N"))</f>
        <v/>
      </c>
      <c r="F7" s="4" t="str">
        <f aca="false">IF(_xlfn.MAXIFS(Sets!$H$2:$H$2000,Sets!$A$2:$A$2000,$A7,Sets!$D$2:$D$2000,F$1,Sets!$J$2:$J$2000,"N")=0,"",_xlfn.MAXIFS(Sets!$H$2:$H$2000,Sets!$A$2:$A$2000,$A7,Sets!$D$2:$D$2000,F$1,Sets!$J$2:$J$2000,"N"))</f>
        <v/>
      </c>
      <c r="G7" s="4" t="n">
        <f aca="false">IF(_xlfn.MAXIFS(Sets!$H$2:$H$2000,Sets!$A$2:$A$2000,$A7,Sets!$D$2:$D$2000,G$1,Sets!$J$2:$J$2000,"N")=0,"",_xlfn.MAXIFS(Sets!$H$2:$H$2000,Sets!$A$2:$A$2000,$A7,Sets!$D$2:$D$2000,G$1,Sets!$J$2:$J$2000,"N"))</f>
        <v>45</v>
      </c>
      <c r="H7" s="4" t="n">
        <f aca="false">IF(_xlfn.MAXIFS(Sets!$H$2:$H$2000,Sets!$A$2:$A$2000,$A7,Sets!$D$2:$D$2000,H$1,Sets!$J$2:$J$2000,"N")=0,"",_xlfn.MAXIFS(Sets!$H$2:$H$2000,Sets!$A$2:$A$2000,$A7,Sets!$D$2:$D$2000,H$1,Sets!$J$2:$J$2000,"N"))</f>
        <v>50</v>
      </c>
      <c r="I7" s="4" t="str">
        <f aca="false">IF(_xlfn.MAXIFS(Sets!$H$2:$H$2000,Sets!$A$2:$A$2000,$A7,Sets!$D$2:$D$2000,I$1,Sets!$J$2:$J$2000,"N")=0,"",_xlfn.MAXIFS(Sets!$H$2:$H$2000,Sets!$A$2:$A$2000,$A7,Sets!$D$2:$D$2000,I$1,Sets!$J$2:$J$2000,"N"))</f>
        <v/>
      </c>
      <c r="J7" s="4" t="str">
        <f aca="false">IF(_xlfn.MAXIFS(Sets!$H$2:$H$2000,Sets!$A$2:$A$2000,$A7,Sets!$D$2:$D$2000,J$1,Sets!$J$2:$J$2000,"N")=0,"",_xlfn.MAXIFS(Sets!$H$2:$H$2000,Sets!$A$2:$A$2000,$A7,Sets!$D$2:$D$2000,J$1,Sets!$J$2:$J$2000,"N"))</f>
        <v/>
      </c>
      <c r="K7" s="4" t="str">
        <f aca="false">IF(_xlfn.MAXIFS(Sets!$H$2:$H$2000,Sets!$A$2:$A$2000,$A7,Sets!$D$2:$D$2000,K$1,Sets!$J$2:$J$2000,"N")=0,"",_xlfn.MAXIFS(Sets!$H$2:$H$2000,Sets!$A$2:$A$2000,$A7,Sets!$D$2:$D$2000,K$1,Sets!$J$2:$J$2000,"N"))</f>
        <v/>
      </c>
      <c r="L7" s="4" t="n">
        <f aca="false">IF(_xlfn.MAXIFS(Sets!$H$2:$H$2000,Sets!$A$2:$A$2000,$A7,Sets!$D$2:$D$2000,L$1,Sets!$J$2:$J$2000,"N")=0,"",_xlfn.MAXIFS(Sets!$H$2:$H$2000,Sets!$A$2:$A$2000,$A7,Sets!$D$2:$D$2000,L$1,Sets!$J$2:$J$2000,"N"))</f>
        <v>10</v>
      </c>
      <c r="M7" s="4" t="str">
        <f aca="false">IF(_xlfn.MAXIFS(Sets!$H$2:$H$2000,Sets!$A$2:$A$2000,$A7,Sets!$D$2:$D$2000,M$1,Sets!$J$2:$J$2000,"N")=0,"",_xlfn.MAXIFS(Sets!$H$2:$H$2000,Sets!$A$2:$A$2000,$A7,Sets!$D$2:$D$2000,M$1,Sets!$J$2:$J$2000,"N"))</f>
        <v/>
      </c>
      <c r="N7" s="4" t="str">
        <f aca="false">IF(_xlfn.MAXIFS(Sets!$H$2:$H$2000,Sets!$A$2:$A$2000,$A7,Sets!$D$2:$D$2000,N$1,Sets!$J$2:$J$2000,"N")=0,"",_xlfn.MAXIFS(Sets!$H$2:$H$2000,Sets!$A$2:$A$2000,$A7,Sets!$D$2:$D$2000,N$1,Sets!$J$2:$J$2000,"N"))</f>
        <v/>
      </c>
      <c r="O7" s="4" t="str">
        <f aca="false">IF(_xlfn.MAXIFS(Sets!$H$2:$H$2000,Sets!$A$2:$A$2000,$A7,Sets!$D$2:$D$2000,O$1,Sets!$J$2:$J$2000,"N")=0,"",_xlfn.MAXIFS(Sets!$H$2:$H$2000,Sets!$A$2:$A$2000,$A7,Sets!$D$2:$D$2000,O$1,Sets!$J$2:$J$2000,"N"))</f>
        <v/>
      </c>
      <c r="P7" s="4" t="str">
        <f aca="false">IF(_xlfn.MAXIFS(Sets!$H$2:$H$2000,Sets!$A$2:$A$2000,$A7,Sets!$D$2:$D$2000,P$1,Sets!$J$2:$J$2000,"N")=0,"",_xlfn.MAXIFS(Sets!$H$2:$H$2000,Sets!$A$2:$A$2000,$A7,Sets!$D$2:$D$2000,P$1,Sets!$J$2:$J$2000,"N"))</f>
        <v/>
      </c>
      <c r="Q7" s="4" t="str">
        <f aca="false">IF(_xlfn.MAXIFS(Sets!$H$2:$H$2000,Sets!$A$2:$A$2000,$A7,Sets!$D$2:$D$2000,Q$1,Sets!$J$2:$J$2000,"N")=0,"",_xlfn.MAXIFS(Sets!$H$2:$H$2000,Sets!$A$2:$A$2000,$A7,Sets!$D$2:$D$2000,Q$1,Sets!$J$2:$J$2000,"N"))</f>
        <v/>
      </c>
      <c r="R7" s="4" t="str">
        <f aca="false">IF(_xlfn.MAXIFS(Sets!$H$2:$H$2000,Sets!$A$2:$A$2000,$A7,Sets!$D$2:$D$2000,R$1,Sets!$J$2:$J$2000,"N")=0,"",_xlfn.MAXIFS(Sets!$H$2:$H$2000,Sets!$A$2:$A$2000,$A7,Sets!$D$2:$D$2000,R$1,Sets!$J$2:$J$2000,"N"))</f>
        <v/>
      </c>
      <c r="S7" s="4" t="str">
        <f aca="false">IF(_xlfn.MAXIFS(Sets!$H$2:$H$2000,Sets!$A$2:$A$2000,$A7,Sets!$D$2:$D$2000,S$1,Sets!$J$2:$J$2000,"N")=0,"",_xlfn.MAXIFS(Sets!$H$2:$H$2000,Sets!$A$2:$A$2000,$A7,Sets!$D$2:$D$2000,S$1,Sets!$J$2:$J$2000,"N"))</f>
        <v/>
      </c>
      <c r="T7" s="4" t="str">
        <f aca="false">IF(_xlfn.MAXIFS(Sets!$H$2:$H$2000,Sets!$A$2:$A$2000,$A7,Sets!$D$2:$D$2000,T$1,Sets!$J$2:$J$2000,"N")=0,"",_xlfn.MAXIFS(Sets!$H$2:$H$2000,Sets!$A$2:$A$2000,$A7,Sets!$D$2:$D$2000,T$1,Sets!$J$2:$J$2000,"N"))</f>
        <v/>
      </c>
      <c r="U7" s="4" t="str">
        <f aca="false">IF(_xlfn.MAXIFS(Sets!$H$2:$H$2000,Sets!$A$2:$A$2000,$A7,Sets!$D$2:$D$2000,U$1,Sets!$J$2:$J$2000,"N")=0,"",_xlfn.MAXIFS(Sets!$H$2:$H$2000,Sets!$A$2:$A$2000,$A7,Sets!$D$2:$D$2000,U$1,Sets!$J$2:$J$2000,"N"))</f>
        <v/>
      </c>
      <c r="V7" s="4" t="str">
        <f aca="false">IF(_xlfn.MAXIFS(Sets!$H$2:$H$2000,Sets!$A$2:$A$2000,$A7,Sets!$D$2:$D$2000,V$1,Sets!$J$2:$J$2000,"N")=0,"",_xlfn.MAXIFS(Sets!$H$2:$H$2000,Sets!$A$2:$A$2000,$A7,Sets!$D$2:$D$2000,V$1,Sets!$J$2:$J$2000,"N"))</f>
        <v/>
      </c>
      <c r="W7" s="4" t="str">
        <f aca="false">IF(_xlfn.MAXIFS(Sets!$H$2:$H$2000,Sets!$A$2:$A$2000,$A7,Sets!$D$2:$D$2000,W$1,Sets!$J$2:$J$2000,"N")=0,"",_xlfn.MAXIFS(Sets!$H$2:$H$2000,Sets!$A$2:$A$2000,$A7,Sets!$D$2:$D$2000,W$1,Sets!$J$2:$J$2000,"N"))</f>
        <v/>
      </c>
      <c r="X7" s="4" t="str">
        <f aca="false">IF(_xlfn.MAXIFS(Sets!$H$2:$H$2000,Sets!$A$2:$A$2000,$A7,Sets!$D$2:$D$2000,X$1,Sets!$J$2:$J$2000,"N")=0,"",_xlfn.MAXIFS(Sets!$H$2:$H$2000,Sets!$A$2:$A$2000,$A7,Sets!$D$2:$D$2000,X$1,Sets!$J$2:$J$2000,"N"))</f>
        <v/>
      </c>
      <c r="Y7" s="4" t="str">
        <f aca="false">IF(_xlfn.MAXIFS(Sets!$H$2:$H$2000,Sets!$A$2:$A$2000,$A7,Sets!$D$2:$D$2000,Y$1,Sets!$J$2:$J$2000,"N")=0,"",_xlfn.MAXIFS(Sets!$H$2:$H$2000,Sets!$A$2:$A$2000,$A7,Sets!$D$2:$D$2000,Y$1,Sets!$J$2:$J$2000,"N"))</f>
        <v/>
      </c>
      <c r="Z7" s="4" t="str">
        <f aca="false">IF(_xlfn.MAXIFS(Sets!$H$2:$H$2000,Sets!$A$2:$A$2000,$A7,Sets!$D$2:$D$2000,Z$1,Sets!$J$2:$J$2000,"N")=0,"",_xlfn.MAXIFS(Sets!$H$2:$H$2000,Sets!$A$2:$A$2000,$A7,Sets!$D$2:$D$2000,Z$1,Sets!$J$2:$J$2000,"N"))</f>
        <v/>
      </c>
      <c r="AA7" s="4" t="str">
        <f aca="false">IF(_xlfn.MAXIFS(Sets!$H$2:$H$2000,Sets!$A$2:$A$2000,$A7,Sets!$D$2:$D$2000,AA$1,Sets!$J$2:$J$2000,"N")=0,"",_xlfn.MAXIFS(Sets!$H$2:$H$2000,Sets!$A$2:$A$2000,$A7,Sets!$D$2:$D$2000,AA$1,Sets!$J$2:$J$2000,"N"))</f>
        <v/>
      </c>
      <c r="AB7" s="4" t="str">
        <f aca="false">IF(_xlfn.MAXIFS(Sets!$H$2:$H$2000,Sets!$A$2:$A$2000,$A7,Sets!$D$2:$D$2000,AB$1,Sets!$J$2:$J$2000,"N")=0,"",_xlfn.MAXIFS(Sets!$H$2:$H$2000,Sets!$A$2:$A$2000,$A7,Sets!$D$2:$D$2000,AB$1,Sets!$J$2:$J$2000,"N"))</f>
        <v/>
      </c>
      <c r="AC7" s="4" t="str">
        <f aca="false">IF(_xlfn.MAXIFS(Sets!$H$2:$H$2000,Sets!$A$2:$A$2000,$A7,Sets!$D$2:$D$2000,AC$1,Sets!$J$2:$J$2000,"N")=0,"",_xlfn.MAXIFS(Sets!$H$2:$H$2000,Sets!$A$2:$A$2000,$A7,Sets!$D$2:$D$2000,AC$1,Sets!$J$2:$J$2000,"N"))</f>
        <v/>
      </c>
      <c r="AD7" s="4" t="str">
        <f aca="false">IF(_xlfn.MAXIFS(Sets!$H$2:$H$2000,Sets!$A$2:$A$2000,$A7,Sets!$D$2:$D$2000,AD$1,Sets!$J$2:$J$2000,"N")=0,"",_xlfn.MAXIFS(Sets!$H$2:$H$2000,Sets!$A$2:$A$2000,$A7,Sets!$D$2:$D$2000,AD$1,Sets!$J$2:$J$2000,"N"))</f>
        <v/>
      </c>
      <c r="AE7" s="4" t="str">
        <f aca="false">IF(_xlfn.MAXIFS(Sets!$H$2:$H$2000,Sets!$A$2:$A$2000,$A7,Sets!$D$2:$D$2000,AE$1,Sets!$J$2:$J$2000,"N")=0,"",_xlfn.MAXIFS(Sets!$H$2:$H$2000,Sets!$A$2:$A$2000,$A7,Sets!$D$2:$D$2000,AE$1,Sets!$J$2:$J$2000,"N"))</f>
        <v/>
      </c>
      <c r="AF7" s="4" t="str">
        <f aca="false">IF(_xlfn.MAXIFS(Sets!$H$2:$H$2000,Sets!$A$2:$A$2000,$A7,Sets!$D$2:$D$2000,AF$1,Sets!$J$2:$J$2000,"N")=0,"",_xlfn.MAXIFS(Sets!$H$2:$H$2000,Sets!$A$2:$A$2000,$A7,Sets!$D$2:$D$2000,AF$1,Sets!$J$2:$J$2000,"N"))</f>
        <v/>
      </c>
      <c r="AG7" s="4" t="str">
        <f aca="false">IF(_xlfn.MAXIFS(Sets!$H$2:$H$2000,Sets!$A$2:$A$2000,$A7,Sets!$D$2:$D$2000,AG$1,Sets!$J$2:$J$2000,"N")=0,"",_xlfn.MAXIFS(Sets!$H$2:$H$2000,Sets!$A$2:$A$2000,$A7,Sets!$D$2:$D$2000,AG$1,Sets!$J$2:$J$2000,"N"))</f>
        <v/>
      </c>
      <c r="AH7" s="4" t="str">
        <f aca="false">IF(_xlfn.MAXIFS(Sets!$H$2:$H$2000,Sets!$A$2:$A$2000,$A7,Sets!$D$2:$D$2000,AH$1,Sets!$J$2:$J$2000,"N")=0,"",_xlfn.MAXIFS(Sets!$H$2:$H$2000,Sets!$A$2:$A$2000,$A7,Sets!$D$2:$D$2000,AH$1,Sets!$J$2:$J$2000,"N"))</f>
        <v/>
      </c>
    </row>
    <row r="8" customFormat="false" ht="15" hidden="false" customHeight="false" outlineLevel="0" collapsed="false">
      <c r="A8" s="16" t="n">
        <v>46051</v>
      </c>
      <c r="B8" s="4" t="str">
        <f aca="false">IF(_xlfn.MAXIFS(Sets!$H$2:$H$2000,Sets!$A$2:$A$2000,$A8,Sets!$D$2:$D$2000,B$1,Sets!$J$2:$J$2000,"N")=0,"",_xlfn.MAXIFS(Sets!$H$2:$H$2000,Sets!$A$2:$A$2000,$A8,Sets!$D$2:$D$2000,B$1,Sets!$J$2:$J$2000,"N"))</f>
        <v/>
      </c>
      <c r="C8" s="4" t="str">
        <f aca="false">IF(_xlfn.MAXIFS(Sets!$H$2:$H$2000,Sets!$A$2:$A$2000,$A8,Sets!$D$2:$D$2000,C$1,Sets!$J$2:$J$2000,"N")=0,"",_xlfn.MAXIFS(Sets!$H$2:$H$2000,Sets!$A$2:$A$2000,$A8,Sets!$D$2:$D$2000,C$1,Sets!$J$2:$J$2000,"N"))</f>
        <v/>
      </c>
      <c r="D8" s="4" t="str">
        <f aca="false">IF(_xlfn.MAXIFS(Sets!$H$2:$H$2000,Sets!$A$2:$A$2000,$A8,Sets!$D$2:$D$2000,D$1,Sets!$J$2:$J$2000,"N")=0,"",_xlfn.MAXIFS(Sets!$H$2:$H$2000,Sets!$A$2:$A$2000,$A8,Sets!$D$2:$D$2000,D$1,Sets!$J$2:$J$2000,"N"))</f>
        <v/>
      </c>
      <c r="E8" s="4" t="str">
        <f aca="false">IF(_xlfn.MAXIFS(Sets!$H$2:$H$2000,Sets!$A$2:$A$2000,$A8,Sets!$D$2:$D$2000,E$1,Sets!$J$2:$J$2000,"N")=0,"",_xlfn.MAXIFS(Sets!$H$2:$H$2000,Sets!$A$2:$A$2000,$A8,Sets!$D$2:$D$2000,E$1,Sets!$J$2:$J$2000,"N"))</f>
        <v/>
      </c>
      <c r="F8" s="4" t="str">
        <f aca="false">IF(_xlfn.MAXIFS(Sets!$H$2:$H$2000,Sets!$A$2:$A$2000,$A8,Sets!$D$2:$D$2000,F$1,Sets!$J$2:$J$2000,"N")=0,"",_xlfn.MAXIFS(Sets!$H$2:$H$2000,Sets!$A$2:$A$2000,$A8,Sets!$D$2:$D$2000,F$1,Sets!$J$2:$J$2000,"N"))</f>
        <v/>
      </c>
      <c r="G8" s="4" t="str">
        <f aca="false">IF(_xlfn.MAXIFS(Sets!$H$2:$H$2000,Sets!$A$2:$A$2000,$A8,Sets!$D$2:$D$2000,G$1,Sets!$J$2:$J$2000,"N")=0,"",_xlfn.MAXIFS(Sets!$H$2:$H$2000,Sets!$A$2:$A$2000,$A8,Sets!$D$2:$D$2000,G$1,Sets!$J$2:$J$2000,"N"))</f>
        <v/>
      </c>
      <c r="H8" s="4" t="str">
        <f aca="false">IF(_xlfn.MAXIFS(Sets!$H$2:$H$2000,Sets!$A$2:$A$2000,$A8,Sets!$D$2:$D$2000,H$1,Sets!$J$2:$J$2000,"N")=0,"",_xlfn.MAXIFS(Sets!$H$2:$H$2000,Sets!$A$2:$A$2000,$A8,Sets!$D$2:$D$2000,H$1,Sets!$J$2:$J$2000,"N"))</f>
        <v/>
      </c>
      <c r="I8" s="4" t="n">
        <f aca="false">IF(_xlfn.MAXIFS(Sets!$H$2:$H$2000,Sets!$A$2:$A$2000,$A8,Sets!$D$2:$D$2000,I$1,Sets!$J$2:$J$2000,"N")=0,"",_xlfn.MAXIFS(Sets!$H$2:$H$2000,Sets!$A$2:$A$2000,$A8,Sets!$D$2:$D$2000,I$1,Sets!$J$2:$J$2000,"N"))</f>
        <v>45</v>
      </c>
      <c r="J8" s="4" t="str">
        <f aca="false">IF(_xlfn.MAXIFS(Sets!$H$2:$H$2000,Sets!$A$2:$A$2000,$A8,Sets!$D$2:$D$2000,J$1,Sets!$J$2:$J$2000,"N")=0,"",_xlfn.MAXIFS(Sets!$H$2:$H$2000,Sets!$A$2:$A$2000,$A8,Sets!$D$2:$D$2000,J$1,Sets!$J$2:$J$2000,"N"))</f>
        <v/>
      </c>
      <c r="K8" s="4" t="str">
        <f aca="false">IF(_xlfn.MAXIFS(Sets!$H$2:$H$2000,Sets!$A$2:$A$2000,$A8,Sets!$D$2:$D$2000,K$1,Sets!$J$2:$J$2000,"N")=0,"",_xlfn.MAXIFS(Sets!$H$2:$H$2000,Sets!$A$2:$A$2000,$A8,Sets!$D$2:$D$2000,K$1,Sets!$J$2:$J$2000,"N"))</f>
        <v/>
      </c>
      <c r="L8" s="4" t="str">
        <f aca="false">IF(_xlfn.MAXIFS(Sets!$H$2:$H$2000,Sets!$A$2:$A$2000,$A8,Sets!$D$2:$D$2000,L$1,Sets!$J$2:$J$2000,"N")=0,"",_xlfn.MAXIFS(Sets!$H$2:$H$2000,Sets!$A$2:$A$2000,$A8,Sets!$D$2:$D$2000,L$1,Sets!$J$2:$J$2000,"N"))</f>
        <v/>
      </c>
      <c r="M8" s="4" t="n">
        <f aca="false">IF(_xlfn.MAXIFS(Sets!$H$2:$H$2000,Sets!$A$2:$A$2000,$A8,Sets!$D$2:$D$2000,M$1,Sets!$J$2:$J$2000,"N")=0,"",_xlfn.MAXIFS(Sets!$H$2:$H$2000,Sets!$A$2:$A$2000,$A8,Sets!$D$2:$D$2000,M$1,Sets!$J$2:$J$2000,"N"))</f>
        <v>50</v>
      </c>
      <c r="N8" s="4" t="n">
        <f aca="false">IF(_xlfn.MAXIFS(Sets!$H$2:$H$2000,Sets!$A$2:$A$2000,$A8,Sets!$D$2:$D$2000,N$1,Sets!$J$2:$J$2000,"N")=0,"",_xlfn.MAXIFS(Sets!$H$2:$H$2000,Sets!$A$2:$A$2000,$A8,Sets!$D$2:$D$2000,N$1,Sets!$J$2:$J$2000,"N"))</f>
        <v>35</v>
      </c>
      <c r="O8" s="4" t="str">
        <f aca="false">IF(_xlfn.MAXIFS(Sets!$H$2:$H$2000,Sets!$A$2:$A$2000,$A8,Sets!$D$2:$D$2000,O$1,Sets!$J$2:$J$2000,"N")=0,"",_xlfn.MAXIFS(Sets!$H$2:$H$2000,Sets!$A$2:$A$2000,$A8,Sets!$D$2:$D$2000,O$1,Sets!$J$2:$J$2000,"N"))</f>
        <v/>
      </c>
      <c r="P8" s="4" t="str">
        <f aca="false">IF(_xlfn.MAXIFS(Sets!$H$2:$H$2000,Sets!$A$2:$A$2000,$A8,Sets!$D$2:$D$2000,P$1,Sets!$J$2:$J$2000,"N")=0,"",_xlfn.MAXIFS(Sets!$H$2:$H$2000,Sets!$A$2:$A$2000,$A8,Sets!$D$2:$D$2000,P$1,Sets!$J$2:$J$2000,"N"))</f>
        <v/>
      </c>
      <c r="Q8" s="4" t="str">
        <f aca="false">IF(_xlfn.MAXIFS(Sets!$H$2:$H$2000,Sets!$A$2:$A$2000,$A8,Sets!$D$2:$D$2000,Q$1,Sets!$J$2:$J$2000,"N")=0,"",_xlfn.MAXIFS(Sets!$H$2:$H$2000,Sets!$A$2:$A$2000,$A8,Sets!$D$2:$D$2000,Q$1,Sets!$J$2:$J$2000,"N"))</f>
        <v/>
      </c>
      <c r="R8" s="4" t="str">
        <f aca="false">IF(_xlfn.MAXIFS(Sets!$H$2:$H$2000,Sets!$A$2:$A$2000,$A8,Sets!$D$2:$D$2000,R$1,Sets!$J$2:$J$2000,"N")=0,"",_xlfn.MAXIFS(Sets!$H$2:$H$2000,Sets!$A$2:$A$2000,$A8,Sets!$D$2:$D$2000,R$1,Sets!$J$2:$J$2000,"N"))</f>
        <v/>
      </c>
      <c r="S8" s="4" t="str">
        <f aca="false">IF(_xlfn.MAXIFS(Sets!$H$2:$H$2000,Sets!$A$2:$A$2000,$A8,Sets!$D$2:$D$2000,S$1,Sets!$J$2:$J$2000,"N")=0,"",_xlfn.MAXIFS(Sets!$H$2:$H$2000,Sets!$A$2:$A$2000,$A8,Sets!$D$2:$D$2000,S$1,Sets!$J$2:$J$2000,"N"))</f>
        <v/>
      </c>
      <c r="T8" s="4" t="str">
        <f aca="false">IF(_xlfn.MAXIFS(Sets!$H$2:$H$2000,Sets!$A$2:$A$2000,$A8,Sets!$D$2:$D$2000,T$1,Sets!$J$2:$J$2000,"N")=0,"",_xlfn.MAXIFS(Sets!$H$2:$H$2000,Sets!$A$2:$A$2000,$A8,Sets!$D$2:$D$2000,T$1,Sets!$J$2:$J$2000,"N"))</f>
        <v/>
      </c>
      <c r="U8" s="4" t="str">
        <f aca="false">IF(_xlfn.MAXIFS(Sets!$H$2:$H$2000,Sets!$A$2:$A$2000,$A8,Sets!$D$2:$D$2000,U$1,Sets!$J$2:$J$2000,"N")=0,"",_xlfn.MAXIFS(Sets!$H$2:$H$2000,Sets!$A$2:$A$2000,$A8,Sets!$D$2:$D$2000,U$1,Sets!$J$2:$J$2000,"N"))</f>
        <v/>
      </c>
      <c r="V8" s="4" t="str">
        <f aca="false">IF(_xlfn.MAXIFS(Sets!$H$2:$H$2000,Sets!$A$2:$A$2000,$A8,Sets!$D$2:$D$2000,V$1,Sets!$J$2:$J$2000,"N")=0,"",_xlfn.MAXIFS(Sets!$H$2:$H$2000,Sets!$A$2:$A$2000,$A8,Sets!$D$2:$D$2000,V$1,Sets!$J$2:$J$2000,"N"))</f>
        <v/>
      </c>
      <c r="W8" s="4" t="str">
        <f aca="false">IF(_xlfn.MAXIFS(Sets!$H$2:$H$2000,Sets!$A$2:$A$2000,$A8,Sets!$D$2:$D$2000,W$1,Sets!$J$2:$J$2000,"N")=0,"",_xlfn.MAXIFS(Sets!$H$2:$H$2000,Sets!$A$2:$A$2000,$A8,Sets!$D$2:$D$2000,W$1,Sets!$J$2:$J$2000,"N"))</f>
        <v/>
      </c>
      <c r="X8" s="4" t="str">
        <f aca="false">IF(_xlfn.MAXIFS(Sets!$H$2:$H$2000,Sets!$A$2:$A$2000,$A8,Sets!$D$2:$D$2000,X$1,Sets!$J$2:$J$2000,"N")=0,"",_xlfn.MAXIFS(Sets!$H$2:$H$2000,Sets!$A$2:$A$2000,$A8,Sets!$D$2:$D$2000,X$1,Sets!$J$2:$J$2000,"N"))</f>
        <v/>
      </c>
      <c r="Y8" s="4" t="str">
        <f aca="false">IF(_xlfn.MAXIFS(Sets!$H$2:$H$2000,Sets!$A$2:$A$2000,$A8,Sets!$D$2:$D$2000,Y$1,Sets!$J$2:$J$2000,"N")=0,"",_xlfn.MAXIFS(Sets!$H$2:$H$2000,Sets!$A$2:$A$2000,$A8,Sets!$D$2:$D$2000,Y$1,Sets!$J$2:$J$2000,"N"))</f>
        <v/>
      </c>
      <c r="Z8" s="4" t="str">
        <f aca="false">IF(_xlfn.MAXIFS(Sets!$H$2:$H$2000,Sets!$A$2:$A$2000,$A8,Sets!$D$2:$D$2000,Z$1,Sets!$J$2:$J$2000,"N")=0,"",_xlfn.MAXIFS(Sets!$H$2:$H$2000,Sets!$A$2:$A$2000,$A8,Sets!$D$2:$D$2000,Z$1,Sets!$J$2:$J$2000,"N"))</f>
        <v/>
      </c>
      <c r="AA8" s="4" t="str">
        <f aca="false">IF(_xlfn.MAXIFS(Sets!$H$2:$H$2000,Sets!$A$2:$A$2000,$A8,Sets!$D$2:$D$2000,AA$1,Sets!$J$2:$J$2000,"N")=0,"",_xlfn.MAXIFS(Sets!$H$2:$H$2000,Sets!$A$2:$A$2000,$A8,Sets!$D$2:$D$2000,AA$1,Sets!$J$2:$J$2000,"N"))</f>
        <v/>
      </c>
      <c r="AB8" s="4" t="str">
        <f aca="false">IF(_xlfn.MAXIFS(Sets!$H$2:$H$2000,Sets!$A$2:$A$2000,$A8,Sets!$D$2:$D$2000,AB$1,Sets!$J$2:$J$2000,"N")=0,"",_xlfn.MAXIFS(Sets!$H$2:$H$2000,Sets!$A$2:$A$2000,$A8,Sets!$D$2:$D$2000,AB$1,Sets!$J$2:$J$2000,"N"))</f>
        <v/>
      </c>
      <c r="AC8" s="4" t="str">
        <f aca="false">IF(_xlfn.MAXIFS(Sets!$H$2:$H$2000,Sets!$A$2:$A$2000,$A8,Sets!$D$2:$D$2000,AC$1,Sets!$J$2:$J$2000,"N")=0,"",_xlfn.MAXIFS(Sets!$H$2:$H$2000,Sets!$A$2:$A$2000,$A8,Sets!$D$2:$D$2000,AC$1,Sets!$J$2:$J$2000,"N"))</f>
        <v/>
      </c>
      <c r="AD8" s="4" t="str">
        <f aca="false">IF(_xlfn.MAXIFS(Sets!$H$2:$H$2000,Sets!$A$2:$A$2000,$A8,Sets!$D$2:$D$2000,AD$1,Sets!$J$2:$J$2000,"N")=0,"",_xlfn.MAXIFS(Sets!$H$2:$H$2000,Sets!$A$2:$A$2000,$A8,Sets!$D$2:$D$2000,AD$1,Sets!$J$2:$J$2000,"N"))</f>
        <v/>
      </c>
      <c r="AE8" s="4" t="str">
        <f aca="false">IF(_xlfn.MAXIFS(Sets!$H$2:$H$2000,Sets!$A$2:$A$2000,$A8,Sets!$D$2:$D$2000,AE$1,Sets!$J$2:$J$2000,"N")=0,"",_xlfn.MAXIFS(Sets!$H$2:$H$2000,Sets!$A$2:$A$2000,$A8,Sets!$D$2:$D$2000,AE$1,Sets!$J$2:$J$2000,"N"))</f>
        <v/>
      </c>
      <c r="AF8" s="4" t="str">
        <f aca="false">IF(_xlfn.MAXIFS(Sets!$H$2:$H$2000,Sets!$A$2:$A$2000,$A8,Sets!$D$2:$D$2000,AF$1,Sets!$J$2:$J$2000,"N")=0,"",_xlfn.MAXIFS(Sets!$H$2:$H$2000,Sets!$A$2:$A$2000,$A8,Sets!$D$2:$D$2000,AF$1,Sets!$J$2:$J$2000,"N"))</f>
        <v/>
      </c>
      <c r="AG8" s="4" t="str">
        <f aca="false">IF(_xlfn.MAXIFS(Sets!$H$2:$H$2000,Sets!$A$2:$A$2000,$A8,Sets!$D$2:$D$2000,AG$1,Sets!$J$2:$J$2000,"N")=0,"",_xlfn.MAXIFS(Sets!$H$2:$H$2000,Sets!$A$2:$A$2000,$A8,Sets!$D$2:$D$2000,AG$1,Sets!$J$2:$J$2000,"N"))</f>
        <v/>
      </c>
      <c r="AH8" s="4" t="str">
        <f aca="false">IF(_xlfn.MAXIFS(Sets!$H$2:$H$2000,Sets!$A$2:$A$2000,$A8,Sets!$D$2:$D$2000,AH$1,Sets!$J$2:$J$2000,"N")=0,"",_xlfn.MAXIFS(Sets!$H$2:$H$2000,Sets!$A$2:$A$2000,$A8,Sets!$D$2:$D$2000,AH$1,Sets!$J$2:$J$2000,"N"))</f>
        <v/>
      </c>
    </row>
    <row r="9" customFormat="false" ht="15" hidden="false" customHeight="false" outlineLevel="0" collapsed="false">
      <c r="A9" s="16" t="n">
        <v>46060</v>
      </c>
      <c r="B9" s="4" t="str">
        <f aca="false">IF(_xlfn.MAXIFS(Sets!$H$2:$H$2000,Sets!$A$2:$A$2000,$A9,Sets!$D$2:$D$2000,B$1,Sets!$J$2:$J$2000,"N")=0,"",_xlfn.MAXIFS(Sets!$H$2:$H$2000,Sets!$A$2:$A$2000,$A9,Sets!$D$2:$D$2000,B$1,Sets!$J$2:$J$2000,"N"))</f>
        <v/>
      </c>
      <c r="C9" s="4" t="str">
        <f aca="false">IF(_xlfn.MAXIFS(Sets!$H$2:$H$2000,Sets!$A$2:$A$2000,$A9,Sets!$D$2:$D$2000,C$1,Sets!$J$2:$J$2000,"N")=0,"",_xlfn.MAXIFS(Sets!$H$2:$H$2000,Sets!$A$2:$A$2000,$A9,Sets!$D$2:$D$2000,C$1,Sets!$J$2:$J$2000,"N"))</f>
        <v/>
      </c>
      <c r="D9" s="4" t="str">
        <f aca="false">IF(_xlfn.MAXIFS(Sets!$H$2:$H$2000,Sets!$A$2:$A$2000,$A9,Sets!$D$2:$D$2000,D$1,Sets!$J$2:$J$2000,"N")=0,"",_xlfn.MAXIFS(Sets!$H$2:$H$2000,Sets!$A$2:$A$2000,$A9,Sets!$D$2:$D$2000,D$1,Sets!$J$2:$J$2000,"N"))</f>
        <v/>
      </c>
      <c r="E9" s="4" t="str">
        <f aca="false">IF(_xlfn.MAXIFS(Sets!$H$2:$H$2000,Sets!$A$2:$A$2000,$A9,Sets!$D$2:$D$2000,E$1,Sets!$J$2:$J$2000,"N")=0,"",_xlfn.MAXIFS(Sets!$H$2:$H$2000,Sets!$A$2:$A$2000,$A9,Sets!$D$2:$D$2000,E$1,Sets!$J$2:$J$2000,"N"))</f>
        <v/>
      </c>
      <c r="F9" s="4" t="str">
        <f aca="false">IF(_xlfn.MAXIFS(Sets!$H$2:$H$2000,Sets!$A$2:$A$2000,$A9,Sets!$D$2:$D$2000,F$1,Sets!$J$2:$J$2000,"N")=0,"",_xlfn.MAXIFS(Sets!$H$2:$H$2000,Sets!$A$2:$A$2000,$A9,Sets!$D$2:$D$2000,F$1,Sets!$J$2:$J$2000,"N"))</f>
        <v/>
      </c>
      <c r="G9" s="4" t="str">
        <f aca="false">IF(_xlfn.MAXIFS(Sets!$H$2:$H$2000,Sets!$A$2:$A$2000,$A9,Sets!$D$2:$D$2000,G$1,Sets!$J$2:$J$2000,"N")=0,"",_xlfn.MAXIFS(Sets!$H$2:$H$2000,Sets!$A$2:$A$2000,$A9,Sets!$D$2:$D$2000,G$1,Sets!$J$2:$J$2000,"N"))</f>
        <v/>
      </c>
      <c r="H9" s="4" t="n">
        <f aca="false">IF(_xlfn.MAXIFS(Sets!$H$2:$H$2000,Sets!$A$2:$A$2000,$A9,Sets!$D$2:$D$2000,H$1,Sets!$J$2:$J$2000,"N")=0,"",_xlfn.MAXIFS(Sets!$H$2:$H$2000,Sets!$A$2:$A$2000,$A9,Sets!$D$2:$D$2000,H$1,Sets!$J$2:$J$2000,"N"))</f>
        <v>40</v>
      </c>
      <c r="I9" s="4" t="str">
        <f aca="false">IF(_xlfn.MAXIFS(Sets!$H$2:$H$2000,Sets!$A$2:$A$2000,$A9,Sets!$D$2:$D$2000,I$1,Sets!$J$2:$J$2000,"N")=0,"",_xlfn.MAXIFS(Sets!$H$2:$H$2000,Sets!$A$2:$A$2000,$A9,Sets!$D$2:$D$2000,I$1,Sets!$J$2:$J$2000,"N"))</f>
        <v/>
      </c>
      <c r="J9" s="4" t="n">
        <f aca="false">IF(_xlfn.MAXIFS(Sets!$H$2:$H$2000,Sets!$A$2:$A$2000,$A9,Sets!$D$2:$D$2000,J$1,Sets!$J$2:$J$2000,"N")=0,"",_xlfn.MAXIFS(Sets!$H$2:$H$2000,Sets!$A$2:$A$2000,$A9,Sets!$D$2:$D$2000,J$1,Sets!$J$2:$J$2000,"N"))</f>
        <v>30</v>
      </c>
      <c r="K9" s="4" t="str">
        <f aca="false">IF(_xlfn.MAXIFS(Sets!$H$2:$H$2000,Sets!$A$2:$A$2000,$A9,Sets!$D$2:$D$2000,K$1,Sets!$J$2:$J$2000,"N")=0,"",_xlfn.MAXIFS(Sets!$H$2:$H$2000,Sets!$A$2:$A$2000,$A9,Sets!$D$2:$D$2000,K$1,Sets!$J$2:$J$2000,"N"))</f>
        <v/>
      </c>
      <c r="L9" s="4" t="str">
        <f aca="false">IF(_xlfn.MAXIFS(Sets!$H$2:$H$2000,Sets!$A$2:$A$2000,$A9,Sets!$D$2:$D$2000,L$1,Sets!$J$2:$J$2000,"N")=0,"",_xlfn.MAXIFS(Sets!$H$2:$H$2000,Sets!$A$2:$A$2000,$A9,Sets!$D$2:$D$2000,L$1,Sets!$J$2:$J$2000,"N"))</f>
        <v/>
      </c>
      <c r="M9" s="4" t="n">
        <f aca="false">IF(_xlfn.MAXIFS(Sets!$H$2:$H$2000,Sets!$A$2:$A$2000,$A9,Sets!$D$2:$D$2000,M$1,Sets!$J$2:$J$2000,"N")=0,"",_xlfn.MAXIFS(Sets!$H$2:$H$2000,Sets!$A$2:$A$2000,$A9,Sets!$D$2:$D$2000,M$1,Sets!$J$2:$J$2000,"N"))</f>
        <v>30</v>
      </c>
      <c r="N9" s="4" t="str">
        <f aca="false">IF(_xlfn.MAXIFS(Sets!$H$2:$H$2000,Sets!$A$2:$A$2000,$A9,Sets!$D$2:$D$2000,N$1,Sets!$J$2:$J$2000,"N")=0,"",_xlfn.MAXIFS(Sets!$H$2:$H$2000,Sets!$A$2:$A$2000,$A9,Sets!$D$2:$D$2000,N$1,Sets!$J$2:$J$2000,"N"))</f>
        <v/>
      </c>
      <c r="O9" s="4" t="str">
        <f aca="false">IF(_xlfn.MAXIFS(Sets!$H$2:$H$2000,Sets!$A$2:$A$2000,$A9,Sets!$D$2:$D$2000,O$1,Sets!$J$2:$J$2000,"N")=0,"",_xlfn.MAXIFS(Sets!$H$2:$H$2000,Sets!$A$2:$A$2000,$A9,Sets!$D$2:$D$2000,O$1,Sets!$J$2:$J$2000,"N"))</f>
        <v/>
      </c>
      <c r="P9" s="4" t="str">
        <f aca="false">IF(_xlfn.MAXIFS(Sets!$H$2:$H$2000,Sets!$A$2:$A$2000,$A9,Sets!$D$2:$D$2000,P$1,Sets!$J$2:$J$2000,"N")=0,"",_xlfn.MAXIFS(Sets!$H$2:$H$2000,Sets!$A$2:$A$2000,$A9,Sets!$D$2:$D$2000,P$1,Sets!$J$2:$J$2000,"N"))</f>
        <v/>
      </c>
      <c r="Q9" s="4" t="str">
        <f aca="false">IF(_xlfn.MAXIFS(Sets!$H$2:$H$2000,Sets!$A$2:$A$2000,$A9,Sets!$D$2:$D$2000,Q$1,Sets!$J$2:$J$2000,"N")=0,"",_xlfn.MAXIFS(Sets!$H$2:$H$2000,Sets!$A$2:$A$2000,$A9,Sets!$D$2:$D$2000,Q$1,Sets!$J$2:$J$2000,"N"))</f>
        <v/>
      </c>
      <c r="R9" s="4" t="str">
        <f aca="false">IF(_xlfn.MAXIFS(Sets!$H$2:$H$2000,Sets!$A$2:$A$2000,$A9,Sets!$D$2:$D$2000,R$1,Sets!$J$2:$J$2000,"N")=0,"",_xlfn.MAXIFS(Sets!$H$2:$H$2000,Sets!$A$2:$A$2000,$A9,Sets!$D$2:$D$2000,R$1,Sets!$J$2:$J$2000,"N"))</f>
        <v/>
      </c>
      <c r="S9" s="4" t="str">
        <f aca="false">IF(_xlfn.MAXIFS(Sets!$H$2:$H$2000,Sets!$A$2:$A$2000,$A9,Sets!$D$2:$D$2000,S$1,Sets!$J$2:$J$2000,"N")=0,"",_xlfn.MAXIFS(Sets!$H$2:$H$2000,Sets!$A$2:$A$2000,$A9,Sets!$D$2:$D$2000,S$1,Sets!$J$2:$J$2000,"N"))</f>
        <v/>
      </c>
      <c r="T9" s="4" t="str">
        <f aca="false">IF(_xlfn.MAXIFS(Sets!$H$2:$H$2000,Sets!$A$2:$A$2000,$A9,Sets!$D$2:$D$2000,T$1,Sets!$J$2:$J$2000,"N")=0,"",_xlfn.MAXIFS(Sets!$H$2:$H$2000,Sets!$A$2:$A$2000,$A9,Sets!$D$2:$D$2000,T$1,Sets!$J$2:$J$2000,"N"))</f>
        <v/>
      </c>
      <c r="U9" s="4" t="str">
        <f aca="false">IF(_xlfn.MAXIFS(Sets!$H$2:$H$2000,Sets!$A$2:$A$2000,$A9,Sets!$D$2:$D$2000,U$1,Sets!$J$2:$J$2000,"N")=0,"",_xlfn.MAXIFS(Sets!$H$2:$H$2000,Sets!$A$2:$A$2000,$A9,Sets!$D$2:$D$2000,U$1,Sets!$J$2:$J$2000,"N"))</f>
        <v/>
      </c>
      <c r="V9" s="4" t="str">
        <f aca="false">IF(_xlfn.MAXIFS(Sets!$H$2:$H$2000,Sets!$A$2:$A$2000,$A9,Sets!$D$2:$D$2000,V$1,Sets!$J$2:$J$2000,"N")=0,"",_xlfn.MAXIFS(Sets!$H$2:$H$2000,Sets!$A$2:$A$2000,$A9,Sets!$D$2:$D$2000,V$1,Sets!$J$2:$J$2000,"N"))</f>
        <v/>
      </c>
      <c r="W9" s="4" t="str">
        <f aca="false">IF(_xlfn.MAXIFS(Sets!$H$2:$H$2000,Sets!$A$2:$A$2000,$A9,Sets!$D$2:$D$2000,W$1,Sets!$J$2:$J$2000,"N")=0,"",_xlfn.MAXIFS(Sets!$H$2:$H$2000,Sets!$A$2:$A$2000,$A9,Sets!$D$2:$D$2000,W$1,Sets!$J$2:$J$2000,"N"))</f>
        <v/>
      </c>
      <c r="X9" s="4" t="str">
        <f aca="false">IF(_xlfn.MAXIFS(Sets!$H$2:$H$2000,Sets!$A$2:$A$2000,$A9,Sets!$D$2:$D$2000,X$1,Sets!$J$2:$J$2000,"N")=0,"",_xlfn.MAXIFS(Sets!$H$2:$H$2000,Sets!$A$2:$A$2000,$A9,Sets!$D$2:$D$2000,X$1,Sets!$J$2:$J$2000,"N"))</f>
        <v/>
      </c>
      <c r="Y9" s="4" t="str">
        <f aca="false">IF(_xlfn.MAXIFS(Sets!$H$2:$H$2000,Sets!$A$2:$A$2000,$A9,Sets!$D$2:$D$2000,Y$1,Sets!$J$2:$J$2000,"N")=0,"",_xlfn.MAXIFS(Sets!$H$2:$H$2000,Sets!$A$2:$A$2000,$A9,Sets!$D$2:$D$2000,Y$1,Sets!$J$2:$J$2000,"N"))</f>
        <v/>
      </c>
      <c r="Z9" s="4" t="str">
        <f aca="false">IF(_xlfn.MAXIFS(Sets!$H$2:$H$2000,Sets!$A$2:$A$2000,$A9,Sets!$D$2:$D$2000,Z$1,Sets!$J$2:$J$2000,"N")=0,"",_xlfn.MAXIFS(Sets!$H$2:$H$2000,Sets!$A$2:$A$2000,$A9,Sets!$D$2:$D$2000,Z$1,Sets!$J$2:$J$2000,"N"))</f>
        <v/>
      </c>
      <c r="AA9" s="4" t="str">
        <f aca="false">IF(_xlfn.MAXIFS(Sets!$H$2:$H$2000,Sets!$A$2:$A$2000,$A9,Sets!$D$2:$D$2000,AA$1,Sets!$J$2:$J$2000,"N")=0,"",_xlfn.MAXIFS(Sets!$H$2:$H$2000,Sets!$A$2:$A$2000,$A9,Sets!$D$2:$D$2000,AA$1,Sets!$J$2:$J$2000,"N"))</f>
        <v/>
      </c>
      <c r="AB9" s="4" t="str">
        <f aca="false">IF(_xlfn.MAXIFS(Sets!$H$2:$H$2000,Sets!$A$2:$A$2000,$A9,Sets!$D$2:$D$2000,AB$1,Sets!$J$2:$J$2000,"N")=0,"",_xlfn.MAXIFS(Sets!$H$2:$H$2000,Sets!$A$2:$A$2000,$A9,Sets!$D$2:$D$2000,AB$1,Sets!$J$2:$J$2000,"N"))</f>
        <v/>
      </c>
      <c r="AC9" s="4" t="str">
        <f aca="false">IF(_xlfn.MAXIFS(Sets!$H$2:$H$2000,Sets!$A$2:$A$2000,$A9,Sets!$D$2:$D$2000,AC$1,Sets!$J$2:$J$2000,"N")=0,"",_xlfn.MAXIFS(Sets!$H$2:$H$2000,Sets!$A$2:$A$2000,$A9,Sets!$D$2:$D$2000,AC$1,Sets!$J$2:$J$2000,"N"))</f>
        <v/>
      </c>
      <c r="AD9" s="4" t="str">
        <f aca="false">IF(_xlfn.MAXIFS(Sets!$H$2:$H$2000,Sets!$A$2:$A$2000,$A9,Sets!$D$2:$D$2000,AD$1,Sets!$J$2:$J$2000,"N")=0,"",_xlfn.MAXIFS(Sets!$H$2:$H$2000,Sets!$A$2:$A$2000,$A9,Sets!$D$2:$D$2000,AD$1,Sets!$J$2:$J$2000,"N"))</f>
        <v/>
      </c>
      <c r="AE9" s="4" t="str">
        <f aca="false">IF(_xlfn.MAXIFS(Sets!$H$2:$H$2000,Sets!$A$2:$A$2000,$A9,Sets!$D$2:$D$2000,AE$1,Sets!$J$2:$J$2000,"N")=0,"",_xlfn.MAXIFS(Sets!$H$2:$H$2000,Sets!$A$2:$A$2000,$A9,Sets!$D$2:$D$2000,AE$1,Sets!$J$2:$J$2000,"N"))</f>
        <v/>
      </c>
      <c r="AF9" s="4" t="str">
        <f aca="false">IF(_xlfn.MAXIFS(Sets!$H$2:$H$2000,Sets!$A$2:$A$2000,$A9,Sets!$D$2:$D$2000,AF$1,Sets!$J$2:$J$2000,"N")=0,"",_xlfn.MAXIFS(Sets!$H$2:$H$2000,Sets!$A$2:$A$2000,$A9,Sets!$D$2:$D$2000,AF$1,Sets!$J$2:$J$2000,"N"))</f>
        <v/>
      </c>
      <c r="AG9" s="4" t="str">
        <f aca="false">IF(_xlfn.MAXIFS(Sets!$H$2:$H$2000,Sets!$A$2:$A$2000,$A9,Sets!$D$2:$D$2000,AG$1,Sets!$J$2:$J$2000,"N")=0,"",_xlfn.MAXIFS(Sets!$H$2:$H$2000,Sets!$A$2:$A$2000,$A9,Sets!$D$2:$D$2000,AG$1,Sets!$J$2:$J$2000,"N"))</f>
        <v/>
      </c>
      <c r="AH9" s="4" t="str">
        <f aca="false">IF(_xlfn.MAXIFS(Sets!$H$2:$H$2000,Sets!$A$2:$A$2000,$A9,Sets!$D$2:$D$2000,AH$1,Sets!$J$2:$J$2000,"N")=0,"",_xlfn.MAXIFS(Sets!$H$2:$H$2000,Sets!$A$2:$A$2000,$A9,Sets!$D$2:$D$2000,AH$1,Sets!$J$2:$J$2000,"N"))</f>
        <v/>
      </c>
    </row>
    <row r="10" customFormat="false" ht="15" hidden="false" customHeight="false" outlineLevel="0" collapsed="false">
      <c r="A10" s="16" t="n">
        <v>46062</v>
      </c>
      <c r="B10" s="4" t="str">
        <f aca="false">IF(_xlfn.MAXIFS(Sets!$H$2:$H$2000,Sets!$A$2:$A$2000,$A10,Sets!$D$2:$D$2000,B$1,Sets!$J$2:$J$2000,"N")=0,"",_xlfn.MAXIFS(Sets!$H$2:$H$2000,Sets!$A$2:$A$2000,$A10,Sets!$D$2:$D$2000,B$1,Sets!$J$2:$J$2000,"N"))</f>
        <v/>
      </c>
      <c r="C10" s="4" t="n">
        <f aca="false">IF(_xlfn.MAXIFS(Sets!$H$2:$H$2000,Sets!$A$2:$A$2000,$A10,Sets!$D$2:$D$2000,C$1,Sets!$J$2:$J$2000,"N")=0,"",_xlfn.MAXIFS(Sets!$H$2:$H$2000,Sets!$A$2:$A$2000,$A10,Sets!$D$2:$D$2000,C$1,Sets!$J$2:$J$2000,"N"))</f>
        <v>22.5</v>
      </c>
      <c r="D10" s="4" t="n">
        <f aca="false">IF(_xlfn.MAXIFS(Sets!$H$2:$H$2000,Sets!$A$2:$A$2000,$A10,Sets!$D$2:$D$2000,D$1,Sets!$J$2:$J$2000,"N")=0,"",_xlfn.MAXIFS(Sets!$H$2:$H$2000,Sets!$A$2:$A$2000,$A10,Sets!$D$2:$D$2000,D$1,Sets!$J$2:$J$2000,"N"))</f>
        <v>45</v>
      </c>
      <c r="E10" s="4" t="str">
        <f aca="false">IF(_xlfn.MAXIFS(Sets!$H$2:$H$2000,Sets!$A$2:$A$2000,$A10,Sets!$D$2:$D$2000,E$1,Sets!$J$2:$J$2000,"N")=0,"",_xlfn.MAXIFS(Sets!$H$2:$H$2000,Sets!$A$2:$A$2000,$A10,Sets!$D$2:$D$2000,E$1,Sets!$J$2:$J$2000,"N"))</f>
        <v/>
      </c>
      <c r="F10" s="4" t="n">
        <f aca="false">IF(_xlfn.MAXIFS(Sets!$H$2:$H$2000,Sets!$A$2:$A$2000,$A10,Sets!$D$2:$D$2000,F$1,Sets!$J$2:$J$2000,"N")=0,"",_xlfn.MAXIFS(Sets!$H$2:$H$2000,Sets!$A$2:$A$2000,$A10,Sets!$D$2:$D$2000,F$1,Sets!$J$2:$J$2000,"N"))</f>
        <v>30</v>
      </c>
      <c r="G10" s="4" t="str">
        <f aca="false">IF(_xlfn.MAXIFS(Sets!$H$2:$H$2000,Sets!$A$2:$A$2000,$A10,Sets!$D$2:$D$2000,G$1,Sets!$J$2:$J$2000,"N")=0,"",_xlfn.MAXIFS(Sets!$H$2:$H$2000,Sets!$A$2:$A$2000,$A10,Sets!$D$2:$D$2000,G$1,Sets!$J$2:$J$2000,"N"))</f>
        <v/>
      </c>
      <c r="H10" s="4" t="str">
        <f aca="false">IF(_xlfn.MAXIFS(Sets!$H$2:$H$2000,Sets!$A$2:$A$2000,$A10,Sets!$D$2:$D$2000,H$1,Sets!$J$2:$J$2000,"N")=0,"",_xlfn.MAXIFS(Sets!$H$2:$H$2000,Sets!$A$2:$A$2000,$A10,Sets!$D$2:$D$2000,H$1,Sets!$J$2:$J$2000,"N"))</f>
        <v/>
      </c>
      <c r="I10" s="4" t="str">
        <f aca="false">IF(_xlfn.MAXIFS(Sets!$H$2:$H$2000,Sets!$A$2:$A$2000,$A10,Sets!$D$2:$D$2000,I$1,Sets!$J$2:$J$2000,"N")=0,"",_xlfn.MAXIFS(Sets!$H$2:$H$2000,Sets!$A$2:$A$2000,$A10,Sets!$D$2:$D$2000,I$1,Sets!$J$2:$J$2000,"N"))</f>
        <v/>
      </c>
      <c r="J10" s="4" t="n">
        <f aca="false">IF(_xlfn.MAXIFS(Sets!$H$2:$H$2000,Sets!$A$2:$A$2000,$A10,Sets!$D$2:$D$2000,J$1,Sets!$J$2:$J$2000,"N")=0,"",_xlfn.MAXIFS(Sets!$H$2:$H$2000,Sets!$A$2:$A$2000,$A10,Sets!$D$2:$D$2000,J$1,Sets!$J$2:$J$2000,"N"))</f>
        <v>45</v>
      </c>
      <c r="K10" s="4" t="n">
        <f aca="false">IF(_xlfn.MAXIFS(Sets!$H$2:$H$2000,Sets!$A$2:$A$2000,$A10,Sets!$D$2:$D$2000,K$1,Sets!$J$2:$J$2000,"N")=0,"",_xlfn.MAXIFS(Sets!$H$2:$H$2000,Sets!$A$2:$A$2000,$A10,Sets!$D$2:$D$2000,K$1,Sets!$J$2:$J$2000,"N"))</f>
        <v>30</v>
      </c>
      <c r="L10" s="4" t="str">
        <f aca="false">IF(_xlfn.MAXIFS(Sets!$H$2:$H$2000,Sets!$A$2:$A$2000,$A10,Sets!$D$2:$D$2000,L$1,Sets!$J$2:$J$2000,"N")=0,"",_xlfn.MAXIFS(Sets!$H$2:$H$2000,Sets!$A$2:$A$2000,$A10,Sets!$D$2:$D$2000,L$1,Sets!$J$2:$J$2000,"N"))</f>
        <v/>
      </c>
      <c r="M10" s="4" t="str">
        <f aca="false">IF(_xlfn.MAXIFS(Sets!$H$2:$H$2000,Sets!$A$2:$A$2000,$A10,Sets!$D$2:$D$2000,M$1,Sets!$J$2:$J$2000,"N")=0,"",_xlfn.MAXIFS(Sets!$H$2:$H$2000,Sets!$A$2:$A$2000,$A10,Sets!$D$2:$D$2000,M$1,Sets!$J$2:$J$2000,"N"))</f>
        <v/>
      </c>
      <c r="N10" s="4" t="str">
        <f aca="false">IF(_xlfn.MAXIFS(Sets!$H$2:$H$2000,Sets!$A$2:$A$2000,$A10,Sets!$D$2:$D$2000,N$1,Sets!$J$2:$J$2000,"N")=0,"",_xlfn.MAXIFS(Sets!$H$2:$H$2000,Sets!$A$2:$A$2000,$A10,Sets!$D$2:$D$2000,N$1,Sets!$J$2:$J$2000,"N"))</f>
        <v/>
      </c>
      <c r="O10" s="4" t="str">
        <f aca="false">IF(_xlfn.MAXIFS(Sets!$H$2:$H$2000,Sets!$A$2:$A$2000,$A10,Sets!$D$2:$D$2000,O$1,Sets!$J$2:$J$2000,"N")=0,"",_xlfn.MAXIFS(Sets!$H$2:$H$2000,Sets!$A$2:$A$2000,$A10,Sets!$D$2:$D$2000,O$1,Sets!$J$2:$J$2000,"N"))</f>
        <v/>
      </c>
      <c r="P10" s="4" t="n">
        <f aca="false">IF(_xlfn.MAXIFS(Sets!$H$2:$H$2000,Sets!$A$2:$A$2000,$A10,Sets!$D$2:$D$2000,P$1,Sets!$J$2:$J$2000,"N")=0,"",_xlfn.MAXIFS(Sets!$H$2:$H$2000,Sets!$A$2:$A$2000,$A10,Sets!$D$2:$D$2000,P$1,Sets!$J$2:$J$2000,"N"))</f>
        <v>20</v>
      </c>
      <c r="Q10" s="4" t="str">
        <f aca="false">IF(_xlfn.MAXIFS(Sets!$H$2:$H$2000,Sets!$A$2:$A$2000,$A10,Sets!$D$2:$D$2000,Q$1,Sets!$J$2:$J$2000,"N")=0,"",_xlfn.MAXIFS(Sets!$H$2:$H$2000,Sets!$A$2:$A$2000,$A10,Sets!$D$2:$D$2000,Q$1,Sets!$J$2:$J$2000,"N"))</f>
        <v/>
      </c>
      <c r="R10" s="4" t="str">
        <f aca="false">IF(_xlfn.MAXIFS(Sets!$H$2:$H$2000,Sets!$A$2:$A$2000,$A10,Sets!$D$2:$D$2000,R$1,Sets!$J$2:$J$2000,"N")=0,"",_xlfn.MAXIFS(Sets!$H$2:$H$2000,Sets!$A$2:$A$2000,$A10,Sets!$D$2:$D$2000,R$1,Sets!$J$2:$J$2000,"N"))</f>
        <v/>
      </c>
      <c r="S10" s="4" t="str">
        <f aca="false">IF(_xlfn.MAXIFS(Sets!$H$2:$H$2000,Sets!$A$2:$A$2000,$A10,Sets!$D$2:$D$2000,S$1,Sets!$J$2:$J$2000,"N")=0,"",_xlfn.MAXIFS(Sets!$H$2:$H$2000,Sets!$A$2:$A$2000,$A10,Sets!$D$2:$D$2000,S$1,Sets!$J$2:$J$2000,"N"))</f>
        <v/>
      </c>
      <c r="T10" s="4" t="str">
        <f aca="false">IF(_xlfn.MAXIFS(Sets!$H$2:$H$2000,Sets!$A$2:$A$2000,$A10,Sets!$D$2:$D$2000,T$1,Sets!$J$2:$J$2000,"N")=0,"",_xlfn.MAXIFS(Sets!$H$2:$H$2000,Sets!$A$2:$A$2000,$A10,Sets!$D$2:$D$2000,T$1,Sets!$J$2:$J$2000,"N"))</f>
        <v/>
      </c>
      <c r="U10" s="4" t="str">
        <f aca="false">IF(_xlfn.MAXIFS(Sets!$H$2:$H$2000,Sets!$A$2:$A$2000,$A10,Sets!$D$2:$D$2000,U$1,Sets!$J$2:$J$2000,"N")=0,"",_xlfn.MAXIFS(Sets!$H$2:$H$2000,Sets!$A$2:$A$2000,$A10,Sets!$D$2:$D$2000,U$1,Sets!$J$2:$J$2000,"N"))</f>
        <v/>
      </c>
      <c r="V10" s="4" t="str">
        <f aca="false">IF(_xlfn.MAXIFS(Sets!$H$2:$H$2000,Sets!$A$2:$A$2000,$A10,Sets!$D$2:$D$2000,V$1,Sets!$J$2:$J$2000,"N")=0,"",_xlfn.MAXIFS(Sets!$H$2:$H$2000,Sets!$A$2:$A$2000,$A10,Sets!$D$2:$D$2000,V$1,Sets!$J$2:$J$2000,"N"))</f>
        <v/>
      </c>
      <c r="W10" s="4" t="str">
        <f aca="false">IF(_xlfn.MAXIFS(Sets!$H$2:$H$2000,Sets!$A$2:$A$2000,$A10,Sets!$D$2:$D$2000,W$1,Sets!$J$2:$J$2000,"N")=0,"",_xlfn.MAXIFS(Sets!$H$2:$H$2000,Sets!$A$2:$A$2000,$A10,Sets!$D$2:$D$2000,W$1,Sets!$J$2:$J$2000,"N"))</f>
        <v/>
      </c>
      <c r="X10" s="4" t="str">
        <f aca="false">IF(_xlfn.MAXIFS(Sets!$H$2:$H$2000,Sets!$A$2:$A$2000,$A10,Sets!$D$2:$D$2000,X$1,Sets!$J$2:$J$2000,"N")=0,"",_xlfn.MAXIFS(Sets!$H$2:$H$2000,Sets!$A$2:$A$2000,$A10,Sets!$D$2:$D$2000,X$1,Sets!$J$2:$J$2000,"N"))</f>
        <v/>
      </c>
      <c r="Y10" s="4" t="str">
        <f aca="false">IF(_xlfn.MAXIFS(Sets!$H$2:$H$2000,Sets!$A$2:$A$2000,$A10,Sets!$D$2:$D$2000,Y$1,Sets!$J$2:$J$2000,"N")=0,"",_xlfn.MAXIFS(Sets!$H$2:$H$2000,Sets!$A$2:$A$2000,$A10,Sets!$D$2:$D$2000,Y$1,Sets!$J$2:$J$2000,"N"))</f>
        <v/>
      </c>
      <c r="Z10" s="4" t="str">
        <f aca="false">IF(_xlfn.MAXIFS(Sets!$H$2:$H$2000,Sets!$A$2:$A$2000,$A10,Sets!$D$2:$D$2000,Z$1,Sets!$J$2:$J$2000,"N")=0,"",_xlfn.MAXIFS(Sets!$H$2:$H$2000,Sets!$A$2:$A$2000,$A10,Sets!$D$2:$D$2000,Z$1,Sets!$J$2:$J$2000,"N"))</f>
        <v/>
      </c>
      <c r="AA10" s="4" t="str">
        <f aca="false">IF(_xlfn.MAXIFS(Sets!$H$2:$H$2000,Sets!$A$2:$A$2000,$A10,Sets!$D$2:$D$2000,AA$1,Sets!$J$2:$J$2000,"N")=0,"",_xlfn.MAXIFS(Sets!$H$2:$H$2000,Sets!$A$2:$A$2000,$A10,Sets!$D$2:$D$2000,AA$1,Sets!$J$2:$J$2000,"N"))</f>
        <v/>
      </c>
      <c r="AB10" s="4" t="str">
        <f aca="false">IF(_xlfn.MAXIFS(Sets!$H$2:$H$2000,Sets!$A$2:$A$2000,$A10,Sets!$D$2:$D$2000,AB$1,Sets!$J$2:$J$2000,"N")=0,"",_xlfn.MAXIFS(Sets!$H$2:$H$2000,Sets!$A$2:$A$2000,$A10,Sets!$D$2:$D$2000,AB$1,Sets!$J$2:$J$2000,"N"))</f>
        <v/>
      </c>
      <c r="AC10" s="4" t="str">
        <f aca="false">IF(_xlfn.MAXIFS(Sets!$H$2:$H$2000,Sets!$A$2:$A$2000,$A10,Sets!$D$2:$D$2000,AC$1,Sets!$J$2:$J$2000,"N")=0,"",_xlfn.MAXIFS(Sets!$H$2:$H$2000,Sets!$A$2:$A$2000,$A10,Sets!$D$2:$D$2000,AC$1,Sets!$J$2:$J$2000,"N"))</f>
        <v/>
      </c>
      <c r="AD10" s="4" t="str">
        <f aca="false">IF(_xlfn.MAXIFS(Sets!$H$2:$H$2000,Sets!$A$2:$A$2000,$A10,Sets!$D$2:$D$2000,AD$1,Sets!$J$2:$J$2000,"N")=0,"",_xlfn.MAXIFS(Sets!$H$2:$H$2000,Sets!$A$2:$A$2000,$A10,Sets!$D$2:$D$2000,AD$1,Sets!$J$2:$J$2000,"N"))</f>
        <v/>
      </c>
      <c r="AE10" s="4" t="str">
        <f aca="false">IF(_xlfn.MAXIFS(Sets!$H$2:$H$2000,Sets!$A$2:$A$2000,$A10,Sets!$D$2:$D$2000,AE$1,Sets!$J$2:$J$2000,"N")=0,"",_xlfn.MAXIFS(Sets!$H$2:$H$2000,Sets!$A$2:$A$2000,$A10,Sets!$D$2:$D$2000,AE$1,Sets!$J$2:$J$2000,"N"))</f>
        <v/>
      </c>
      <c r="AF10" s="4" t="str">
        <f aca="false">IF(_xlfn.MAXIFS(Sets!$H$2:$H$2000,Sets!$A$2:$A$2000,$A10,Sets!$D$2:$D$2000,AF$1,Sets!$J$2:$J$2000,"N")=0,"",_xlfn.MAXIFS(Sets!$H$2:$H$2000,Sets!$A$2:$A$2000,$A10,Sets!$D$2:$D$2000,AF$1,Sets!$J$2:$J$2000,"N"))</f>
        <v/>
      </c>
      <c r="AG10" s="4" t="str">
        <f aca="false">IF(_xlfn.MAXIFS(Sets!$H$2:$H$2000,Sets!$A$2:$A$2000,$A10,Sets!$D$2:$D$2000,AG$1,Sets!$J$2:$J$2000,"N")=0,"",_xlfn.MAXIFS(Sets!$H$2:$H$2000,Sets!$A$2:$A$2000,$A10,Sets!$D$2:$D$2000,AG$1,Sets!$J$2:$J$2000,"N"))</f>
        <v/>
      </c>
      <c r="AH10" s="4" t="str">
        <f aca="false">IF(_xlfn.MAXIFS(Sets!$H$2:$H$2000,Sets!$A$2:$A$2000,$A10,Sets!$D$2:$D$2000,AH$1,Sets!$J$2:$J$2000,"N")=0,"",_xlfn.MAXIFS(Sets!$H$2:$H$2000,Sets!$A$2:$A$2000,$A10,Sets!$D$2:$D$2000,AH$1,Sets!$J$2:$J$2000,"N"))</f>
        <v/>
      </c>
    </row>
    <row r="11" customFormat="false" ht="15" hidden="false" customHeight="false" outlineLevel="0" collapsed="false">
      <c r="A11" s="16" t="n">
        <v>46063</v>
      </c>
      <c r="B11" s="4" t="str">
        <f aca="false">IF(_xlfn.MAXIFS(Sets!$H$2:$H$2000,Sets!$A$2:$A$2000,$A11,Sets!$D$2:$D$2000,B$1,Sets!$J$2:$J$2000,"N")=0,"",_xlfn.MAXIFS(Sets!$H$2:$H$2000,Sets!$A$2:$A$2000,$A11,Sets!$D$2:$D$2000,B$1,Sets!$J$2:$J$2000,"N"))</f>
        <v/>
      </c>
      <c r="C11" s="4" t="str">
        <f aca="false">IF(_xlfn.MAXIFS(Sets!$H$2:$H$2000,Sets!$A$2:$A$2000,$A11,Sets!$D$2:$D$2000,C$1,Sets!$J$2:$J$2000,"N")=0,"",_xlfn.MAXIFS(Sets!$H$2:$H$2000,Sets!$A$2:$A$2000,$A11,Sets!$D$2:$D$2000,C$1,Sets!$J$2:$J$2000,"N"))</f>
        <v/>
      </c>
      <c r="D11" s="4" t="str">
        <f aca="false">IF(_xlfn.MAXIFS(Sets!$H$2:$H$2000,Sets!$A$2:$A$2000,$A11,Sets!$D$2:$D$2000,D$1,Sets!$J$2:$J$2000,"N")=0,"",_xlfn.MAXIFS(Sets!$H$2:$H$2000,Sets!$A$2:$A$2000,$A11,Sets!$D$2:$D$2000,D$1,Sets!$J$2:$J$2000,"N"))</f>
        <v/>
      </c>
      <c r="E11" s="4" t="str">
        <f aca="false">IF(_xlfn.MAXIFS(Sets!$H$2:$H$2000,Sets!$A$2:$A$2000,$A11,Sets!$D$2:$D$2000,E$1,Sets!$J$2:$J$2000,"N")=0,"",_xlfn.MAXIFS(Sets!$H$2:$H$2000,Sets!$A$2:$A$2000,$A11,Sets!$D$2:$D$2000,E$1,Sets!$J$2:$J$2000,"N"))</f>
        <v/>
      </c>
      <c r="F11" s="4" t="str">
        <f aca="false">IF(_xlfn.MAXIFS(Sets!$H$2:$H$2000,Sets!$A$2:$A$2000,$A11,Sets!$D$2:$D$2000,F$1,Sets!$J$2:$J$2000,"N")=0,"",_xlfn.MAXIFS(Sets!$H$2:$H$2000,Sets!$A$2:$A$2000,$A11,Sets!$D$2:$D$2000,F$1,Sets!$J$2:$J$2000,"N"))</f>
        <v/>
      </c>
      <c r="G11" s="4" t="str">
        <f aca="false">IF(_xlfn.MAXIFS(Sets!$H$2:$H$2000,Sets!$A$2:$A$2000,$A11,Sets!$D$2:$D$2000,G$1,Sets!$J$2:$J$2000,"N")=0,"",_xlfn.MAXIFS(Sets!$H$2:$H$2000,Sets!$A$2:$A$2000,$A11,Sets!$D$2:$D$2000,G$1,Sets!$J$2:$J$2000,"N"))</f>
        <v/>
      </c>
      <c r="H11" s="4" t="str">
        <f aca="false">IF(_xlfn.MAXIFS(Sets!$H$2:$H$2000,Sets!$A$2:$A$2000,$A11,Sets!$D$2:$D$2000,H$1,Sets!$J$2:$J$2000,"N")=0,"",_xlfn.MAXIFS(Sets!$H$2:$H$2000,Sets!$A$2:$A$2000,$A11,Sets!$D$2:$D$2000,H$1,Sets!$J$2:$J$2000,"N"))</f>
        <v/>
      </c>
      <c r="I11" s="4" t="n">
        <f aca="false">IF(_xlfn.MAXIFS(Sets!$H$2:$H$2000,Sets!$A$2:$A$2000,$A11,Sets!$D$2:$D$2000,I$1,Sets!$J$2:$J$2000,"N")=0,"",_xlfn.MAXIFS(Sets!$H$2:$H$2000,Sets!$A$2:$A$2000,$A11,Sets!$D$2:$D$2000,I$1,Sets!$J$2:$J$2000,"N"))</f>
        <v>50</v>
      </c>
      <c r="J11" s="4" t="str">
        <f aca="false">IF(_xlfn.MAXIFS(Sets!$H$2:$H$2000,Sets!$A$2:$A$2000,$A11,Sets!$D$2:$D$2000,J$1,Sets!$J$2:$J$2000,"N")=0,"",_xlfn.MAXIFS(Sets!$H$2:$H$2000,Sets!$A$2:$A$2000,$A11,Sets!$D$2:$D$2000,J$1,Sets!$J$2:$J$2000,"N"))</f>
        <v/>
      </c>
      <c r="K11" s="4" t="str">
        <f aca="false">IF(_xlfn.MAXIFS(Sets!$H$2:$H$2000,Sets!$A$2:$A$2000,$A11,Sets!$D$2:$D$2000,K$1,Sets!$J$2:$J$2000,"N")=0,"",_xlfn.MAXIFS(Sets!$H$2:$H$2000,Sets!$A$2:$A$2000,$A11,Sets!$D$2:$D$2000,K$1,Sets!$J$2:$J$2000,"N"))</f>
        <v/>
      </c>
      <c r="L11" s="4" t="str">
        <f aca="false">IF(_xlfn.MAXIFS(Sets!$H$2:$H$2000,Sets!$A$2:$A$2000,$A11,Sets!$D$2:$D$2000,L$1,Sets!$J$2:$J$2000,"N")=0,"",_xlfn.MAXIFS(Sets!$H$2:$H$2000,Sets!$A$2:$A$2000,$A11,Sets!$D$2:$D$2000,L$1,Sets!$J$2:$J$2000,"N"))</f>
        <v/>
      </c>
      <c r="M11" s="4" t="n">
        <f aca="false">IF(_xlfn.MAXIFS(Sets!$H$2:$H$2000,Sets!$A$2:$A$2000,$A11,Sets!$D$2:$D$2000,M$1,Sets!$J$2:$J$2000,"N")=0,"",_xlfn.MAXIFS(Sets!$H$2:$H$2000,Sets!$A$2:$A$2000,$A11,Sets!$D$2:$D$2000,M$1,Sets!$J$2:$J$2000,"N"))</f>
        <v>50</v>
      </c>
      <c r="N11" s="4" t="n">
        <f aca="false">IF(_xlfn.MAXIFS(Sets!$H$2:$H$2000,Sets!$A$2:$A$2000,$A11,Sets!$D$2:$D$2000,N$1,Sets!$J$2:$J$2000,"N")=0,"",_xlfn.MAXIFS(Sets!$H$2:$H$2000,Sets!$A$2:$A$2000,$A11,Sets!$D$2:$D$2000,N$1,Sets!$J$2:$J$2000,"N"))</f>
        <v>35</v>
      </c>
      <c r="O11" s="4" t="str">
        <f aca="false">IF(_xlfn.MAXIFS(Sets!$H$2:$H$2000,Sets!$A$2:$A$2000,$A11,Sets!$D$2:$D$2000,O$1,Sets!$J$2:$J$2000,"N")=0,"",_xlfn.MAXIFS(Sets!$H$2:$H$2000,Sets!$A$2:$A$2000,$A11,Sets!$D$2:$D$2000,O$1,Sets!$J$2:$J$2000,"N"))</f>
        <v/>
      </c>
      <c r="P11" s="4" t="str">
        <f aca="false">IF(_xlfn.MAXIFS(Sets!$H$2:$H$2000,Sets!$A$2:$A$2000,$A11,Sets!$D$2:$D$2000,P$1,Sets!$J$2:$J$2000,"N")=0,"",_xlfn.MAXIFS(Sets!$H$2:$H$2000,Sets!$A$2:$A$2000,$A11,Sets!$D$2:$D$2000,P$1,Sets!$J$2:$J$2000,"N"))</f>
        <v/>
      </c>
      <c r="Q11" s="4" t="str">
        <f aca="false">IF(_xlfn.MAXIFS(Sets!$H$2:$H$2000,Sets!$A$2:$A$2000,$A11,Sets!$D$2:$D$2000,Q$1,Sets!$J$2:$J$2000,"N")=0,"",_xlfn.MAXIFS(Sets!$H$2:$H$2000,Sets!$A$2:$A$2000,$A11,Sets!$D$2:$D$2000,Q$1,Sets!$J$2:$J$2000,"N"))</f>
        <v/>
      </c>
      <c r="R11" s="4" t="str">
        <f aca="false">IF(_xlfn.MAXIFS(Sets!$H$2:$H$2000,Sets!$A$2:$A$2000,$A11,Sets!$D$2:$D$2000,R$1,Sets!$J$2:$J$2000,"N")=0,"",_xlfn.MAXIFS(Sets!$H$2:$H$2000,Sets!$A$2:$A$2000,$A11,Sets!$D$2:$D$2000,R$1,Sets!$J$2:$J$2000,"N"))</f>
        <v/>
      </c>
      <c r="S11" s="4" t="str">
        <f aca="false">IF(_xlfn.MAXIFS(Sets!$H$2:$H$2000,Sets!$A$2:$A$2000,$A11,Sets!$D$2:$D$2000,S$1,Sets!$J$2:$J$2000,"N")=0,"",_xlfn.MAXIFS(Sets!$H$2:$H$2000,Sets!$A$2:$A$2000,$A11,Sets!$D$2:$D$2000,S$1,Sets!$J$2:$J$2000,"N"))</f>
        <v/>
      </c>
      <c r="T11" s="4" t="str">
        <f aca="false">IF(_xlfn.MAXIFS(Sets!$H$2:$H$2000,Sets!$A$2:$A$2000,$A11,Sets!$D$2:$D$2000,T$1,Sets!$J$2:$J$2000,"N")=0,"",_xlfn.MAXIFS(Sets!$H$2:$H$2000,Sets!$A$2:$A$2000,$A11,Sets!$D$2:$D$2000,T$1,Sets!$J$2:$J$2000,"N"))</f>
        <v/>
      </c>
      <c r="U11" s="4" t="str">
        <f aca="false">IF(_xlfn.MAXIFS(Sets!$H$2:$H$2000,Sets!$A$2:$A$2000,$A11,Sets!$D$2:$D$2000,U$1,Sets!$J$2:$J$2000,"N")=0,"",_xlfn.MAXIFS(Sets!$H$2:$H$2000,Sets!$A$2:$A$2000,$A11,Sets!$D$2:$D$2000,U$1,Sets!$J$2:$J$2000,"N"))</f>
        <v/>
      </c>
      <c r="V11" s="4" t="str">
        <f aca="false">IF(_xlfn.MAXIFS(Sets!$H$2:$H$2000,Sets!$A$2:$A$2000,$A11,Sets!$D$2:$D$2000,V$1,Sets!$J$2:$J$2000,"N")=0,"",_xlfn.MAXIFS(Sets!$H$2:$H$2000,Sets!$A$2:$A$2000,$A11,Sets!$D$2:$D$2000,V$1,Sets!$J$2:$J$2000,"N"))</f>
        <v/>
      </c>
      <c r="W11" s="4" t="str">
        <f aca="false">IF(_xlfn.MAXIFS(Sets!$H$2:$H$2000,Sets!$A$2:$A$2000,$A11,Sets!$D$2:$D$2000,W$1,Sets!$J$2:$J$2000,"N")=0,"",_xlfn.MAXIFS(Sets!$H$2:$H$2000,Sets!$A$2:$A$2000,$A11,Sets!$D$2:$D$2000,W$1,Sets!$J$2:$J$2000,"N"))</f>
        <v/>
      </c>
      <c r="X11" s="4" t="str">
        <f aca="false">IF(_xlfn.MAXIFS(Sets!$H$2:$H$2000,Sets!$A$2:$A$2000,$A11,Sets!$D$2:$D$2000,X$1,Sets!$J$2:$J$2000,"N")=0,"",_xlfn.MAXIFS(Sets!$H$2:$H$2000,Sets!$A$2:$A$2000,$A11,Sets!$D$2:$D$2000,X$1,Sets!$J$2:$J$2000,"N"))</f>
        <v/>
      </c>
      <c r="Y11" s="4" t="str">
        <f aca="false">IF(_xlfn.MAXIFS(Sets!$H$2:$H$2000,Sets!$A$2:$A$2000,$A11,Sets!$D$2:$D$2000,Y$1,Sets!$J$2:$J$2000,"N")=0,"",_xlfn.MAXIFS(Sets!$H$2:$H$2000,Sets!$A$2:$A$2000,$A11,Sets!$D$2:$D$2000,Y$1,Sets!$J$2:$J$2000,"N"))</f>
        <v/>
      </c>
      <c r="Z11" s="4" t="str">
        <f aca="false">IF(_xlfn.MAXIFS(Sets!$H$2:$H$2000,Sets!$A$2:$A$2000,$A11,Sets!$D$2:$D$2000,Z$1,Sets!$J$2:$J$2000,"N")=0,"",_xlfn.MAXIFS(Sets!$H$2:$H$2000,Sets!$A$2:$A$2000,$A11,Sets!$D$2:$D$2000,Z$1,Sets!$J$2:$J$2000,"N"))</f>
        <v/>
      </c>
      <c r="AA11" s="4" t="str">
        <f aca="false">IF(_xlfn.MAXIFS(Sets!$H$2:$H$2000,Sets!$A$2:$A$2000,$A11,Sets!$D$2:$D$2000,AA$1,Sets!$J$2:$J$2000,"N")=0,"",_xlfn.MAXIFS(Sets!$H$2:$H$2000,Sets!$A$2:$A$2000,$A11,Sets!$D$2:$D$2000,AA$1,Sets!$J$2:$J$2000,"N"))</f>
        <v/>
      </c>
      <c r="AB11" s="4" t="str">
        <f aca="false">IF(_xlfn.MAXIFS(Sets!$H$2:$H$2000,Sets!$A$2:$A$2000,$A11,Sets!$D$2:$D$2000,AB$1,Sets!$J$2:$J$2000,"N")=0,"",_xlfn.MAXIFS(Sets!$H$2:$H$2000,Sets!$A$2:$A$2000,$A11,Sets!$D$2:$D$2000,AB$1,Sets!$J$2:$J$2000,"N"))</f>
        <v/>
      </c>
      <c r="AC11" s="4" t="str">
        <f aca="false">IF(_xlfn.MAXIFS(Sets!$H$2:$H$2000,Sets!$A$2:$A$2000,$A11,Sets!$D$2:$D$2000,AC$1,Sets!$J$2:$J$2000,"N")=0,"",_xlfn.MAXIFS(Sets!$H$2:$H$2000,Sets!$A$2:$A$2000,$A11,Sets!$D$2:$D$2000,AC$1,Sets!$J$2:$J$2000,"N"))</f>
        <v/>
      </c>
      <c r="AD11" s="4" t="str">
        <f aca="false">IF(_xlfn.MAXIFS(Sets!$H$2:$H$2000,Sets!$A$2:$A$2000,$A11,Sets!$D$2:$D$2000,AD$1,Sets!$J$2:$J$2000,"N")=0,"",_xlfn.MAXIFS(Sets!$H$2:$H$2000,Sets!$A$2:$A$2000,$A11,Sets!$D$2:$D$2000,AD$1,Sets!$J$2:$J$2000,"N"))</f>
        <v/>
      </c>
      <c r="AE11" s="4" t="str">
        <f aca="false">IF(_xlfn.MAXIFS(Sets!$H$2:$H$2000,Sets!$A$2:$A$2000,$A11,Sets!$D$2:$D$2000,AE$1,Sets!$J$2:$J$2000,"N")=0,"",_xlfn.MAXIFS(Sets!$H$2:$H$2000,Sets!$A$2:$A$2000,$A11,Sets!$D$2:$D$2000,AE$1,Sets!$J$2:$J$2000,"N"))</f>
        <v/>
      </c>
      <c r="AF11" s="4" t="str">
        <f aca="false">IF(_xlfn.MAXIFS(Sets!$H$2:$H$2000,Sets!$A$2:$A$2000,$A11,Sets!$D$2:$D$2000,AF$1,Sets!$J$2:$J$2000,"N")=0,"",_xlfn.MAXIFS(Sets!$H$2:$H$2000,Sets!$A$2:$A$2000,$A11,Sets!$D$2:$D$2000,AF$1,Sets!$J$2:$J$2000,"N"))</f>
        <v/>
      </c>
      <c r="AG11" s="4" t="str">
        <f aca="false">IF(_xlfn.MAXIFS(Sets!$H$2:$H$2000,Sets!$A$2:$A$2000,$A11,Sets!$D$2:$D$2000,AG$1,Sets!$J$2:$J$2000,"N")=0,"",_xlfn.MAXIFS(Sets!$H$2:$H$2000,Sets!$A$2:$A$2000,$A11,Sets!$D$2:$D$2000,AG$1,Sets!$J$2:$J$2000,"N"))</f>
        <v/>
      </c>
      <c r="AH11" s="4" t="str">
        <f aca="false">IF(_xlfn.MAXIFS(Sets!$H$2:$H$2000,Sets!$A$2:$A$2000,$A11,Sets!$D$2:$D$2000,AH$1,Sets!$J$2:$J$2000,"N")=0,"",_xlfn.MAXIFS(Sets!$H$2:$H$2000,Sets!$A$2:$A$2000,$A11,Sets!$D$2:$D$2000,AH$1,Sets!$J$2:$J$2000,"N"))</f>
        <v/>
      </c>
    </row>
    <row r="12" customFormat="false" ht="15" hidden="false" customHeight="false" outlineLevel="0" collapsed="false">
      <c r="A12" s="16" t="n">
        <v>46066</v>
      </c>
      <c r="B12" s="4" t="str">
        <f aca="false">IF(_xlfn.MAXIFS(Sets!$H$2:$H$2000,Sets!$A$2:$A$2000,$A12,Sets!$D$2:$D$2000,B$1,Sets!$J$2:$J$2000,"N")=0,"",_xlfn.MAXIFS(Sets!$H$2:$H$2000,Sets!$A$2:$A$2000,$A12,Sets!$D$2:$D$2000,B$1,Sets!$J$2:$J$2000,"N"))</f>
        <v/>
      </c>
      <c r="C12" s="4" t="str">
        <f aca="false">IF(_xlfn.MAXIFS(Sets!$H$2:$H$2000,Sets!$A$2:$A$2000,$A12,Sets!$D$2:$D$2000,C$1,Sets!$J$2:$J$2000,"N")=0,"",_xlfn.MAXIFS(Sets!$H$2:$H$2000,Sets!$A$2:$A$2000,$A12,Sets!$D$2:$D$2000,C$1,Sets!$J$2:$J$2000,"N"))</f>
        <v/>
      </c>
      <c r="D12" s="4" t="str">
        <f aca="false">IF(_xlfn.MAXIFS(Sets!$H$2:$H$2000,Sets!$A$2:$A$2000,$A12,Sets!$D$2:$D$2000,D$1,Sets!$J$2:$J$2000,"N")=0,"",_xlfn.MAXIFS(Sets!$H$2:$H$2000,Sets!$A$2:$A$2000,$A12,Sets!$D$2:$D$2000,D$1,Sets!$J$2:$J$2000,"N"))</f>
        <v/>
      </c>
      <c r="E12" s="4" t="str">
        <f aca="false">IF(_xlfn.MAXIFS(Sets!$H$2:$H$2000,Sets!$A$2:$A$2000,$A12,Sets!$D$2:$D$2000,E$1,Sets!$J$2:$J$2000,"N")=0,"",_xlfn.MAXIFS(Sets!$H$2:$H$2000,Sets!$A$2:$A$2000,$A12,Sets!$D$2:$D$2000,E$1,Sets!$J$2:$J$2000,"N"))</f>
        <v/>
      </c>
      <c r="F12" s="4" t="str">
        <f aca="false">IF(_xlfn.MAXIFS(Sets!$H$2:$H$2000,Sets!$A$2:$A$2000,$A12,Sets!$D$2:$D$2000,F$1,Sets!$J$2:$J$2000,"N")=0,"",_xlfn.MAXIFS(Sets!$H$2:$H$2000,Sets!$A$2:$A$2000,$A12,Sets!$D$2:$D$2000,F$1,Sets!$J$2:$J$2000,"N"))</f>
        <v/>
      </c>
      <c r="G12" s="4" t="str">
        <f aca="false">IF(_xlfn.MAXIFS(Sets!$H$2:$H$2000,Sets!$A$2:$A$2000,$A12,Sets!$D$2:$D$2000,G$1,Sets!$J$2:$J$2000,"N")=0,"",_xlfn.MAXIFS(Sets!$H$2:$H$2000,Sets!$A$2:$A$2000,$A12,Sets!$D$2:$D$2000,G$1,Sets!$J$2:$J$2000,"N"))</f>
        <v/>
      </c>
      <c r="H12" s="4" t="str">
        <f aca="false">IF(_xlfn.MAXIFS(Sets!$H$2:$H$2000,Sets!$A$2:$A$2000,$A12,Sets!$D$2:$D$2000,H$1,Sets!$J$2:$J$2000,"N")=0,"",_xlfn.MAXIFS(Sets!$H$2:$H$2000,Sets!$A$2:$A$2000,$A12,Sets!$D$2:$D$2000,H$1,Sets!$J$2:$J$2000,"N"))</f>
        <v/>
      </c>
      <c r="I12" s="4" t="str">
        <f aca="false">IF(_xlfn.MAXIFS(Sets!$H$2:$H$2000,Sets!$A$2:$A$2000,$A12,Sets!$D$2:$D$2000,I$1,Sets!$J$2:$J$2000,"N")=0,"",_xlfn.MAXIFS(Sets!$H$2:$H$2000,Sets!$A$2:$A$2000,$A12,Sets!$D$2:$D$2000,I$1,Sets!$J$2:$J$2000,"N"))</f>
        <v/>
      </c>
      <c r="J12" s="4" t="str">
        <f aca="false">IF(_xlfn.MAXIFS(Sets!$H$2:$H$2000,Sets!$A$2:$A$2000,$A12,Sets!$D$2:$D$2000,J$1,Sets!$J$2:$J$2000,"N")=0,"",_xlfn.MAXIFS(Sets!$H$2:$H$2000,Sets!$A$2:$A$2000,$A12,Sets!$D$2:$D$2000,J$1,Sets!$J$2:$J$2000,"N"))</f>
        <v/>
      </c>
      <c r="K12" s="4" t="str">
        <f aca="false">IF(_xlfn.MAXIFS(Sets!$H$2:$H$2000,Sets!$A$2:$A$2000,$A12,Sets!$D$2:$D$2000,K$1,Sets!$J$2:$J$2000,"N")=0,"",_xlfn.MAXIFS(Sets!$H$2:$H$2000,Sets!$A$2:$A$2000,$A12,Sets!$D$2:$D$2000,K$1,Sets!$J$2:$J$2000,"N"))</f>
        <v/>
      </c>
      <c r="L12" s="4" t="n">
        <f aca="false">IF(_xlfn.MAXIFS(Sets!$H$2:$H$2000,Sets!$A$2:$A$2000,$A12,Sets!$D$2:$D$2000,L$1,Sets!$J$2:$J$2000,"N")=0,"",_xlfn.MAXIFS(Sets!$H$2:$H$2000,Sets!$A$2:$A$2000,$A12,Sets!$D$2:$D$2000,L$1,Sets!$J$2:$J$2000,"N"))</f>
        <v>10</v>
      </c>
      <c r="M12" s="4" t="str">
        <f aca="false">IF(_xlfn.MAXIFS(Sets!$H$2:$H$2000,Sets!$A$2:$A$2000,$A12,Sets!$D$2:$D$2000,M$1,Sets!$J$2:$J$2000,"N")=0,"",_xlfn.MAXIFS(Sets!$H$2:$H$2000,Sets!$A$2:$A$2000,$A12,Sets!$D$2:$D$2000,M$1,Sets!$J$2:$J$2000,"N"))</f>
        <v/>
      </c>
      <c r="N12" s="4" t="str">
        <f aca="false">IF(_xlfn.MAXIFS(Sets!$H$2:$H$2000,Sets!$A$2:$A$2000,$A12,Sets!$D$2:$D$2000,N$1,Sets!$J$2:$J$2000,"N")=0,"",_xlfn.MAXIFS(Sets!$H$2:$H$2000,Sets!$A$2:$A$2000,$A12,Sets!$D$2:$D$2000,N$1,Sets!$J$2:$J$2000,"N"))</f>
        <v/>
      </c>
      <c r="O12" s="4" t="str">
        <f aca="false">IF(_xlfn.MAXIFS(Sets!$H$2:$H$2000,Sets!$A$2:$A$2000,$A12,Sets!$D$2:$D$2000,O$1,Sets!$J$2:$J$2000,"N")=0,"",_xlfn.MAXIFS(Sets!$H$2:$H$2000,Sets!$A$2:$A$2000,$A12,Sets!$D$2:$D$2000,O$1,Sets!$J$2:$J$2000,"N"))</f>
        <v/>
      </c>
      <c r="P12" s="4" t="str">
        <f aca="false">IF(_xlfn.MAXIFS(Sets!$H$2:$H$2000,Sets!$A$2:$A$2000,$A12,Sets!$D$2:$D$2000,P$1,Sets!$J$2:$J$2000,"N")=0,"",_xlfn.MAXIFS(Sets!$H$2:$H$2000,Sets!$A$2:$A$2000,$A12,Sets!$D$2:$D$2000,P$1,Sets!$J$2:$J$2000,"N"))</f>
        <v/>
      </c>
      <c r="Q12" s="4" t="str">
        <f aca="false">IF(_xlfn.MAXIFS(Sets!$H$2:$H$2000,Sets!$A$2:$A$2000,$A12,Sets!$D$2:$D$2000,Q$1,Sets!$J$2:$J$2000,"N")=0,"",_xlfn.MAXIFS(Sets!$H$2:$H$2000,Sets!$A$2:$A$2000,$A12,Sets!$D$2:$D$2000,Q$1,Sets!$J$2:$J$2000,"N"))</f>
        <v/>
      </c>
      <c r="R12" s="4" t="str">
        <f aca="false">IF(_xlfn.MAXIFS(Sets!$H$2:$H$2000,Sets!$A$2:$A$2000,$A12,Sets!$D$2:$D$2000,R$1,Sets!$J$2:$J$2000,"N")=0,"",_xlfn.MAXIFS(Sets!$H$2:$H$2000,Sets!$A$2:$A$2000,$A12,Sets!$D$2:$D$2000,R$1,Sets!$J$2:$J$2000,"N"))</f>
        <v/>
      </c>
      <c r="S12" s="4" t="str">
        <f aca="false">IF(_xlfn.MAXIFS(Sets!$H$2:$H$2000,Sets!$A$2:$A$2000,$A12,Sets!$D$2:$D$2000,S$1,Sets!$J$2:$J$2000,"N")=0,"",_xlfn.MAXIFS(Sets!$H$2:$H$2000,Sets!$A$2:$A$2000,$A12,Sets!$D$2:$D$2000,S$1,Sets!$J$2:$J$2000,"N"))</f>
        <v/>
      </c>
      <c r="T12" s="4" t="str">
        <f aca="false">IF(_xlfn.MAXIFS(Sets!$H$2:$H$2000,Sets!$A$2:$A$2000,$A12,Sets!$D$2:$D$2000,T$1,Sets!$J$2:$J$2000,"N")=0,"",_xlfn.MAXIFS(Sets!$H$2:$H$2000,Sets!$A$2:$A$2000,$A12,Sets!$D$2:$D$2000,T$1,Sets!$J$2:$J$2000,"N"))</f>
        <v/>
      </c>
      <c r="U12" s="4" t="str">
        <f aca="false">IF(_xlfn.MAXIFS(Sets!$H$2:$H$2000,Sets!$A$2:$A$2000,$A12,Sets!$D$2:$D$2000,U$1,Sets!$J$2:$J$2000,"N")=0,"",_xlfn.MAXIFS(Sets!$H$2:$H$2000,Sets!$A$2:$A$2000,$A12,Sets!$D$2:$D$2000,U$1,Sets!$J$2:$J$2000,"N"))</f>
        <v/>
      </c>
      <c r="V12" s="4" t="str">
        <f aca="false">IF(_xlfn.MAXIFS(Sets!$H$2:$H$2000,Sets!$A$2:$A$2000,$A12,Sets!$D$2:$D$2000,V$1,Sets!$J$2:$J$2000,"N")=0,"",_xlfn.MAXIFS(Sets!$H$2:$H$2000,Sets!$A$2:$A$2000,$A12,Sets!$D$2:$D$2000,V$1,Sets!$J$2:$J$2000,"N"))</f>
        <v/>
      </c>
      <c r="W12" s="4" t="str">
        <f aca="false">IF(_xlfn.MAXIFS(Sets!$H$2:$H$2000,Sets!$A$2:$A$2000,$A12,Sets!$D$2:$D$2000,W$1,Sets!$J$2:$J$2000,"N")=0,"",_xlfn.MAXIFS(Sets!$H$2:$H$2000,Sets!$A$2:$A$2000,$A12,Sets!$D$2:$D$2000,W$1,Sets!$J$2:$J$2000,"N"))</f>
        <v/>
      </c>
      <c r="X12" s="4" t="n">
        <f aca="false">IF(_xlfn.MAXIFS(Sets!$H$2:$H$2000,Sets!$A$2:$A$2000,$A12,Sets!$D$2:$D$2000,X$1,Sets!$J$2:$J$2000,"N")=0,"",_xlfn.MAXIFS(Sets!$H$2:$H$2000,Sets!$A$2:$A$2000,$A12,Sets!$D$2:$D$2000,X$1,Sets!$J$2:$J$2000,"N"))</f>
        <v>55</v>
      </c>
      <c r="Y12" s="4" t="str">
        <f aca="false">IF(_xlfn.MAXIFS(Sets!$H$2:$H$2000,Sets!$A$2:$A$2000,$A12,Sets!$D$2:$D$2000,Y$1,Sets!$J$2:$J$2000,"N")=0,"",_xlfn.MAXIFS(Sets!$H$2:$H$2000,Sets!$A$2:$A$2000,$A12,Sets!$D$2:$D$2000,Y$1,Sets!$J$2:$J$2000,"N"))</f>
        <v/>
      </c>
      <c r="Z12" s="4" t="str">
        <f aca="false">IF(_xlfn.MAXIFS(Sets!$H$2:$H$2000,Sets!$A$2:$A$2000,$A12,Sets!$D$2:$D$2000,Z$1,Sets!$J$2:$J$2000,"N")=0,"",_xlfn.MAXIFS(Sets!$H$2:$H$2000,Sets!$A$2:$A$2000,$A12,Sets!$D$2:$D$2000,Z$1,Sets!$J$2:$J$2000,"N"))</f>
        <v/>
      </c>
      <c r="AA12" s="4" t="str">
        <f aca="false">IF(_xlfn.MAXIFS(Sets!$H$2:$H$2000,Sets!$A$2:$A$2000,$A12,Sets!$D$2:$D$2000,AA$1,Sets!$J$2:$J$2000,"N")=0,"",_xlfn.MAXIFS(Sets!$H$2:$H$2000,Sets!$A$2:$A$2000,$A12,Sets!$D$2:$D$2000,AA$1,Sets!$J$2:$J$2000,"N"))</f>
        <v/>
      </c>
      <c r="AB12" s="4" t="str">
        <f aca="false">IF(_xlfn.MAXIFS(Sets!$H$2:$H$2000,Sets!$A$2:$A$2000,$A12,Sets!$D$2:$D$2000,AB$1,Sets!$J$2:$J$2000,"N")=0,"",_xlfn.MAXIFS(Sets!$H$2:$H$2000,Sets!$A$2:$A$2000,$A12,Sets!$D$2:$D$2000,AB$1,Sets!$J$2:$J$2000,"N"))</f>
        <v/>
      </c>
      <c r="AC12" s="4" t="str">
        <f aca="false">IF(_xlfn.MAXIFS(Sets!$H$2:$H$2000,Sets!$A$2:$A$2000,$A12,Sets!$D$2:$D$2000,AC$1,Sets!$J$2:$J$2000,"N")=0,"",_xlfn.MAXIFS(Sets!$H$2:$H$2000,Sets!$A$2:$A$2000,$A12,Sets!$D$2:$D$2000,AC$1,Sets!$J$2:$J$2000,"N"))</f>
        <v/>
      </c>
      <c r="AD12" s="4" t="str">
        <f aca="false">IF(_xlfn.MAXIFS(Sets!$H$2:$H$2000,Sets!$A$2:$A$2000,$A12,Sets!$D$2:$D$2000,AD$1,Sets!$J$2:$J$2000,"N")=0,"",_xlfn.MAXIFS(Sets!$H$2:$H$2000,Sets!$A$2:$A$2000,$A12,Sets!$D$2:$D$2000,AD$1,Sets!$J$2:$J$2000,"N"))</f>
        <v/>
      </c>
      <c r="AE12" s="4" t="n">
        <f aca="false">IF(_xlfn.MAXIFS(Sets!$H$2:$H$2000,Sets!$A$2:$A$2000,$A12,Sets!$D$2:$D$2000,AE$1,Sets!$J$2:$J$2000,"N")=0,"",_xlfn.MAXIFS(Sets!$H$2:$H$2000,Sets!$A$2:$A$2000,$A12,Sets!$D$2:$D$2000,AE$1,Sets!$J$2:$J$2000,"N"))</f>
        <v>100</v>
      </c>
      <c r="AF12" s="4" t="n">
        <f aca="false">IF(_xlfn.MAXIFS(Sets!$H$2:$H$2000,Sets!$A$2:$A$2000,$A12,Sets!$D$2:$D$2000,AF$1,Sets!$J$2:$J$2000,"N")=0,"",_xlfn.MAXIFS(Sets!$H$2:$H$2000,Sets!$A$2:$A$2000,$A12,Sets!$D$2:$D$2000,AF$1,Sets!$J$2:$J$2000,"N"))</f>
        <v>65</v>
      </c>
      <c r="AG12" s="4" t="str">
        <f aca="false">IF(_xlfn.MAXIFS(Sets!$H$2:$H$2000,Sets!$A$2:$A$2000,$A12,Sets!$D$2:$D$2000,AG$1,Sets!$J$2:$J$2000,"N")=0,"",_xlfn.MAXIFS(Sets!$H$2:$H$2000,Sets!$A$2:$A$2000,$A12,Sets!$D$2:$D$2000,AG$1,Sets!$J$2:$J$2000,"N"))</f>
        <v/>
      </c>
      <c r="AH12" s="4" t="str">
        <f aca="false">IF(_xlfn.MAXIFS(Sets!$H$2:$H$2000,Sets!$A$2:$A$2000,$A12,Sets!$D$2:$D$2000,AH$1,Sets!$J$2:$J$2000,"N")=0,"",_xlfn.MAXIFS(Sets!$H$2:$H$2000,Sets!$A$2:$A$2000,$A12,Sets!$D$2:$D$2000,AH$1,Sets!$J$2:$J$2000,"N"))</f>
        <v/>
      </c>
    </row>
    <row r="13" customFormat="false" ht="15" hidden="false" customHeight="false" outlineLevel="0" collapsed="false">
      <c r="A13" s="16" t="n">
        <v>46068</v>
      </c>
      <c r="B13" s="4" t="str">
        <f aca="false">IF(_xlfn.MAXIFS(Sets!$H$2:$H$2000,Sets!$A$2:$A$2000,$A13,Sets!$D$2:$D$2000,B$1,Sets!$J$2:$J$2000,"N")=0,"",_xlfn.MAXIFS(Sets!$H$2:$H$2000,Sets!$A$2:$A$2000,$A13,Sets!$D$2:$D$2000,B$1,Sets!$J$2:$J$2000,"N"))</f>
        <v/>
      </c>
      <c r="C13" s="4" t="str">
        <f aca="false">IF(_xlfn.MAXIFS(Sets!$H$2:$H$2000,Sets!$A$2:$A$2000,$A13,Sets!$D$2:$D$2000,C$1,Sets!$J$2:$J$2000,"N")=0,"",_xlfn.MAXIFS(Sets!$H$2:$H$2000,Sets!$A$2:$A$2000,$A13,Sets!$D$2:$D$2000,C$1,Sets!$J$2:$J$2000,"N"))</f>
        <v/>
      </c>
      <c r="D13" s="4" t="str">
        <f aca="false">IF(_xlfn.MAXIFS(Sets!$H$2:$H$2000,Sets!$A$2:$A$2000,$A13,Sets!$D$2:$D$2000,D$1,Sets!$J$2:$J$2000,"N")=0,"",_xlfn.MAXIFS(Sets!$H$2:$H$2000,Sets!$A$2:$A$2000,$A13,Sets!$D$2:$D$2000,D$1,Sets!$J$2:$J$2000,"N"))</f>
        <v/>
      </c>
      <c r="E13" s="4" t="str">
        <f aca="false">IF(_xlfn.MAXIFS(Sets!$H$2:$H$2000,Sets!$A$2:$A$2000,$A13,Sets!$D$2:$D$2000,E$1,Sets!$J$2:$J$2000,"N")=0,"",_xlfn.MAXIFS(Sets!$H$2:$H$2000,Sets!$A$2:$A$2000,$A13,Sets!$D$2:$D$2000,E$1,Sets!$J$2:$J$2000,"N"))</f>
        <v/>
      </c>
      <c r="F13" s="4" t="str">
        <f aca="false">IF(_xlfn.MAXIFS(Sets!$H$2:$H$2000,Sets!$A$2:$A$2000,$A13,Sets!$D$2:$D$2000,F$1,Sets!$J$2:$J$2000,"N")=0,"",_xlfn.MAXIFS(Sets!$H$2:$H$2000,Sets!$A$2:$A$2000,$A13,Sets!$D$2:$D$2000,F$1,Sets!$J$2:$J$2000,"N"))</f>
        <v/>
      </c>
      <c r="G13" s="4" t="str">
        <f aca="false">IF(_xlfn.MAXIFS(Sets!$H$2:$H$2000,Sets!$A$2:$A$2000,$A13,Sets!$D$2:$D$2000,G$1,Sets!$J$2:$J$2000,"N")=0,"",_xlfn.MAXIFS(Sets!$H$2:$H$2000,Sets!$A$2:$A$2000,$A13,Sets!$D$2:$D$2000,G$1,Sets!$J$2:$J$2000,"N"))</f>
        <v/>
      </c>
      <c r="H13" s="4" t="str">
        <f aca="false">IF(_xlfn.MAXIFS(Sets!$H$2:$H$2000,Sets!$A$2:$A$2000,$A13,Sets!$D$2:$D$2000,H$1,Sets!$J$2:$J$2000,"N")=0,"",_xlfn.MAXIFS(Sets!$H$2:$H$2000,Sets!$A$2:$A$2000,$A13,Sets!$D$2:$D$2000,H$1,Sets!$J$2:$J$2000,"N"))</f>
        <v/>
      </c>
      <c r="I13" s="4" t="str">
        <f aca="false">IF(_xlfn.MAXIFS(Sets!$H$2:$H$2000,Sets!$A$2:$A$2000,$A13,Sets!$D$2:$D$2000,I$1,Sets!$J$2:$J$2000,"N")=0,"",_xlfn.MAXIFS(Sets!$H$2:$H$2000,Sets!$A$2:$A$2000,$A13,Sets!$D$2:$D$2000,I$1,Sets!$J$2:$J$2000,"N"))</f>
        <v/>
      </c>
      <c r="J13" s="4" t="str">
        <f aca="false">IF(_xlfn.MAXIFS(Sets!$H$2:$H$2000,Sets!$A$2:$A$2000,$A13,Sets!$D$2:$D$2000,J$1,Sets!$J$2:$J$2000,"N")=0,"",_xlfn.MAXIFS(Sets!$H$2:$H$2000,Sets!$A$2:$A$2000,$A13,Sets!$D$2:$D$2000,J$1,Sets!$J$2:$J$2000,"N"))</f>
        <v/>
      </c>
      <c r="K13" s="4" t="str">
        <f aca="false">IF(_xlfn.MAXIFS(Sets!$H$2:$H$2000,Sets!$A$2:$A$2000,$A13,Sets!$D$2:$D$2000,K$1,Sets!$J$2:$J$2000,"N")=0,"",_xlfn.MAXIFS(Sets!$H$2:$H$2000,Sets!$A$2:$A$2000,$A13,Sets!$D$2:$D$2000,K$1,Sets!$J$2:$J$2000,"N"))</f>
        <v/>
      </c>
      <c r="L13" s="4" t="str">
        <f aca="false">IF(_xlfn.MAXIFS(Sets!$H$2:$H$2000,Sets!$A$2:$A$2000,$A13,Sets!$D$2:$D$2000,L$1,Sets!$J$2:$J$2000,"N")=0,"",_xlfn.MAXIFS(Sets!$H$2:$H$2000,Sets!$A$2:$A$2000,$A13,Sets!$D$2:$D$2000,L$1,Sets!$J$2:$J$2000,"N"))</f>
        <v/>
      </c>
      <c r="M13" s="4" t="str">
        <f aca="false">IF(_xlfn.MAXIFS(Sets!$H$2:$H$2000,Sets!$A$2:$A$2000,$A13,Sets!$D$2:$D$2000,M$1,Sets!$J$2:$J$2000,"N")=0,"",_xlfn.MAXIFS(Sets!$H$2:$H$2000,Sets!$A$2:$A$2000,$A13,Sets!$D$2:$D$2000,M$1,Sets!$J$2:$J$2000,"N"))</f>
        <v/>
      </c>
      <c r="N13" s="4" t="str">
        <f aca="false">IF(_xlfn.MAXIFS(Sets!$H$2:$H$2000,Sets!$A$2:$A$2000,$A13,Sets!$D$2:$D$2000,N$1,Sets!$J$2:$J$2000,"N")=0,"",_xlfn.MAXIFS(Sets!$H$2:$H$2000,Sets!$A$2:$A$2000,$A13,Sets!$D$2:$D$2000,N$1,Sets!$J$2:$J$2000,"N"))</f>
        <v/>
      </c>
      <c r="O13" s="4" t="str">
        <f aca="false">IF(_xlfn.MAXIFS(Sets!$H$2:$H$2000,Sets!$A$2:$A$2000,$A13,Sets!$D$2:$D$2000,O$1,Sets!$J$2:$J$2000,"N")=0,"",_xlfn.MAXIFS(Sets!$H$2:$H$2000,Sets!$A$2:$A$2000,$A13,Sets!$D$2:$D$2000,O$1,Sets!$J$2:$J$2000,"N"))</f>
        <v/>
      </c>
      <c r="P13" s="4" t="str">
        <f aca="false">IF(_xlfn.MAXIFS(Sets!$H$2:$H$2000,Sets!$A$2:$A$2000,$A13,Sets!$D$2:$D$2000,P$1,Sets!$J$2:$J$2000,"N")=0,"",_xlfn.MAXIFS(Sets!$H$2:$H$2000,Sets!$A$2:$A$2000,$A13,Sets!$D$2:$D$2000,P$1,Sets!$J$2:$J$2000,"N"))</f>
        <v/>
      </c>
      <c r="Q13" s="4" t="str">
        <f aca="false">IF(_xlfn.MAXIFS(Sets!$H$2:$H$2000,Sets!$A$2:$A$2000,$A13,Sets!$D$2:$D$2000,Q$1,Sets!$J$2:$J$2000,"N")=0,"",_xlfn.MAXIFS(Sets!$H$2:$H$2000,Sets!$A$2:$A$2000,$A13,Sets!$D$2:$D$2000,Q$1,Sets!$J$2:$J$2000,"N"))</f>
        <v/>
      </c>
      <c r="R13" s="4" t="str">
        <f aca="false">IF(_xlfn.MAXIFS(Sets!$H$2:$H$2000,Sets!$A$2:$A$2000,$A13,Sets!$D$2:$D$2000,R$1,Sets!$J$2:$J$2000,"N")=0,"",_xlfn.MAXIFS(Sets!$H$2:$H$2000,Sets!$A$2:$A$2000,$A13,Sets!$D$2:$D$2000,R$1,Sets!$J$2:$J$2000,"N"))</f>
        <v/>
      </c>
      <c r="S13" s="4" t="str">
        <f aca="false">IF(_xlfn.MAXIFS(Sets!$H$2:$H$2000,Sets!$A$2:$A$2000,$A13,Sets!$D$2:$D$2000,S$1,Sets!$J$2:$J$2000,"N")=0,"",_xlfn.MAXIFS(Sets!$H$2:$H$2000,Sets!$A$2:$A$2000,$A13,Sets!$D$2:$D$2000,S$1,Sets!$J$2:$J$2000,"N"))</f>
        <v/>
      </c>
      <c r="T13" s="4" t="n">
        <f aca="false">IF(_xlfn.MAXIFS(Sets!$H$2:$H$2000,Sets!$A$2:$A$2000,$A13,Sets!$D$2:$D$2000,T$1,Sets!$J$2:$J$2000,"N")=0,"",_xlfn.MAXIFS(Sets!$H$2:$H$2000,Sets!$A$2:$A$2000,$A13,Sets!$D$2:$D$2000,T$1,Sets!$J$2:$J$2000,"N"))</f>
        <v>85</v>
      </c>
      <c r="U13" s="4" t="str">
        <f aca="false">IF(_xlfn.MAXIFS(Sets!$H$2:$H$2000,Sets!$A$2:$A$2000,$A13,Sets!$D$2:$D$2000,U$1,Sets!$J$2:$J$2000,"N")=0,"",_xlfn.MAXIFS(Sets!$H$2:$H$2000,Sets!$A$2:$A$2000,$A13,Sets!$D$2:$D$2000,U$1,Sets!$J$2:$J$2000,"N"))</f>
        <v/>
      </c>
      <c r="V13" s="4" t="str">
        <f aca="false">IF(_xlfn.MAXIFS(Sets!$H$2:$H$2000,Sets!$A$2:$A$2000,$A13,Sets!$D$2:$D$2000,V$1,Sets!$J$2:$J$2000,"N")=0,"",_xlfn.MAXIFS(Sets!$H$2:$H$2000,Sets!$A$2:$A$2000,$A13,Sets!$D$2:$D$2000,V$1,Sets!$J$2:$J$2000,"N"))</f>
        <v/>
      </c>
      <c r="W13" s="4" t="str">
        <f aca="false">IF(_xlfn.MAXIFS(Sets!$H$2:$H$2000,Sets!$A$2:$A$2000,$A13,Sets!$D$2:$D$2000,W$1,Sets!$J$2:$J$2000,"N")=0,"",_xlfn.MAXIFS(Sets!$H$2:$H$2000,Sets!$A$2:$A$2000,$A13,Sets!$D$2:$D$2000,W$1,Sets!$J$2:$J$2000,"N"))</f>
        <v/>
      </c>
      <c r="X13" s="4" t="str">
        <f aca="false">IF(_xlfn.MAXIFS(Sets!$H$2:$H$2000,Sets!$A$2:$A$2000,$A13,Sets!$D$2:$D$2000,X$1,Sets!$J$2:$J$2000,"N")=0,"",_xlfn.MAXIFS(Sets!$H$2:$H$2000,Sets!$A$2:$A$2000,$A13,Sets!$D$2:$D$2000,X$1,Sets!$J$2:$J$2000,"N"))</f>
        <v/>
      </c>
      <c r="Y13" s="4" t="str">
        <f aca="false">IF(_xlfn.MAXIFS(Sets!$H$2:$H$2000,Sets!$A$2:$A$2000,$A13,Sets!$D$2:$D$2000,Y$1,Sets!$J$2:$J$2000,"N")=0,"",_xlfn.MAXIFS(Sets!$H$2:$H$2000,Sets!$A$2:$A$2000,$A13,Sets!$D$2:$D$2000,Y$1,Sets!$J$2:$J$2000,"N"))</f>
        <v/>
      </c>
      <c r="Z13" s="4" t="n">
        <f aca="false">IF(_xlfn.MAXIFS(Sets!$H$2:$H$2000,Sets!$A$2:$A$2000,$A13,Sets!$D$2:$D$2000,Z$1,Sets!$J$2:$J$2000,"N")=0,"",_xlfn.MAXIFS(Sets!$H$2:$H$2000,Sets!$A$2:$A$2000,$A13,Sets!$D$2:$D$2000,Z$1,Sets!$J$2:$J$2000,"N"))</f>
        <v>70</v>
      </c>
      <c r="AA13" s="4" t="str">
        <f aca="false">IF(_xlfn.MAXIFS(Sets!$H$2:$H$2000,Sets!$A$2:$A$2000,$A13,Sets!$D$2:$D$2000,AA$1,Sets!$J$2:$J$2000,"N")=0,"",_xlfn.MAXIFS(Sets!$H$2:$H$2000,Sets!$A$2:$A$2000,$A13,Sets!$D$2:$D$2000,AA$1,Sets!$J$2:$J$2000,"N"))</f>
        <v/>
      </c>
      <c r="AB13" s="4" t="str">
        <f aca="false">IF(_xlfn.MAXIFS(Sets!$H$2:$H$2000,Sets!$A$2:$A$2000,$A13,Sets!$D$2:$D$2000,AB$1,Sets!$J$2:$J$2000,"N")=0,"",_xlfn.MAXIFS(Sets!$H$2:$H$2000,Sets!$A$2:$A$2000,$A13,Sets!$D$2:$D$2000,AB$1,Sets!$J$2:$J$2000,"N"))</f>
        <v/>
      </c>
      <c r="AC13" s="4" t="str">
        <f aca="false">IF(_xlfn.MAXIFS(Sets!$H$2:$H$2000,Sets!$A$2:$A$2000,$A13,Sets!$D$2:$D$2000,AC$1,Sets!$J$2:$J$2000,"N")=0,"",_xlfn.MAXIFS(Sets!$H$2:$H$2000,Sets!$A$2:$A$2000,$A13,Sets!$D$2:$D$2000,AC$1,Sets!$J$2:$J$2000,"N"))</f>
        <v/>
      </c>
      <c r="AD13" s="4" t="str">
        <f aca="false">IF(_xlfn.MAXIFS(Sets!$H$2:$H$2000,Sets!$A$2:$A$2000,$A13,Sets!$D$2:$D$2000,AD$1,Sets!$J$2:$J$2000,"N")=0,"",_xlfn.MAXIFS(Sets!$H$2:$H$2000,Sets!$A$2:$A$2000,$A13,Sets!$D$2:$D$2000,AD$1,Sets!$J$2:$J$2000,"N"))</f>
        <v/>
      </c>
      <c r="AE13" s="4" t="str">
        <f aca="false">IF(_xlfn.MAXIFS(Sets!$H$2:$H$2000,Sets!$A$2:$A$2000,$A13,Sets!$D$2:$D$2000,AE$1,Sets!$J$2:$J$2000,"N")=0,"",_xlfn.MAXIFS(Sets!$H$2:$H$2000,Sets!$A$2:$A$2000,$A13,Sets!$D$2:$D$2000,AE$1,Sets!$J$2:$J$2000,"N"))</f>
        <v/>
      </c>
      <c r="AF13" s="4" t="str">
        <f aca="false">IF(_xlfn.MAXIFS(Sets!$H$2:$H$2000,Sets!$A$2:$A$2000,$A13,Sets!$D$2:$D$2000,AF$1,Sets!$J$2:$J$2000,"N")=0,"",_xlfn.MAXIFS(Sets!$H$2:$H$2000,Sets!$A$2:$A$2000,$A13,Sets!$D$2:$D$2000,AF$1,Sets!$J$2:$J$2000,"N"))</f>
        <v/>
      </c>
      <c r="AG13" s="4" t="str">
        <f aca="false">IF(_xlfn.MAXIFS(Sets!$H$2:$H$2000,Sets!$A$2:$A$2000,$A13,Sets!$D$2:$D$2000,AG$1,Sets!$J$2:$J$2000,"N")=0,"",_xlfn.MAXIFS(Sets!$H$2:$H$2000,Sets!$A$2:$A$2000,$A13,Sets!$D$2:$D$2000,AG$1,Sets!$J$2:$J$2000,"N"))</f>
        <v/>
      </c>
      <c r="AH13" s="4" t="str">
        <f aca="false">IF(_xlfn.MAXIFS(Sets!$H$2:$H$2000,Sets!$A$2:$A$2000,$A13,Sets!$D$2:$D$2000,AH$1,Sets!$J$2:$J$2000,"N")=0,"",_xlfn.MAXIFS(Sets!$H$2:$H$2000,Sets!$A$2:$A$2000,$A13,Sets!$D$2:$D$2000,AH$1,Sets!$J$2:$J$2000,"N"))</f>
        <v/>
      </c>
    </row>
    <row r="14" customFormat="false" ht="15" hidden="false" customHeight="false" outlineLevel="0" collapsed="false">
      <c r="A14" s="16" t="n">
        <v>46070</v>
      </c>
      <c r="B14" s="4" t="str">
        <f aca="false">IF(_xlfn.MAXIFS(Sets!$H$2:$H$2000,Sets!$A$2:$A$2000,$A14,Sets!$D$2:$D$2000,B$1,Sets!$J$2:$J$2000,"N")=0,"",_xlfn.MAXIFS(Sets!$H$2:$H$2000,Sets!$A$2:$A$2000,$A14,Sets!$D$2:$D$2000,B$1,Sets!$J$2:$J$2000,"N"))</f>
        <v/>
      </c>
      <c r="C14" s="4" t="str">
        <f aca="false">IF(_xlfn.MAXIFS(Sets!$H$2:$H$2000,Sets!$A$2:$A$2000,$A14,Sets!$D$2:$D$2000,C$1,Sets!$J$2:$J$2000,"N")=0,"",_xlfn.MAXIFS(Sets!$H$2:$H$2000,Sets!$A$2:$A$2000,$A14,Sets!$D$2:$D$2000,C$1,Sets!$J$2:$J$2000,"N"))</f>
        <v/>
      </c>
      <c r="D14" s="4" t="str">
        <f aca="false">IF(_xlfn.MAXIFS(Sets!$H$2:$H$2000,Sets!$A$2:$A$2000,$A14,Sets!$D$2:$D$2000,D$1,Sets!$J$2:$J$2000,"N")=0,"",_xlfn.MAXIFS(Sets!$H$2:$H$2000,Sets!$A$2:$A$2000,$A14,Sets!$D$2:$D$2000,D$1,Sets!$J$2:$J$2000,"N"))</f>
        <v/>
      </c>
      <c r="E14" s="4" t="str">
        <f aca="false">IF(_xlfn.MAXIFS(Sets!$H$2:$H$2000,Sets!$A$2:$A$2000,$A14,Sets!$D$2:$D$2000,E$1,Sets!$J$2:$J$2000,"N")=0,"",_xlfn.MAXIFS(Sets!$H$2:$H$2000,Sets!$A$2:$A$2000,$A14,Sets!$D$2:$D$2000,E$1,Sets!$J$2:$J$2000,"N"))</f>
        <v/>
      </c>
      <c r="F14" s="4" t="str">
        <f aca="false">IF(_xlfn.MAXIFS(Sets!$H$2:$H$2000,Sets!$A$2:$A$2000,$A14,Sets!$D$2:$D$2000,F$1,Sets!$J$2:$J$2000,"N")=0,"",_xlfn.MAXIFS(Sets!$H$2:$H$2000,Sets!$A$2:$A$2000,$A14,Sets!$D$2:$D$2000,F$1,Sets!$J$2:$J$2000,"N"))</f>
        <v/>
      </c>
      <c r="G14" s="4" t="str">
        <f aca="false">IF(_xlfn.MAXIFS(Sets!$H$2:$H$2000,Sets!$A$2:$A$2000,$A14,Sets!$D$2:$D$2000,G$1,Sets!$J$2:$J$2000,"N")=0,"",_xlfn.MAXIFS(Sets!$H$2:$H$2000,Sets!$A$2:$A$2000,$A14,Sets!$D$2:$D$2000,G$1,Sets!$J$2:$J$2000,"N"))</f>
        <v/>
      </c>
      <c r="H14" s="4" t="str">
        <f aca="false">IF(_xlfn.MAXIFS(Sets!$H$2:$H$2000,Sets!$A$2:$A$2000,$A14,Sets!$D$2:$D$2000,H$1,Sets!$J$2:$J$2000,"N")=0,"",_xlfn.MAXIFS(Sets!$H$2:$H$2000,Sets!$A$2:$A$2000,$A14,Sets!$D$2:$D$2000,H$1,Sets!$J$2:$J$2000,"N"))</f>
        <v/>
      </c>
      <c r="I14" s="4" t="n">
        <f aca="false">IF(_xlfn.MAXIFS(Sets!$H$2:$H$2000,Sets!$A$2:$A$2000,$A14,Sets!$D$2:$D$2000,I$1,Sets!$J$2:$J$2000,"N")=0,"",_xlfn.MAXIFS(Sets!$H$2:$H$2000,Sets!$A$2:$A$2000,$A14,Sets!$D$2:$D$2000,I$1,Sets!$J$2:$J$2000,"N"))</f>
        <v>55</v>
      </c>
      <c r="J14" s="4" t="str">
        <f aca="false">IF(_xlfn.MAXIFS(Sets!$H$2:$H$2000,Sets!$A$2:$A$2000,$A14,Sets!$D$2:$D$2000,J$1,Sets!$J$2:$J$2000,"N")=0,"",_xlfn.MAXIFS(Sets!$H$2:$H$2000,Sets!$A$2:$A$2000,$A14,Sets!$D$2:$D$2000,J$1,Sets!$J$2:$J$2000,"N"))</f>
        <v/>
      </c>
      <c r="K14" s="4" t="str">
        <f aca="false">IF(_xlfn.MAXIFS(Sets!$H$2:$H$2000,Sets!$A$2:$A$2000,$A14,Sets!$D$2:$D$2000,K$1,Sets!$J$2:$J$2000,"N")=0,"",_xlfn.MAXIFS(Sets!$H$2:$H$2000,Sets!$A$2:$A$2000,$A14,Sets!$D$2:$D$2000,K$1,Sets!$J$2:$J$2000,"N"))</f>
        <v/>
      </c>
      <c r="L14" s="4" t="str">
        <f aca="false">IF(_xlfn.MAXIFS(Sets!$H$2:$H$2000,Sets!$A$2:$A$2000,$A14,Sets!$D$2:$D$2000,L$1,Sets!$J$2:$J$2000,"N")=0,"",_xlfn.MAXIFS(Sets!$H$2:$H$2000,Sets!$A$2:$A$2000,$A14,Sets!$D$2:$D$2000,L$1,Sets!$J$2:$J$2000,"N"))</f>
        <v/>
      </c>
      <c r="M14" s="4" t="n">
        <f aca="false">IF(_xlfn.MAXIFS(Sets!$H$2:$H$2000,Sets!$A$2:$A$2000,$A14,Sets!$D$2:$D$2000,M$1,Sets!$J$2:$J$2000,"N")=0,"",_xlfn.MAXIFS(Sets!$H$2:$H$2000,Sets!$A$2:$A$2000,$A14,Sets!$D$2:$D$2000,M$1,Sets!$J$2:$J$2000,"N"))</f>
        <v>50</v>
      </c>
      <c r="N14" s="4" t="str">
        <f aca="false">IF(_xlfn.MAXIFS(Sets!$H$2:$H$2000,Sets!$A$2:$A$2000,$A14,Sets!$D$2:$D$2000,N$1,Sets!$J$2:$J$2000,"N")=0,"",_xlfn.MAXIFS(Sets!$H$2:$H$2000,Sets!$A$2:$A$2000,$A14,Sets!$D$2:$D$2000,N$1,Sets!$J$2:$J$2000,"N"))</f>
        <v/>
      </c>
      <c r="O14" s="4" t="str">
        <f aca="false">IF(_xlfn.MAXIFS(Sets!$H$2:$H$2000,Sets!$A$2:$A$2000,$A14,Sets!$D$2:$D$2000,O$1,Sets!$J$2:$J$2000,"N")=0,"",_xlfn.MAXIFS(Sets!$H$2:$H$2000,Sets!$A$2:$A$2000,$A14,Sets!$D$2:$D$2000,O$1,Sets!$J$2:$J$2000,"N"))</f>
        <v/>
      </c>
      <c r="P14" s="4" t="str">
        <f aca="false">IF(_xlfn.MAXIFS(Sets!$H$2:$H$2000,Sets!$A$2:$A$2000,$A14,Sets!$D$2:$D$2000,P$1,Sets!$J$2:$J$2000,"N")=0,"",_xlfn.MAXIFS(Sets!$H$2:$H$2000,Sets!$A$2:$A$2000,$A14,Sets!$D$2:$D$2000,P$1,Sets!$J$2:$J$2000,"N"))</f>
        <v/>
      </c>
      <c r="Q14" s="4" t="str">
        <f aca="false">IF(_xlfn.MAXIFS(Sets!$H$2:$H$2000,Sets!$A$2:$A$2000,$A14,Sets!$D$2:$D$2000,Q$1,Sets!$J$2:$J$2000,"N")=0,"",_xlfn.MAXIFS(Sets!$H$2:$H$2000,Sets!$A$2:$A$2000,$A14,Sets!$D$2:$D$2000,Q$1,Sets!$J$2:$J$2000,"N"))</f>
        <v/>
      </c>
      <c r="R14" s="4" t="str">
        <f aca="false">IF(_xlfn.MAXIFS(Sets!$H$2:$H$2000,Sets!$A$2:$A$2000,$A14,Sets!$D$2:$D$2000,R$1,Sets!$J$2:$J$2000,"N")=0,"",_xlfn.MAXIFS(Sets!$H$2:$H$2000,Sets!$A$2:$A$2000,$A14,Sets!$D$2:$D$2000,R$1,Sets!$J$2:$J$2000,"N"))</f>
        <v/>
      </c>
      <c r="S14" s="4" t="str">
        <f aca="false">IF(_xlfn.MAXIFS(Sets!$H$2:$H$2000,Sets!$A$2:$A$2000,$A14,Sets!$D$2:$D$2000,S$1,Sets!$J$2:$J$2000,"N")=0,"",_xlfn.MAXIFS(Sets!$H$2:$H$2000,Sets!$A$2:$A$2000,$A14,Sets!$D$2:$D$2000,S$1,Sets!$J$2:$J$2000,"N"))</f>
        <v/>
      </c>
      <c r="T14" s="4" t="str">
        <f aca="false">IF(_xlfn.MAXIFS(Sets!$H$2:$H$2000,Sets!$A$2:$A$2000,$A14,Sets!$D$2:$D$2000,T$1,Sets!$J$2:$J$2000,"N")=0,"",_xlfn.MAXIFS(Sets!$H$2:$H$2000,Sets!$A$2:$A$2000,$A14,Sets!$D$2:$D$2000,T$1,Sets!$J$2:$J$2000,"N"))</f>
        <v/>
      </c>
      <c r="U14" s="4" t="str">
        <f aca="false">IF(_xlfn.MAXIFS(Sets!$H$2:$H$2000,Sets!$A$2:$A$2000,$A14,Sets!$D$2:$D$2000,U$1,Sets!$J$2:$J$2000,"N")=0,"",_xlfn.MAXIFS(Sets!$H$2:$H$2000,Sets!$A$2:$A$2000,$A14,Sets!$D$2:$D$2000,U$1,Sets!$J$2:$J$2000,"N"))</f>
        <v/>
      </c>
      <c r="V14" s="4" t="str">
        <f aca="false">IF(_xlfn.MAXIFS(Sets!$H$2:$H$2000,Sets!$A$2:$A$2000,$A14,Sets!$D$2:$D$2000,V$1,Sets!$J$2:$J$2000,"N")=0,"",_xlfn.MAXIFS(Sets!$H$2:$H$2000,Sets!$A$2:$A$2000,$A14,Sets!$D$2:$D$2000,V$1,Sets!$J$2:$J$2000,"N"))</f>
        <v/>
      </c>
      <c r="W14" s="4" t="str">
        <f aca="false">IF(_xlfn.MAXIFS(Sets!$H$2:$H$2000,Sets!$A$2:$A$2000,$A14,Sets!$D$2:$D$2000,W$1,Sets!$J$2:$J$2000,"N")=0,"",_xlfn.MAXIFS(Sets!$H$2:$H$2000,Sets!$A$2:$A$2000,$A14,Sets!$D$2:$D$2000,W$1,Sets!$J$2:$J$2000,"N"))</f>
        <v/>
      </c>
      <c r="X14" s="4" t="str">
        <f aca="false">IF(_xlfn.MAXIFS(Sets!$H$2:$H$2000,Sets!$A$2:$A$2000,$A14,Sets!$D$2:$D$2000,X$1,Sets!$J$2:$J$2000,"N")=0,"",_xlfn.MAXIFS(Sets!$H$2:$H$2000,Sets!$A$2:$A$2000,$A14,Sets!$D$2:$D$2000,X$1,Sets!$J$2:$J$2000,"N"))</f>
        <v/>
      </c>
      <c r="Y14" s="4" t="str">
        <f aca="false">IF(_xlfn.MAXIFS(Sets!$H$2:$H$2000,Sets!$A$2:$A$2000,$A14,Sets!$D$2:$D$2000,Y$1,Sets!$J$2:$J$2000,"N")=0,"",_xlfn.MAXIFS(Sets!$H$2:$H$2000,Sets!$A$2:$A$2000,$A14,Sets!$D$2:$D$2000,Y$1,Sets!$J$2:$J$2000,"N"))</f>
        <v/>
      </c>
      <c r="Z14" s="4" t="str">
        <f aca="false">IF(_xlfn.MAXIFS(Sets!$H$2:$H$2000,Sets!$A$2:$A$2000,$A14,Sets!$D$2:$D$2000,Z$1,Sets!$J$2:$J$2000,"N")=0,"",_xlfn.MAXIFS(Sets!$H$2:$H$2000,Sets!$A$2:$A$2000,$A14,Sets!$D$2:$D$2000,Z$1,Sets!$J$2:$J$2000,"N"))</f>
        <v/>
      </c>
      <c r="AA14" s="4" t="str">
        <f aca="false">IF(_xlfn.MAXIFS(Sets!$H$2:$H$2000,Sets!$A$2:$A$2000,$A14,Sets!$D$2:$D$2000,AA$1,Sets!$J$2:$J$2000,"N")=0,"",_xlfn.MAXIFS(Sets!$H$2:$H$2000,Sets!$A$2:$A$2000,$A14,Sets!$D$2:$D$2000,AA$1,Sets!$J$2:$J$2000,"N"))</f>
        <v/>
      </c>
      <c r="AB14" s="4" t="str">
        <f aca="false">IF(_xlfn.MAXIFS(Sets!$H$2:$H$2000,Sets!$A$2:$A$2000,$A14,Sets!$D$2:$D$2000,AB$1,Sets!$J$2:$J$2000,"N")=0,"",_xlfn.MAXIFS(Sets!$H$2:$H$2000,Sets!$A$2:$A$2000,$A14,Sets!$D$2:$D$2000,AB$1,Sets!$J$2:$J$2000,"N"))</f>
        <v/>
      </c>
      <c r="AC14" s="4" t="str">
        <f aca="false">IF(_xlfn.MAXIFS(Sets!$H$2:$H$2000,Sets!$A$2:$A$2000,$A14,Sets!$D$2:$D$2000,AC$1,Sets!$J$2:$J$2000,"N")=0,"",_xlfn.MAXIFS(Sets!$H$2:$H$2000,Sets!$A$2:$A$2000,$A14,Sets!$D$2:$D$2000,AC$1,Sets!$J$2:$J$2000,"N"))</f>
        <v/>
      </c>
      <c r="AD14" s="4" t="str">
        <f aca="false">IF(_xlfn.MAXIFS(Sets!$H$2:$H$2000,Sets!$A$2:$A$2000,$A14,Sets!$D$2:$D$2000,AD$1,Sets!$J$2:$J$2000,"N")=0,"",_xlfn.MAXIFS(Sets!$H$2:$H$2000,Sets!$A$2:$A$2000,$A14,Sets!$D$2:$D$2000,AD$1,Sets!$J$2:$J$2000,"N"))</f>
        <v/>
      </c>
      <c r="AE14" s="4" t="str">
        <f aca="false">IF(_xlfn.MAXIFS(Sets!$H$2:$H$2000,Sets!$A$2:$A$2000,$A14,Sets!$D$2:$D$2000,AE$1,Sets!$J$2:$J$2000,"N")=0,"",_xlfn.MAXIFS(Sets!$H$2:$H$2000,Sets!$A$2:$A$2000,$A14,Sets!$D$2:$D$2000,AE$1,Sets!$J$2:$J$2000,"N"))</f>
        <v/>
      </c>
      <c r="AF14" s="4" t="str">
        <f aca="false">IF(_xlfn.MAXIFS(Sets!$H$2:$H$2000,Sets!$A$2:$A$2000,$A14,Sets!$D$2:$D$2000,AF$1,Sets!$J$2:$J$2000,"N")=0,"",_xlfn.MAXIFS(Sets!$H$2:$H$2000,Sets!$A$2:$A$2000,$A14,Sets!$D$2:$D$2000,AF$1,Sets!$J$2:$J$2000,"N"))</f>
        <v/>
      </c>
      <c r="AG14" s="4" t="str">
        <f aca="false">IF(_xlfn.MAXIFS(Sets!$H$2:$H$2000,Sets!$A$2:$A$2000,$A14,Sets!$D$2:$D$2000,AG$1,Sets!$J$2:$J$2000,"N")=0,"",_xlfn.MAXIFS(Sets!$H$2:$H$2000,Sets!$A$2:$A$2000,$A14,Sets!$D$2:$D$2000,AG$1,Sets!$J$2:$J$2000,"N"))</f>
        <v/>
      </c>
      <c r="AH14" s="4" t="str">
        <f aca="false">IF(_xlfn.MAXIFS(Sets!$H$2:$H$2000,Sets!$A$2:$A$2000,$A14,Sets!$D$2:$D$2000,AH$1,Sets!$J$2:$J$2000,"N")=0,"",_xlfn.MAXIFS(Sets!$H$2:$H$2000,Sets!$A$2:$A$2000,$A14,Sets!$D$2:$D$2000,AH$1,Sets!$J$2:$J$2000,"N"))</f>
        <v/>
      </c>
    </row>
    <row r="15" customFormat="false" ht="15" hidden="false" customHeight="false" outlineLevel="0" collapsed="false">
      <c r="A15" s="16" t="n">
        <v>46073</v>
      </c>
      <c r="B15" s="4" t="n">
        <f aca="false">IF(_xlfn.MAXIFS(Sets!$H$2:$H$2000,Sets!$A$2:$A$2000,$A15,Sets!$D$2:$D$2000,B$1,Sets!$J$2:$J$2000,"N")=0,"",_xlfn.MAXIFS(Sets!$H$2:$H$2000,Sets!$A$2:$A$2000,$A15,Sets!$D$2:$D$2000,B$1,Sets!$J$2:$J$2000,"N"))</f>
        <v>30</v>
      </c>
      <c r="C15" s="4" t="str">
        <f aca="false">IF(_xlfn.MAXIFS(Sets!$H$2:$H$2000,Sets!$A$2:$A$2000,$A15,Sets!$D$2:$D$2000,C$1,Sets!$J$2:$J$2000,"N")=0,"",_xlfn.MAXIFS(Sets!$H$2:$H$2000,Sets!$A$2:$A$2000,$A15,Sets!$D$2:$D$2000,C$1,Sets!$J$2:$J$2000,"N"))</f>
        <v/>
      </c>
      <c r="D15" s="4" t="str">
        <f aca="false">IF(_xlfn.MAXIFS(Sets!$H$2:$H$2000,Sets!$A$2:$A$2000,$A15,Sets!$D$2:$D$2000,D$1,Sets!$J$2:$J$2000,"N")=0,"",_xlfn.MAXIFS(Sets!$H$2:$H$2000,Sets!$A$2:$A$2000,$A15,Sets!$D$2:$D$2000,D$1,Sets!$J$2:$J$2000,"N"))</f>
        <v/>
      </c>
      <c r="E15" s="4" t="str">
        <f aca="false">IF(_xlfn.MAXIFS(Sets!$H$2:$H$2000,Sets!$A$2:$A$2000,$A15,Sets!$D$2:$D$2000,E$1,Sets!$J$2:$J$2000,"N")=0,"",_xlfn.MAXIFS(Sets!$H$2:$H$2000,Sets!$A$2:$A$2000,$A15,Sets!$D$2:$D$2000,E$1,Sets!$J$2:$J$2000,"N"))</f>
        <v/>
      </c>
      <c r="F15" s="4" t="str">
        <f aca="false">IF(_xlfn.MAXIFS(Sets!$H$2:$H$2000,Sets!$A$2:$A$2000,$A15,Sets!$D$2:$D$2000,F$1,Sets!$J$2:$J$2000,"N")=0,"",_xlfn.MAXIFS(Sets!$H$2:$H$2000,Sets!$A$2:$A$2000,$A15,Sets!$D$2:$D$2000,F$1,Sets!$J$2:$J$2000,"N"))</f>
        <v/>
      </c>
      <c r="G15" s="4" t="str">
        <f aca="false">IF(_xlfn.MAXIFS(Sets!$H$2:$H$2000,Sets!$A$2:$A$2000,$A15,Sets!$D$2:$D$2000,G$1,Sets!$J$2:$J$2000,"N")=0,"",_xlfn.MAXIFS(Sets!$H$2:$H$2000,Sets!$A$2:$A$2000,$A15,Sets!$D$2:$D$2000,G$1,Sets!$J$2:$J$2000,"N"))</f>
        <v/>
      </c>
      <c r="H15" s="4" t="str">
        <f aca="false">IF(_xlfn.MAXIFS(Sets!$H$2:$H$2000,Sets!$A$2:$A$2000,$A15,Sets!$D$2:$D$2000,H$1,Sets!$J$2:$J$2000,"N")=0,"",_xlfn.MAXIFS(Sets!$H$2:$H$2000,Sets!$A$2:$A$2000,$A15,Sets!$D$2:$D$2000,H$1,Sets!$J$2:$J$2000,"N"))</f>
        <v/>
      </c>
      <c r="I15" s="4" t="str">
        <f aca="false">IF(_xlfn.MAXIFS(Sets!$H$2:$H$2000,Sets!$A$2:$A$2000,$A15,Sets!$D$2:$D$2000,I$1,Sets!$J$2:$J$2000,"N")=0,"",_xlfn.MAXIFS(Sets!$H$2:$H$2000,Sets!$A$2:$A$2000,$A15,Sets!$D$2:$D$2000,I$1,Sets!$J$2:$J$2000,"N"))</f>
        <v/>
      </c>
      <c r="J15" s="4" t="n">
        <f aca="false">IF(_xlfn.MAXIFS(Sets!$H$2:$H$2000,Sets!$A$2:$A$2000,$A15,Sets!$D$2:$D$2000,J$1,Sets!$J$2:$J$2000,"N")=0,"",_xlfn.MAXIFS(Sets!$H$2:$H$2000,Sets!$A$2:$A$2000,$A15,Sets!$D$2:$D$2000,J$1,Sets!$J$2:$J$2000,"N"))</f>
        <v>45</v>
      </c>
      <c r="K15" s="4" t="str">
        <f aca="false">IF(_xlfn.MAXIFS(Sets!$H$2:$H$2000,Sets!$A$2:$A$2000,$A15,Sets!$D$2:$D$2000,K$1,Sets!$J$2:$J$2000,"N")=0,"",_xlfn.MAXIFS(Sets!$H$2:$H$2000,Sets!$A$2:$A$2000,$A15,Sets!$D$2:$D$2000,K$1,Sets!$J$2:$J$2000,"N"))</f>
        <v/>
      </c>
      <c r="L15" s="4" t="str">
        <f aca="false">IF(_xlfn.MAXIFS(Sets!$H$2:$H$2000,Sets!$A$2:$A$2000,$A15,Sets!$D$2:$D$2000,L$1,Sets!$J$2:$J$2000,"N")=0,"",_xlfn.MAXIFS(Sets!$H$2:$H$2000,Sets!$A$2:$A$2000,$A15,Sets!$D$2:$D$2000,L$1,Sets!$J$2:$J$2000,"N"))</f>
        <v/>
      </c>
      <c r="M15" s="4" t="str">
        <f aca="false">IF(_xlfn.MAXIFS(Sets!$H$2:$H$2000,Sets!$A$2:$A$2000,$A15,Sets!$D$2:$D$2000,M$1,Sets!$J$2:$J$2000,"N")=0,"",_xlfn.MAXIFS(Sets!$H$2:$H$2000,Sets!$A$2:$A$2000,$A15,Sets!$D$2:$D$2000,M$1,Sets!$J$2:$J$2000,"N"))</f>
        <v/>
      </c>
      <c r="N15" s="4" t="str">
        <f aca="false">IF(_xlfn.MAXIFS(Sets!$H$2:$H$2000,Sets!$A$2:$A$2000,$A15,Sets!$D$2:$D$2000,N$1,Sets!$J$2:$J$2000,"N")=0,"",_xlfn.MAXIFS(Sets!$H$2:$H$2000,Sets!$A$2:$A$2000,$A15,Sets!$D$2:$D$2000,N$1,Sets!$J$2:$J$2000,"N"))</f>
        <v/>
      </c>
      <c r="O15" s="4" t="str">
        <f aca="false">IF(_xlfn.MAXIFS(Sets!$H$2:$H$2000,Sets!$A$2:$A$2000,$A15,Sets!$D$2:$D$2000,O$1,Sets!$J$2:$J$2000,"N")=0,"",_xlfn.MAXIFS(Sets!$H$2:$H$2000,Sets!$A$2:$A$2000,$A15,Sets!$D$2:$D$2000,O$1,Sets!$J$2:$J$2000,"N"))</f>
        <v/>
      </c>
      <c r="P15" s="4" t="n">
        <f aca="false">IF(_xlfn.MAXIFS(Sets!$H$2:$H$2000,Sets!$A$2:$A$2000,$A15,Sets!$D$2:$D$2000,P$1,Sets!$J$2:$J$2000,"N")=0,"",_xlfn.MAXIFS(Sets!$H$2:$H$2000,Sets!$A$2:$A$2000,$A15,Sets!$D$2:$D$2000,P$1,Sets!$J$2:$J$2000,"N"))</f>
        <v>20</v>
      </c>
      <c r="Q15" s="4" t="str">
        <f aca="false">IF(_xlfn.MAXIFS(Sets!$H$2:$H$2000,Sets!$A$2:$A$2000,$A15,Sets!$D$2:$D$2000,Q$1,Sets!$J$2:$J$2000,"N")=0,"",_xlfn.MAXIFS(Sets!$H$2:$H$2000,Sets!$A$2:$A$2000,$A15,Sets!$D$2:$D$2000,Q$1,Sets!$J$2:$J$2000,"N"))</f>
        <v/>
      </c>
      <c r="R15" s="4" t="str">
        <f aca="false">IF(_xlfn.MAXIFS(Sets!$H$2:$H$2000,Sets!$A$2:$A$2000,$A15,Sets!$D$2:$D$2000,R$1,Sets!$J$2:$J$2000,"N")=0,"",_xlfn.MAXIFS(Sets!$H$2:$H$2000,Sets!$A$2:$A$2000,$A15,Sets!$D$2:$D$2000,R$1,Sets!$J$2:$J$2000,"N"))</f>
        <v/>
      </c>
      <c r="S15" s="4" t="str">
        <f aca="false">IF(_xlfn.MAXIFS(Sets!$H$2:$H$2000,Sets!$A$2:$A$2000,$A15,Sets!$D$2:$D$2000,S$1,Sets!$J$2:$J$2000,"N")=0,"",_xlfn.MAXIFS(Sets!$H$2:$H$2000,Sets!$A$2:$A$2000,$A15,Sets!$D$2:$D$2000,S$1,Sets!$J$2:$J$2000,"N"))</f>
        <v/>
      </c>
      <c r="T15" s="4" t="str">
        <f aca="false">IF(_xlfn.MAXIFS(Sets!$H$2:$H$2000,Sets!$A$2:$A$2000,$A15,Sets!$D$2:$D$2000,T$1,Sets!$J$2:$J$2000,"N")=0,"",_xlfn.MAXIFS(Sets!$H$2:$H$2000,Sets!$A$2:$A$2000,$A15,Sets!$D$2:$D$2000,T$1,Sets!$J$2:$J$2000,"N"))</f>
        <v/>
      </c>
      <c r="U15" s="4" t="str">
        <f aca="false">IF(_xlfn.MAXIFS(Sets!$H$2:$H$2000,Sets!$A$2:$A$2000,$A15,Sets!$D$2:$D$2000,U$1,Sets!$J$2:$J$2000,"N")=0,"",_xlfn.MAXIFS(Sets!$H$2:$H$2000,Sets!$A$2:$A$2000,$A15,Sets!$D$2:$D$2000,U$1,Sets!$J$2:$J$2000,"N"))</f>
        <v/>
      </c>
      <c r="V15" s="4" t="str">
        <f aca="false">IF(_xlfn.MAXIFS(Sets!$H$2:$H$2000,Sets!$A$2:$A$2000,$A15,Sets!$D$2:$D$2000,V$1,Sets!$J$2:$J$2000,"N")=0,"",_xlfn.MAXIFS(Sets!$H$2:$H$2000,Sets!$A$2:$A$2000,$A15,Sets!$D$2:$D$2000,V$1,Sets!$J$2:$J$2000,"N"))</f>
        <v/>
      </c>
      <c r="W15" s="4" t="str">
        <f aca="false">IF(_xlfn.MAXIFS(Sets!$H$2:$H$2000,Sets!$A$2:$A$2000,$A15,Sets!$D$2:$D$2000,W$1,Sets!$J$2:$J$2000,"N")=0,"",_xlfn.MAXIFS(Sets!$H$2:$H$2000,Sets!$A$2:$A$2000,$A15,Sets!$D$2:$D$2000,W$1,Sets!$J$2:$J$2000,"N"))</f>
        <v/>
      </c>
      <c r="X15" s="4" t="str">
        <f aca="false">IF(_xlfn.MAXIFS(Sets!$H$2:$H$2000,Sets!$A$2:$A$2000,$A15,Sets!$D$2:$D$2000,X$1,Sets!$J$2:$J$2000,"N")=0,"",_xlfn.MAXIFS(Sets!$H$2:$H$2000,Sets!$A$2:$A$2000,$A15,Sets!$D$2:$D$2000,X$1,Sets!$J$2:$J$2000,"N"))</f>
        <v/>
      </c>
      <c r="Y15" s="4" t="str">
        <f aca="false">IF(_xlfn.MAXIFS(Sets!$H$2:$H$2000,Sets!$A$2:$A$2000,$A15,Sets!$D$2:$D$2000,Y$1,Sets!$J$2:$J$2000,"N")=0,"",_xlfn.MAXIFS(Sets!$H$2:$H$2000,Sets!$A$2:$A$2000,$A15,Sets!$D$2:$D$2000,Y$1,Sets!$J$2:$J$2000,"N"))</f>
        <v/>
      </c>
      <c r="Z15" s="4" t="str">
        <f aca="false">IF(_xlfn.MAXIFS(Sets!$H$2:$H$2000,Sets!$A$2:$A$2000,$A15,Sets!$D$2:$D$2000,Z$1,Sets!$J$2:$J$2000,"N")=0,"",_xlfn.MAXIFS(Sets!$H$2:$H$2000,Sets!$A$2:$A$2000,$A15,Sets!$D$2:$D$2000,Z$1,Sets!$J$2:$J$2000,"N"))</f>
        <v/>
      </c>
      <c r="AA15" s="4" t="str">
        <f aca="false">IF(_xlfn.MAXIFS(Sets!$H$2:$H$2000,Sets!$A$2:$A$2000,$A15,Sets!$D$2:$D$2000,AA$1,Sets!$J$2:$J$2000,"N")=0,"",_xlfn.MAXIFS(Sets!$H$2:$H$2000,Sets!$A$2:$A$2000,$A15,Sets!$D$2:$D$2000,AA$1,Sets!$J$2:$J$2000,"N"))</f>
        <v/>
      </c>
      <c r="AB15" s="4" t="str">
        <f aca="false">IF(_xlfn.MAXIFS(Sets!$H$2:$H$2000,Sets!$A$2:$A$2000,$A15,Sets!$D$2:$D$2000,AB$1,Sets!$J$2:$J$2000,"N")=0,"",_xlfn.MAXIFS(Sets!$H$2:$H$2000,Sets!$A$2:$A$2000,$A15,Sets!$D$2:$D$2000,AB$1,Sets!$J$2:$J$2000,"N"))</f>
        <v/>
      </c>
      <c r="AC15" s="4" t="str">
        <f aca="false">IF(_xlfn.MAXIFS(Sets!$H$2:$H$2000,Sets!$A$2:$A$2000,$A15,Sets!$D$2:$D$2000,AC$1,Sets!$J$2:$J$2000,"N")=0,"",_xlfn.MAXIFS(Sets!$H$2:$H$2000,Sets!$A$2:$A$2000,$A15,Sets!$D$2:$D$2000,AC$1,Sets!$J$2:$J$2000,"N"))</f>
        <v/>
      </c>
      <c r="AD15" s="4" t="str">
        <f aca="false">IF(_xlfn.MAXIFS(Sets!$H$2:$H$2000,Sets!$A$2:$A$2000,$A15,Sets!$D$2:$D$2000,AD$1,Sets!$J$2:$J$2000,"N")=0,"",_xlfn.MAXIFS(Sets!$H$2:$H$2000,Sets!$A$2:$A$2000,$A15,Sets!$D$2:$D$2000,AD$1,Sets!$J$2:$J$2000,"N"))</f>
        <v/>
      </c>
      <c r="AE15" s="4" t="str">
        <f aca="false">IF(_xlfn.MAXIFS(Sets!$H$2:$H$2000,Sets!$A$2:$A$2000,$A15,Sets!$D$2:$D$2000,AE$1,Sets!$J$2:$J$2000,"N")=0,"",_xlfn.MAXIFS(Sets!$H$2:$H$2000,Sets!$A$2:$A$2000,$A15,Sets!$D$2:$D$2000,AE$1,Sets!$J$2:$J$2000,"N"))</f>
        <v/>
      </c>
      <c r="AF15" s="4" t="str">
        <f aca="false">IF(_xlfn.MAXIFS(Sets!$H$2:$H$2000,Sets!$A$2:$A$2000,$A15,Sets!$D$2:$D$2000,AF$1,Sets!$J$2:$J$2000,"N")=0,"",_xlfn.MAXIFS(Sets!$H$2:$H$2000,Sets!$A$2:$A$2000,$A15,Sets!$D$2:$D$2000,AF$1,Sets!$J$2:$J$2000,"N"))</f>
        <v/>
      </c>
      <c r="AG15" s="4" t="str">
        <f aca="false">IF(_xlfn.MAXIFS(Sets!$H$2:$H$2000,Sets!$A$2:$A$2000,$A15,Sets!$D$2:$D$2000,AG$1,Sets!$J$2:$J$2000,"N")=0,"",_xlfn.MAXIFS(Sets!$H$2:$H$2000,Sets!$A$2:$A$2000,$A15,Sets!$D$2:$D$2000,AG$1,Sets!$J$2:$J$2000,"N"))</f>
        <v/>
      </c>
      <c r="AH15" s="4" t="str">
        <f aca="false">IF(_xlfn.MAXIFS(Sets!$H$2:$H$2000,Sets!$A$2:$A$2000,$A15,Sets!$D$2:$D$2000,AH$1,Sets!$J$2:$J$2000,"N")=0,"",_xlfn.MAXIFS(Sets!$H$2:$H$2000,Sets!$A$2:$A$2000,$A15,Sets!$D$2:$D$2000,AH$1,Sets!$J$2:$J$2000,"N"))</f>
        <v/>
      </c>
    </row>
    <row r="16" customFormat="false" ht="15" hidden="false" customHeight="false" outlineLevel="0" collapsed="false">
      <c r="A16" s="16" t="n">
        <v>46074</v>
      </c>
      <c r="B16" s="4" t="str">
        <f aca="false">IF(_xlfn.MAXIFS(Sets!$H$2:$H$2000,Sets!$A$2:$A$2000,$A16,Sets!$D$2:$D$2000,B$1,Sets!$J$2:$J$2000,"N")=0,"",_xlfn.MAXIFS(Sets!$H$2:$H$2000,Sets!$A$2:$A$2000,$A16,Sets!$D$2:$D$2000,B$1,Sets!$J$2:$J$2000,"N"))</f>
        <v/>
      </c>
      <c r="C16" s="4" t="n">
        <f aca="false">IF(_xlfn.MAXIFS(Sets!$H$2:$H$2000,Sets!$A$2:$A$2000,$A16,Sets!$D$2:$D$2000,C$1,Sets!$J$2:$J$2000,"N")=0,"",_xlfn.MAXIFS(Sets!$H$2:$H$2000,Sets!$A$2:$A$2000,$A16,Sets!$D$2:$D$2000,C$1,Sets!$J$2:$J$2000,"N"))</f>
        <v>22.5</v>
      </c>
      <c r="D16" s="4" t="str">
        <f aca="false">IF(_xlfn.MAXIFS(Sets!$H$2:$H$2000,Sets!$A$2:$A$2000,$A16,Sets!$D$2:$D$2000,D$1,Sets!$J$2:$J$2000,"N")=0,"",_xlfn.MAXIFS(Sets!$H$2:$H$2000,Sets!$A$2:$A$2000,$A16,Sets!$D$2:$D$2000,D$1,Sets!$J$2:$J$2000,"N"))</f>
        <v/>
      </c>
      <c r="E16" s="4" t="str">
        <f aca="false">IF(_xlfn.MAXIFS(Sets!$H$2:$H$2000,Sets!$A$2:$A$2000,$A16,Sets!$D$2:$D$2000,E$1,Sets!$J$2:$J$2000,"N")=0,"",_xlfn.MAXIFS(Sets!$H$2:$H$2000,Sets!$A$2:$A$2000,$A16,Sets!$D$2:$D$2000,E$1,Sets!$J$2:$J$2000,"N"))</f>
        <v/>
      </c>
      <c r="F16" s="4" t="n">
        <f aca="false">IF(_xlfn.MAXIFS(Sets!$H$2:$H$2000,Sets!$A$2:$A$2000,$A16,Sets!$D$2:$D$2000,F$1,Sets!$J$2:$J$2000,"N")=0,"",_xlfn.MAXIFS(Sets!$H$2:$H$2000,Sets!$A$2:$A$2000,$A16,Sets!$D$2:$D$2000,F$1,Sets!$J$2:$J$2000,"N"))</f>
        <v>25</v>
      </c>
      <c r="G16" s="4" t="str">
        <f aca="false">IF(_xlfn.MAXIFS(Sets!$H$2:$H$2000,Sets!$A$2:$A$2000,$A16,Sets!$D$2:$D$2000,G$1,Sets!$J$2:$J$2000,"N")=0,"",_xlfn.MAXIFS(Sets!$H$2:$H$2000,Sets!$A$2:$A$2000,$A16,Sets!$D$2:$D$2000,G$1,Sets!$J$2:$J$2000,"N"))</f>
        <v/>
      </c>
      <c r="H16" s="4" t="str">
        <f aca="false">IF(_xlfn.MAXIFS(Sets!$H$2:$H$2000,Sets!$A$2:$A$2000,$A16,Sets!$D$2:$D$2000,H$1,Sets!$J$2:$J$2000,"N")=0,"",_xlfn.MAXIFS(Sets!$H$2:$H$2000,Sets!$A$2:$A$2000,$A16,Sets!$D$2:$D$2000,H$1,Sets!$J$2:$J$2000,"N"))</f>
        <v/>
      </c>
      <c r="I16" s="4" t="str">
        <f aca="false">IF(_xlfn.MAXIFS(Sets!$H$2:$H$2000,Sets!$A$2:$A$2000,$A16,Sets!$D$2:$D$2000,I$1,Sets!$J$2:$J$2000,"N")=0,"",_xlfn.MAXIFS(Sets!$H$2:$H$2000,Sets!$A$2:$A$2000,$A16,Sets!$D$2:$D$2000,I$1,Sets!$J$2:$J$2000,"N"))</f>
        <v/>
      </c>
      <c r="J16" s="4" t="str">
        <f aca="false">IF(_xlfn.MAXIFS(Sets!$H$2:$H$2000,Sets!$A$2:$A$2000,$A16,Sets!$D$2:$D$2000,J$1,Sets!$J$2:$J$2000,"N")=0,"",_xlfn.MAXIFS(Sets!$H$2:$H$2000,Sets!$A$2:$A$2000,$A16,Sets!$D$2:$D$2000,J$1,Sets!$J$2:$J$2000,"N"))</f>
        <v/>
      </c>
      <c r="K16" s="4" t="n">
        <f aca="false">IF(_xlfn.MAXIFS(Sets!$H$2:$H$2000,Sets!$A$2:$A$2000,$A16,Sets!$D$2:$D$2000,K$1,Sets!$J$2:$J$2000,"N")=0,"",_xlfn.MAXIFS(Sets!$H$2:$H$2000,Sets!$A$2:$A$2000,$A16,Sets!$D$2:$D$2000,K$1,Sets!$J$2:$J$2000,"N"))</f>
        <v>30</v>
      </c>
      <c r="L16" s="4" t="str">
        <f aca="false">IF(_xlfn.MAXIFS(Sets!$H$2:$H$2000,Sets!$A$2:$A$2000,$A16,Sets!$D$2:$D$2000,L$1,Sets!$J$2:$J$2000,"N")=0,"",_xlfn.MAXIFS(Sets!$H$2:$H$2000,Sets!$A$2:$A$2000,$A16,Sets!$D$2:$D$2000,L$1,Sets!$J$2:$J$2000,"N"))</f>
        <v/>
      </c>
      <c r="M16" s="4" t="str">
        <f aca="false">IF(_xlfn.MAXIFS(Sets!$H$2:$H$2000,Sets!$A$2:$A$2000,$A16,Sets!$D$2:$D$2000,M$1,Sets!$J$2:$J$2000,"N")=0,"",_xlfn.MAXIFS(Sets!$H$2:$H$2000,Sets!$A$2:$A$2000,$A16,Sets!$D$2:$D$2000,M$1,Sets!$J$2:$J$2000,"N"))</f>
        <v/>
      </c>
      <c r="N16" s="4" t="str">
        <f aca="false">IF(_xlfn.MAXIFS(Sets!$H$2:$H$2000,Sets!$A$2:$A$2000,$A16,Sets!$D$2:$D$2000,N$1,Sets!$J$2:$J$2000,"N")=0,"",_xlfn.MAXIFS(Sets!$H$2:$H$2000,Sets!$A$2:$A$2000,$A16,Sets!$D$2:$D$2000,N$1,Sets!$J$2:$J$2000,"N"))</f>
        <v/>
      </c>
      <c r="O16" s="4" t="str">
        <f aca="false">IF(_xlfn.MAXIFS(Sets!$H$2:$H$2000,Sets!$A$2:$A$2000,$A16,Sets!$D$2:$D$2000,O$1,Sets!$J$2:$J$2000,"N")=0,"",_xlfn.MAXIFS(Sets!$H$2:$H$2000,Sets!$A$2:$A$2000,$A16,Sets!$D$2:$D$2000,O$1,Sets!$J$2:$J$2000,"N"))</f>
        <v/>
      </c>
      <c r="P16" s="4" t="str">
        <f aca="false">IF(_xlfn.MAXIFS(Sets!$H$2:$H$2000,Sets!$A$2:$A$2000,$A16,Sets!$D$2:$D$2000,P$1,Sets!$J$2:$J$2000,"N")=0,"",_xlfn.MAXIFS(Sets!$H$2:$H$2000,Sets!$A$2:$A$2000,$A16,Sets!$D$2:$D$2000,P$1,Sets!$J$2:$J$2000,"N"))</f>
        <v/>
      </c>
      <c r="Q16" s="4" t="str">
        <f aca="false">IF(_xlfn.MAXIFS(Sets!$H$2:$H$2000,Sets!$A$2:$A$2000,$A16,Sets!$D$2:$D$2000,Q$1,Sets!$J$2:$J$2000,"N")=0,"",_xlfn.MAXIFS(Sets!$H$2:$H$2000,Sets!$A$2:$A$2000,$A16,Sets!$D$2:$D$2000,Q$1,Sets!$J$2:$J$2000,"N"))</f>
        <v/>
      </c>
      <c r="R16" s="4" t="str">
        <f aca="false">IF(_xlfn.MAXIFS(Sets!$H$2:$H$2000,Sets!$A$2:$A$2000,$A16,Sets!$D$2:$D$2000,R$1,Sets!$J$2:$J$2000,"N")=0,"",_xlfn.MAXIFS(Sets!$H$2:$H$2000,Sets!$A$2:$A$2000,$A16,Sets!$D$2:$D$2000,R$1,Sets!$J$2:$J$2000,"N"))</f>
        <v/>
      </c>
      <c r="S16" s="4" t="str">
        <f aca="false">IF(_xlfn.MAXIFS(Sets!$H$2:$H$2000,Sets!$A$2:$A$2000,$A16,Sets!$D$2:$D$2000,S$1,Sets!$J$2:$J$2000,"N")=0,"",_xlfn.MAXIFS(Sets!$H$2:$H$2000,Sets!$A$2:$A$2000,$A16,Sets!$D$2:$D$2000,S$1,Sets!$J$2:$J$2000,"N"))</f>
        <v/>
      </c>
      <c r="T16" s="4" t="str">
        <f aca="false">IF(_xlfn.MAXIFS(Sets!$H$2:$H$2000,Sets!$A$2:$A$2000,$A16,Sets!$D$2:$D$2000,T$1,Sets!$J$2:$J$2000,"N")=0,"",_xlfn.MAXIFS(Sets!$H$2:$H$2000,Sets!$A$2:$A$2000,$A16,Sets!$D$2:$D$2000,T$1,Sets!$J$2:$J$2000,"N"))</f>
        <v/>
      </c>
      <c r="U16" s="4" t="str">
        <f aca="false">IF(_xlfn.MAXIFS(Sets!$H$2:$H$2000,Sets!$A$2:$A$2000,$A16,Sets!$D$2:$D$2000,U$1,Sets!$J$2:$J$2000,"N")=0,"",_xlfn.MAXIFS(Sets!$H$2:$H$2000,Sets!$A$2:$A$2000,$A16,Sets!$D$2:$D$2000,U$1,Sets!$J$2:$J$2000,"N"))</f>
        <v/>
      </c>
      <c r="V16" s="4" t="str">
        <f aca="false">IF(_xlfn.MAXIFS(Sets!$H$2:$H$2000,Sets!$A$2:$A$2000,$A16,Sets!$D$2:$D$2000,V$1,Sets!$J$2:$J$2000,"N")=0,"",_xlfn.MAXIFS(Sets!$H$2:$H$2000,Sets!$A$2:$A$2000,$A16,Sets!$D$2:$D$2000,V$1,Sets!$J$2:$J$2000,"N"))</f>
        <v/>
      </c>
      <c r="W16" s="4" t="str">
        <f aca="false">IF(_xlfn.MAXIFS(Sets!$H$2:$H$2000,Sets!$A$2:$A$2000,$A16,Sets!$D$2:$D$2000,W$1,Sets!$J$2:$J$2000,"N")=0,"",_xlfn.MAXIFS(Sets!$H$2:$H$2000,Sets!$A$2:$A$2000,$A16,Sets!$D$2:$D$2000,W$1,Sets!$J$2:$J$2000,"N"))</f>
        <v/>
      </c>
      <c r="X16" s="4" t="str">
        <f aca="false">IF(_xlfn.MAXIFS(Sets!$H$2:$H$2000,Sets!$A$2:$A$2000,$A16,Sets!$D$2:$D$2000,X$1,Sets!$J$2:$J$2000,"N")=0,"",_xlfn.MAXIFS(Sets!$H$2:$H$2000,Sets!$A$2:$A$2000,$A16,Sets!$D$2:$D$2000,X$1,Sets!$J$2:$J$2000,"N"))</f>
        <v/>
      </c>
      <c r="Y16" s="4" t="str">
        <f aca="false">IF(_xlfn.MAXIFS(Sets!$H$2:$H$2000,Sets!$A$2:$A$2000,$A16,Sets!$D$2:$D$2000,Y$1,Sets!$J$2:$J$2000,"N")=0,"",_xlfn.MAXIFS(Sets!$H$2:$H$2000,Sets!$A$2:$A$2000,$A16,Sets!$D$2:$D$2000,Y$1,Sets!$J$2:$J$2000,"N"))</f>
        <v/>
      </c>
      <c r="Z16" s="4" t="str">
        <f aca="false">IF(_xlfn.MAXIFS(Sets!$H$2:$H$2000,Sets!$A$2:$A$2000,$A16,Sets!$D$2:$D$2000,Z$1,Sets!$J$2:$J$2000,"N")=0,"",_xlfn.MAXIFS(Sets!$H$2:$H$2000,Sets!$A$2:$A$2000,$A16,Sets!$D$2:$D$2000,Z$1,Sets!$J$2:$J$2000,"N"))</f>
        <v/>
      </c>
      <c r="AA16" s="4" t="str">
        <f aca="false">IF(_xlfn.MAXIFS(Sets!$H$2:$H$2000,Sets!$A$2:$A$2000,$A16,Sets!$D$2:$D$2000,AA$1,Sets!$J$2:$J$2000,"N")=0,"",_xlfn.MAXIFS(Sets!$H$2:$H$2000,Sets!$A$2:$A$2000,$A16,Sets!$D$2:$D$2000,AA$1,Sets!$J$2:$J$2000,"N"))</f>
        <v/>
      </c>
      <c r="AB16" s="4" t="str">
        <f aca="false">IF(_xlfn.MAXIFS(Sets!$H$2:$H$2000,Sets!$A$2:$A$2000,$A16,Sets!$D$2:$D$2000,AB$1,Sets!$J$2:$J$2000,"N")=0,"",_xlfn.MAXIFS(Sets!$H$2:$H$2000,Sets!$A$2:$A$2000,$A16,Sets!$D$2:$D$2000,AB$1,Sets!$J$2:$J$2000,"N"))</f>
        <v/>
      </c>
      <c r="AC16" s="4" t="str">
        <f aca="false">IF(_xlfn.MAXIFS(Sets!$H$2:$H$2000,Sets!$A$2:$A$2000,$A16,Sets!$D$2:$D$2000,AC$1,Sets!$J$2:$J$2000,"N")=0,"",_xlfn.MAXIFS(Sets!$H$2:$H$2000,Sets!$A$2:$A$2000,$A16,Sets!$D$2:$D$2000,AC$1,Sets!$J$2:$J$2000,"N"))</f>
        <v/>
      </c>
      <c r="AD16" s="4" t="str">
        <f aca="false">IF(_xlfn.MAXIFS(Sets!$H$2:$H$2000,Sets!$A$2:$A$2000,$A16,Sets!$D$2:$D$2000,AD$1,Sets!$J$2:$J$2000,"N")=0,"",_xlfn.MAXIFS(Sets!$H$2:$H$2000,Sets!$A$2:$A$2000,$A16,Sets!$D$2:$D$2000,AD$1,Sets!$J$2:$J$2000,"N"))</f>
        <v/>
      </c>
      <c r="AE16" s="4" t="str">
        <f aca="false">IF(_xlfn.MAXIFS(Sets!$H$2:$H$2000,Sets!$A$2:$A$2000,$A16,Sets!$D$2:$D$2000,AE$1,Sets!$J$2:$J$2000,"N")=0,"",_xlfn.MAXIFS(Sets!$H$2:$H$2000,Sets!$A$2:$A$2000,$A16,Sets!$D$2:$D$2000,AE$1,Sets!$J$2:$J$2000,"N"))</f>
        <v/>
      </c>
      <c r="AF16" s="4" t="str">
        <f aca="false">IF(_xlfn.MAXIFS(Sets!$H$2:$H$2000,Sets!$A$2:$A$2000,$A16,Sets!$D$2:$D$2000,AF$1,Sets!$J$2:$J$2000,"N")=0,"",_xlfn.MAXIFS(Sets!$H$2:$H$2000,Sets!$A$2:$A$2000,$A16,Sets!$D$2:$D$2000,AF$1,Sets!$J$2:$J$2000,"N"))</f>
        <v/>
      </c>
      <c r="AG16" s="4" t="str">
        <f aca="false">IF(_xlfn.MAXIFS(Sets!$H$2:$H$2000,Sets!$A$2:$A$2000,$A16,Sets!$D$2:$D$2000,AG$1,Sets!$J$2:$J$2000,"N")=0,"",_xlfn.MAXIFS(Sets!$H$2:$H$2000,Sets!$A$2:$A$2000,$A16,Sets!$D$2:$D$2000,AG$1,Sets!$J$2:$J$2000,"N"))</f>
        <v/>
      </c>
      <c r="AH16" s="4" t="str">
        <f aca="false">IF(_xlfn.MAXIFS(Sets!$H$2:$H$2000,Sets!$A$2:$A$2000,$A16,Sets!$D$2:$D$2000,AH$1,Sets!$J$2:$J$2000,"N")=0,"",_xlfn.MAXIFS(Sets!$H$2:$H$2000,Sets!$A$2:$A$2000,$A16,Sets!$D$2:$D$2000,AH$1,Sets!$J$2:$J$2000,"N"))</f>
        <v/>
      </c>
    </row>
    <row r="17" customFormat="false" ht="15" hidden="false" customHeight="false" outlineLevel="0" collapsed="false">
      <c r="A17" s="16" t="n">
        <v>46075</v>
      </c>
      <c r="B17" s="4" t="n">
        <f aca="false">IF(_xlfn.MAXIFS(Sets!$H$2:$H$2000,Sets!$A$2:$A$2000,$A17,Sets!$D$2:$D$2000,B$1,Sets!$J$2:$J$2000,"N")=0,"",_xlfn.MAXIFS(Sets!$H$2:$H$2000,Sets!$A$2:$A$2000,$A17,Sets!$D$2:$D$2000,B$1,Sets!$J$2:$J$2000,"N"))</f>
        <v>30</v>
      </c>
      <c r="C17" s="4" t="str">
        <f aca="false">IF(_xlfn.MAXIFS(Sets!$H$2:$H$2000,Sets!$A$2:$A$2000,$A17,Sets!$D$2:$D$2000,C$1,Sets!$J$2:$J$2000,"N")=0,"",_xlfn.MAXIFS(Sets!$H$2:$H$2000,Sets!$A$2:$A$2000,$A17,Sets!$D$2:$D$2000,C$1,Sets!$J$2:$J$2000,"N"))</f>
        <v/>
      </c>
      <c r="D17" s="4" t="n">
        <f aca="false">IF(_xlfn.MAXIFS(Sets!$H$2:$H$2000,Sets!$A$2:$A$2000,$A17,Sets!$D$2:$D$2000,D$1,Sets!$J$2:$J$2000,"N")=0,"",_xlfn.MAXIFS(Sets!$H$2:$H$2000,Sets!$A$2:$A$2000,$A17,Sets!$D$2:$D$2000,D$1,Sets!$J$2:$J$2000,"N"))</f>
        <v>45</v>
      </c>
      <c r="E17" s="4" t="n">
        <f aca="false">IF(_xlfn.MAXIFS(Sets!$H$2:$H$2000,Sets!$A$2:$A$2000,$A17,Sets!$D$2:$D$2000,E$1,Sets!$J$2:$J$2000,"N")=0,"",_xlfn.MAXIFS(Sets!$H$2:$H$2000,Sets!$A$2:$A$2000,$A17,Sets!$D$2:$D$2000,E$1,Sets!$J$2:$J$2000,"N"))</f>
        <v>60</v>
      </c>
      <c r="F17" s="4" t="n">
        <f aca="false">IF(_xlfn.MAXIFS(Sets!$H$2:$H$2000,Sets!$A$2:$A$2000,$A17,Sets!$D$2:$D$2000,F$1,Sets!$J$2:$J$2000,"N")=0,"",_xlfn.MAXIFS(Sets!$H$2:$H$2000,Sets!$A$2:$A$2000,$A17,Sets!$D$2:$D$2000,F$1,Sets!$J$2:$J$2000,"N"))</f>
        <v>25</v>
      </c>
      <c r="G17" s="4" t="str">
        <f aca="false">IF(_xlfn.MAXIFS(Sets!$H$2:$H$2000,Sets!$A$2:$A$2000,$A17,Sets!$D$2:$D$2000,G$1,Sets!$J$2:$J$2000,"N")=0,"",_xlfn.MAXIFS(Sets!$H$2:$H$2000,Sets!$A$2:$A$2000,$A17,Sets!$D$2:$D$2000,G$1,Sets!$J$2:$J$2000,"N"))</f>
        <v/>
      </c>
      <c r="H17" s="4" t="str">
        <f aca="false">IF(_xlfn.MAXIFS(Sets!$H$2:$H$2000,Sets!$A$2:$A$2000,$A17,Sets!$D$2:$D$2000,H$1,Sets!$J$2:$J$2000,"N")=0,"",_xlfn.MAXIFS(Sets!$H$2:$H$2000,Sets!$A$2:$A$2000,$A17,Sets!$D$2:$D$2000,H$1,Sets!$J$2:$J$2000,"N"))</f>
        <v/>
      </c>
      <c r="I17" s="4" t="str">
        <f aca="false">IF(_xlfn.MAXIFS(Sets!$H$2:$H$2000,Sets!$A$2:$A$2000,$A17,Sets!$D$2:$D$2000,I$1,Sets!$J$2:$J$2000,"N")=0,"",_xlfn.MAXIFS(Sets!$H$2:$H$2000,Sets!$A$2:$A$2000,$A17,Sets!$D$2:$D$2000,I$1,Sets!$J$2:$J$2000,"N"))</f>
        <v/>
      </c>
      <c r="J17" s="4" t="str">
        <f aca="false">IF(_xlfn.MAXIFS(Sets!$H$2:$H$2000,Sets!$A$2:$A$2000,$A17,Sets!$D$2:$D$2000,J$1,Sets!$J$2:$J$2000,"N")=0,"",_xlfn.MAXIFS(Sets!$H$2:$H$2000,Sets!$A$2:$A$2000,$A17,Sets!$D$2:$D$2000,J$1,Sets!$J$2:$J$2000,"N"))</f>
        <v/>
      </c>
      <c r="K17" s="4" t="str">
        <f aca="false">IF(_xlfn.MAXIFS(Sets!$H$2:$H$2000,Sets!$A$2:$A$2000,$A17,Sets!$D$2:$D$2000,K$1,Sets!$J$2:$J$2000,"N")=0,"",_xlfn.MAXIFS(Sets!$H$2:$H$2000,Sets!$A$2:$A$2000,$A17,Sets!$D$2:$D$2000,K$1,Sets!$J$2:$J$2000,"N"))</f>
        <v/>
      </c>
      <c r="L17" s="4" t="str">
        <f aca="false">IF(_xlfn.MAXIFS(Sets!$H$2:$H$2000,Sets!$A$2:$A$2000,$A17,Sets!$D$2:$D$2000,L$1,Sets!$J$2:$J$2000,"N")=0,"",_xlfn.MAXIFS(Sets!$H$2:$H$2000,Sets!$A$2:$A$2000,$A17,Sets!$D$2:$D$2000,L$1,Sets!$J$2:$J$2000,"N"))</f>
        <v/>
      </c>
      <c r="M17" s="4" t="str">
        <f aca="false">IF(_xlfn.MAXIFS(Sets!$H$2:$H$2000,Sets!$A$2:$A$2000,$A17,Sets!$D$2:$D$2000,M$1,Sets!$J$2:$J$2000,"N")=0,"",_xlfn.MAXIFS(Sets!$H$2:$H$2000,Sets!$A$2:$A$2000,$A17,Sets!$D$2:$D$2000,M$1,Sets!$J$2:$J$2000,"N"))</f>
        <v/>
      </c>
      <c r="N17" s="4" t="str">
        <f aca="false">IF(_xlfn.MAXIFS(Sets!$H$2:$H$2000,Sets!$A$2:$A$2000,$A17,Sets!$D$2:$D$2000,N$1,Sets!$J$2:$J$2000,"N")=0,"",_xlfn.MAXIFS(Sets!$H$2:$H$2000,Sets!$A$2:$A$2000,$A17,Sets!$D$2:$D$2000,N$1,Sets!$J$2:$J$2000,"N"))</f>
        <v/>
      </c>
      <c r="O17" s="4" t="str">
        <f aca="false">IF(_xlfn.MAXIFS(Sets!$H$2:$H$2000,Sets!$A$2:$A$2000,$A17,Sets!$D$2:$D$2000,O$1,Sets!$J$2:$J$2000,"N")=0,"",_xlfn.MAXIFS(Sets!$H$2:$H$2000,Sets!$A$2:$A$2000,$A17,Sets!$D$2:$D$2000,O$1,Sets!$J$2:$J$2000,"N"))</f>
        <v/>
      </c>
      <c r="P17" s="4" t="n">
        <f aca="false">IF(_xlfn.MAXIFS(Sets!$H$2:$H$2000,Sets!$A$2:$A$2000,$A17,Sets!$D$2:$D$2000,P$1,Sets!$J$2:$J$2000,"N")=0,"",_xlfn.MAXIFS(Sets!$H$2:$H$2000,Sets!$A$2:$A$2000,$A17,Sets!$D$2:$D$2000,P$1,Sets!$J$2:$J$2000,"N"))</f>
        <v>15</v>
      </c>
      <c r="Q17" s="4" t="str">
        <f aca="false">IF(_xlfn.MAXIFS(Sets!$H$2:$H$2000,Sets!$A$2:$A$2000,$A17,Sets!$D$2:$D$2000,Q$1,Sets!$J$2:$J$2000,"N")=0,"",_xlfn.MAXIFS(Sets!$H$2:$H$2000,Sets!$A$2:$A$2000,$A17,Sets!$D$2:$D$2000,Q$1,Sets!$J$2:$J$2000,"N"))</f>
        <v/>
      </c>
      <c r="R17" s="4" t="str">
        <f aca="false">IF(_xlfn.MAXIFS(Sets!$H$2:$H$2000,Sets!$A$2:$A$2000,$A17,Sets!$D$2:$D$2000,R$1,Sets!$J$2:$J$2000,"N")=0,"",_xlfn.MAXIFS(Sets!$H$2:$H$2000,Sets!$A$2:$A$2000,$A17,Sets!$D$2:$D$2000,R$1,Sets!$J$2:$J$2000,"N"))</f>
        <v/>
      </c>
      <c r="S17" s="4" t="str">
        <f aca="false">IF(_xlfn.MAXIFS(Sets!$H$2:$H$2000,Sets!$A$2:$A$2000,$A17,Sets!$D$2:$D$2000,S$1,Sets!$J$2:$J$2000,"N")=0,"",_xlfn.MAXIFS(Sets!$H$2:$H$2000,Sets!$A$2:$A$2000,$A17,Sets!$D$2:$D$2000,S$1,Sets!$J$2:$J$2000,"N"))</f>
        <v/>
      </c>
      <c r="T17" s="4" t="str">
        <f aca="false">IF(_xlfn.MAXIFS(Sets!$H$2:$H$2000,Sets!$A$2:$A$2000,$A17,Sets!$D$2:$D$2000,T$1,Sets!$J$2:$J$2000,"N")=0,"",_xlfn.MAXIFS(Sets!$H$2:$H$2000,Sets!$A$2:$A$2000,$A17,Sets!$D$2:$D$2000,T$1,Sets!$J$2:$J$2000,"N"))</f>
        <v/>
      </c>
      <c r="U17" s="4" t="str">
        <f aca="false">IF(_xlfn.MAXIFS(Sets!$H$2:$H$2000,Sets!$A$2:$A$2000,$A17,Sets!$D$2:$D$2000,U$1,Sets!$J$2:$J$2000,"N")=0,"",_xlfn.MAXIFS(Sets!$H$2:$H$2000,Sets!$A$2:$A$2000,$A17,Sets!$D$2:$D$2000,U$1,Sets!$J$2:$J$2000,"N"))</f>
        <v/>
      </c>
      <c r="V17" s="4" t="str">
        <f aca="false">IF(_xlfn.MAXIFS(Sets!$H$2:$H$2000,Sets!$A$2:$A$2000,$A17,Sets!$D$2:$D$2000,V$1,Sets!$J$2:$J$2000,"N")=0,"",_xlfn.MAXIFS(Sets!$H$2:$H$2000,Sets!$A$2:$A$2000,$A17,Sets!$D$2:$D$2000,V$1,Sets!$J$2:$J$2000,"N"))</f>
        <v/>
      </c>
      <c r="W17" s="4" t="str">
        <f aca="false">IF(_xlfn.MAXIFS(Sets!$H$2:$H$2000,Sets!$A$2:$A$2000,$A17,Sets!$D$2:$D$2000,W$1,Sets!$J$2:$J$2000,"N")=0,"",_xlfn.MAXIFS(Sets!$H$2:$H$2000,Sets!$A$2:$A$2000,$A17,Sets!$D$2:$D$2000,W$1,Sets!$J$2:$J$2000,"N"))</f>
        <v/>
      </c>
      <c r="X17" s="4" t="str">
        <f aca="false">IF(_xlfn.MAXIFS(Sets!$H$2:$H$2000,Sets!$A$2:$A$2000,$A17,Sets!$D$2:$D$2000,X$1,Sets!$J$2:$J$2000,"N")=0,"",_xlfn.MAXIFS(Sets!$H$2:$H$2000,Sets!$A$2:$A$2000,$A17,Sets!$D$2:$D$2000,X$1,Sets!$J$2:$J$2000,"N"))</f>
        <v/>
      </c>
      <c r="Y17" s="4" t="str">
        <f aca="false">IF(_xlfn.MAXIFS(Sets!$H$2:$H$2000,Sets!$A$2:$A$2000,$A17,Sets!$D$2:$D$2000,Y$1,Sets!$J$2:$J$2000,"N")=0,"",_xlfn.MAXIFS(Sets!$H$2:$H$2000,Sets!$A$2:$A$2000,$A17,Sets!$D$2:$D$2000,Y$1,Sets!$J$2:$J$2000,"N"))</f>
        <v/>
      </c>
      <c r="Z17" s="4" t="str">
        <f aca="false">IF(_xlfn.MAXIFS(Sets!$H$2:$H$2000,Sets!$A$2:$A$2000,$A17,Sets!$D$2:$D$2000,Z$1,Sets!$J$2:$J$2000,"N")=0,"",_xlfn.MAXIFS(Sets!$H$2:$H$2000,Sets!$A$2:$A$2000,$A17,Sets!$D$2:$D$2000,Z$1,Sets!$J$2:$J$2000,"N"))</f>
        <v/>
      </c>
      <c r="AA17" s="4" t="str">
        <f aca="false">IF(_xlfn.MAXIFS(Sets!$H$2:$H$2000,Sets!$A$2:$A$2000,$A17,Sets!$D$2:$D$2000,AA$1,Sets!$J$2:$J$2000,"N")=0,"",_xlfn.MAXIFS(Sets!$H$2:$H$2000,Sets!$A$2:$A$2000,$A17,Sets!$D$2:$D$2000,AA$1,Sets!$J$2:$J$2000,"N"))</f>
        <v/>
      </c>
      <c r="AB17" s="4" t="str">
        <f aca="false">IF(_xlfn.MAXIFS(Sets!$H$2:$H$2000,Sets!$A$2:$A$2000,$A17,Sets!$D$2:$D$2000,AB$1,Sets!$J$2:$J$2000,"N")=0,"",_xlfn.MAXIFS(Sets!$H$2:$H$2000,Sets!$A$2:$A$2000,$A17,Sets!$D$2:$D$2000,AB$1,Sets!$J$2:$J$2000,"N"))</f>
        <v/>
      </c>
      <c r="AC17" s="4" t="str">
        <f aca="false">IF(_xlfn.MAXIFS(Sets!$H$2:$H$2000,Sets!$A$2:$A$2000,$A17,Sets!$D$2:$D$2000,AC$1,Sets!$J$2:$J$2000,"N")=0,"",_xlfn.MAXIFS(Sets!$H$2:$H$2000,Sets!$A$2:$A$2000,$A17,Sets!$D$2:$D$2000,AC$1,Sets!$J$2:$J$2000,"N"))</f>
        <v/>
      </c>
      <c r="AD17" s="4" t="str">
        <f aca="false">IF(_xlfn.MAXIFS(Sets!$H$2:$H$2000,Sets!$A$2:$A$2000,$A17,Sets!$D$2:$D$2000,AD$1,Sets!$J$2:$J$2000,"N")=0,"",_xlfn.MAXIFS(Sets!$H$2:$H$2000,Sets!$A$2:$A$2000,$A17,Sets!$D$2:$D$2000,AD$1,Sets!$J$2:$J$2000,"N"))</f>
        <v/>
      </c>
      <c r="AE17" s="4" t="str">
        <f aca="false">IF(_xlfn.MAXIFS(Sets!$H$2:$H$2000,Sets!$A$2:$A$2000,$A17,Sets!$D$2:$D$2000,AE$1,Sets!$J$2:$J$2000,"N")=0,"",_xlfn.MAXIFS(Sets!$H$2:$H$2000,Sets!$A$2:$A$2000,$A17,Sets!$D$2:$D$2000,AE$1,Sets!$J$2:$J$2000,"N"))</f>
        <v/>
      </c>
      <c r="AF17" s="4" t="str">
        <f aca="false">IF(_xlfn.MAXIFS(Sets!$H$2:$H$2000,Sets!$A$2:$A$2000,$A17,Sets!$D$2:$D$2000,AF$1,Sets!$J$2:$J$2000,"N")=0,"",_xlfn.MAXIFS(Sets!$H$2:$H$2000,Sets!$A$2:$A$2000,$A17,Sets!$D$2:$D$2000,AF$1,Sets!$J$2:$J$2000,"N"))</f>
        <v/>
      </c>
      <c r="AG17" s="4" t="str">
        <f aca="false">IF(_xlfn.MAXIFS(Sets!$H$2:$H$2000,Sets!$A$2:$A$2000,$A17,Sets!$D$2:$D$2000,AG$1,Sets!$J$2:$J$2000,"N")=0,"",_xlfn.MAXIFS(Sets!$H$2:$H$2000,Sets!$A$2:$A$2000,$A17,Sets!$D$2:$D$2000,AG$1,Sets!$J$2:$J$2000,"N"))</f>
        <v/>
      </c>
      <c r="AH17" s="4" t="str">
        <f aca="false">IF(_xlfn.MAXIFS(Sets!$H$2:$H$2000,Sets!$A$2:$A$2000,$A17,Sets!$D$2:$D$2000,AH$1,Sets!$J$2:$J$2000,"N")=0,"",_xlfn.MAXIFS(Sets!$H$2:$H$2000,Sets!$A$2:$A$2000,$A17,Sets!$D$2:$D$2000,AH$1,Sets!$J$2:$J$2000,"N"))</f>
        <v/>
      </c>
    </row>
    <row r="18" customFormat="false" ht="15" hidden="false" customHeight="false" outlineLevel="0" collapsed="false">
      <c r="A18" s="16" t="n">
        <v>46080</v>
      </c>
      <c r="B18" s="4" t="n">
        <f aca="false">IF(_xlfn.MAXIFS(Sets!$H$2:$H$2000,Sets!$A$2:$A$2000,$A18,Sets!$D$2:$D$2000,B$1,Sets!$J$2:$J$2000,"N")=0,"",_xlfn.MAXIFS(Sets!$H$2:$H$2000,Sets!$A$2:$A$2000,$A18,Sets!$D$2:$D$2000,B$1,Sets!$J$2:$J$2000,"N"))</f>
        <v>35</v>
      </c>
      <c r="C18" s="4" t="n">
        <f aca="false">IF(_xlfn.MAXIFS(Sets!$H$2:$H$2000,Sets!$A$2:$A$2000,$A18,Sets!$D$2:$D$2000,C$1,Sets!$J$2:$J$2000,"N")=0,"",_xlfn.MAXIFS(Sets!$H$2:$H$2000,Sets!$A$2:$A$2000,$A18,Sets!$D$2:$D$2000,C$1,Sets!$J$2:$J$2000,"N"))</f>
        <v>22.5</v>
      </c>
      <c r="D18" s="4" t="str">
        <f aca="false">IF(_xlfn.MAXIFS(Sets!$H$2:$H$2000,Sets!$A$2:$A$2000,$A18,Sets!$D$2:$D$2000,D$1,Sets!$J$2:$J$2000,"N")=0,"",_xlfn.MAXIFS(Sets!$H$2:$H$2000,Sets!$A$2:$A$2000,$A18,Sets!$D$2:$D$2000,D$1,Sets!$J$2:$J$2000,"N"))</f>
        <v/>
      </c>
      <c r="E18" s="4" t="str">
        <f aca="false">IF(_xlfn.MAXIFS(Sets!$H$2:$H$2000,Sets!$A$2:$A$2000,$A18,Sets!$D$2:$D$2000,E$1,Sets!$J$2:$J$2000,"N")=0,"",_xlfn.MAXIFS(Sets!$H$2:$H$2000,Sets!$A$2:$A$2000,$A18,Sets!$D$2:$D$2000,E$1,Sets!$J$2:$J$2000,"N"))</f>
        <v/>
      </c>
      <c r="F18" s="4" t="n">
        <f aca="false">IF(_xlfn.MAXIFS(Sets!$H$2:$H$2000,Sets!$A$2:$A$2000,$A18,Sets!$D$2:$D$2000,F$1,Sets!$J$2:$J$2000,"N")=0,"",_xlfn.MAXIFS(Sets!$H$2:$H$2000,Sets!$A$2:$A$2000,$A18,Sets!$D$2:$D$2000,F$1,Sets!$J$2:$J$2000,"N"))</f>
        <v>30</v>
      </c>
      <c r="G18" s="4" t="n">
        <f aca="false">IF(_xlfn.MAXIFS(Sets!$H$2:$H$2000,Sets!$A$2:$A$2000,$A18,Sets!$D$2:$D$2000,G$1,Sets!$J$2:$J$2000,"N")=0,"",_xlfn.MAXIFS(Sets!$H$2:$H$2000,Sets!$A$2:$A$2000,$A18,Sets!$D$2:$D$2000,G$1,Sets!$J$2:$J$2000,"N"))</f>
        <v>35</v>
      </c>
      <c r="H18" s="4" t="str">
        <f aca="false">IF(_xlfn.MAXIFS(Sets!$H$2:$H$2000,Sets!$A$2:$A$2000,$A18,Sets!$D$2:$D$2000,H$1,Sets!$J$2:$J$2000,"N")=0,"",_xlfn.MAXIFS(Sets!$H$2:$H$2000,Sets!$A$2:$A$2000,$A18,Sets!$D$2:$D$2000,H$1,Sets!$J$2:$J$2000,"N"))</f>
        <v/>
      </c>
      <c r="I18" s="4" t="str">
        <f aca="false">IF(_xlfn.MAXIFS(Sets!$H$2:$H$2000,Sets!$A$2:$A$2000,$A18,Sets!$D$2:$D$2000,I$1,Sets!$J$2:$J$2000,"N")=0,"",_xlfn.MAXIFS(Sets!$H$2:$H$2000,Sets!$A$2:$A$2000,$A18,Sets!$D$2:$D$2000,I$1,Sets!$J$2:$J$2000,"N"))</f>
        <v/>
      </c>
      <c r="J18" s="4" t="n">
        <f aca="false">IF(_xlfn.MAXIFS(Sets!$H$2:$H$2000,Sets!$A$2:$A$2000,$A18,Sets!$D$2:$D$2000,J$1,Sets!$J$2:$J$2000,"N")=0,"",_xlfn.MAXIFS(Sets!$H$2:$H$2000,Sets!$A$2:$A$2000,$A18,Sets!$D$2:$D$2000,J$1,Sets!$J$2:$J$2000,"N"))</f>
        <v>45</v>
      </c>
      <c r="K18" s="4" t="n">
        <f aca="false">IF(_xlfn.MAXIFS(Sets!$H$2:$H$2000,Sets!$A$2:$A$2000,$A18,Sets!$D$2:$D$2000,K$1,Sets!$J$2:$J$2000,"N")=0,"",_xlfn.MAXIFS(Sets!$H$2:$H$2000,Sets!$A$2:$A$2000,$A18,Sets!$D$2:$D$2000,K$1,Sets!$J$2:$J$2000,"N"))</f>
        <v>30</v>
      </c>
      <c r="L18" s="4" t="n">
        <f aca="false">IF(_xlfn.MAXIFS(Sets!$H$2:$H$2000,Sets!$A$2:$A$2000,$A18,Sets!$D$2:$D$2000,L$1,Sets!$J$2:$J$2000,"N")=0,"",_xlfn.MAXIFS(Sets!$H$2:$H$2000,Sets!$A$2:$A$2000,$A18,Sets!$D$2:$D$2000,L$1,Sets!$J$2:$J$2000,"N"))</f>
        <v>10</v>
      </c>
      <c r="M18" s="4" t="str">
        <f aca="false">IF(_xlfn.MAXIFS(Sets!$H$2:$H$2000,Sets!$A$2:$A$2000,$A18,Sets!$D$2:$D$2000,M$1,Sets!$J$2:$J$2000,"N")=0,"",_xlfn.MAXIFS(Sets!$H$2:$H$2000,Sets!$A$2:$A$2000,$A18,Sets!$D$2:$D$2000,M$1,Sets!$J$2:$J$2000,"N"))</f>
        <v/>
      </c>
      <c r="N18" s="4" t="str">
        <f aca="false">IF(_xlfn.MAXIFS(Sets!$H$2:$H$2000,Sets!$A$2:$A$2000,$A18,Sets!$D$2:$D$2000,N$1,Sets!$J$2:$J$2000,"N")=0,"",_xlfn.MAXIFS(Sets!$H$2:$H$2000,Sets!$A$2:$A$2000,$A18,Sets!$D$2:$D$2000,N$1,Sets!$J$2:$J$2000,"N"))</f>
        <v/>
      </c>
      <c r="O18" s="4" t="str">
        <f aca="false">IF(_xlfn.MAXIFS(Sets!$H$2:$H$2000,Sets!$A$2:$A$2000,$A18,Sets!$D$2:$D$2000,O$1,Sets!$J$2:$J$2000,"N")=0,"",_xlfn.MAXIFS(Sets!$H$2:$H$2000,Sets!$A$2:$A$2000,$A18,Sets!$D$2:$D$2000,O$1,Sets!$J$2:$J$2000,"N"))</f>
        <v/>
      </c>
      <c r="P18" s="4" t="n">
        <f aca="false">IF(_xlfn.MAXIFS(Sets!$H$2:$H$2000,Sets!$A$2:$A$2000,$A18,Sets!$D$2:$D$2000,P$1,Sets!$J$2:$J$2000,"N")=0,"",_xlfn.MAXIFS(Sets!$H$2:$H$2000,Sets!$A$2:$A$2000,$A18,Sets!$D$2:$D$2000,P$1,Sets!$J$2:$J$2000,"N"))</f>
        <v>20</v>
      </c>
      <c r="Q18" s="4" t="str">
        <f aca="false">IF(_xlfn.MAXIFS(Sets!$H$2:$H$2000,Sets!$A$2:$A$2000,$A18,Sets!$D$2:$D$2000,Q$1,Sets!$J$2:$J$2000,"N")=0,"",_xlfn.MAXIFS(Sets!$H$2:$H$2000,Sets!$A$2:$A$2000,$A18,Sets!$D$2:$D$2000,Q$1,Sets!$J$2:$J$2000,"N"))</f>
        <v/>
      </c>
      <c r="R18" s="4" t="str">
        <f aca="false">IF(_xlfn.MAXIFS(Sets!$H$2:$H$2000,Sets!$A$2:$A$2000,$A18,Sets!$D$2:$D$2000,R$1,Sets!$J$2:$J$2000,"N")=0,"",_xlfn.MAXIFS(Sets!$H$2:$H$2000,Sets!$A$2:$A$2000,$A18,Sets!$D$2:$D$2000,R$1,Sets!$J$2:$J$2000,"N"))</f>
        <v/>
      </c>
      <c r="S18" s="4" t="str">
        <f aca="false">IF(_xlfn.MAXIFS(Sets!$H$2:$H$2000,Sets!$A$2:$A$2000,$A18,Sets!$D$2:$D$2000,S$1,Sets!$J$2:$J$2000,"N")=0,"",_xlfn.MAXIFS(Sets!$H$2:$H$2000,Sets!$A$2:$A$2000,$A18,Sets!$D$2:$D$2000,S$1,Sets!$J$2:$J$2000,"N"))</f>
        <v/>
      </c>
      <c r="T18" s="4" t="str">
        <f aca="false">IF(_xlfn.MAXIFS(Sets!$H$2:$H$2000,Sets!$A$2:$A$2000,$A18,Sets!$D$2:$D$2000,T$1,Sets!$J$2:$J$2000,"N")=0,"",_xlfn.MAXIFS(Sets!$H$2:$H$2000,Sets!$A$2:$A$2000,$A18,Sets!$D$2:$D$2000,T$1,Sets!$J$2:$J$2000,"N"))</f>
        <v/>
      </c>
      <c r="U18" s="4" t="str">
        <f aca="false">IF(_xlfn.MAXIFS(Sets!$H$2:$H$2000,Sets!$A$2:$A$2000,$A18,Sets!$D$2:$D$2000,U$1,Sets!$J$2:$J$2000,"N")=0,"",_xlfn.MAXIFS(Sets!$H$2:$H$2000,Sets!$A$2:$A$2000,$A18,Sets!$D$2:$D$2000,U$1,Sets!$J$2:$J$2000,"N"))</f>
        <v/>
      </c>
      <c r="V18" s="4" t="str">
        <f aca="false">IF(_xlfn.MAXIFS(Sets!$H$2:$H$2000,Sets!$A$2:$A$2000,$A18,Sets!$D$2:$D$2000,V$1,Sets!$J$2:$J$2000,"N")=0,"",_xlfn.MAXIFS(Sets!$H$2:$H$2000,Sets!$A$2:$A$2000,$A18,Sets!$D$2:$D$2000,V$1,Sets!$J$2:$J$2000,"N"))</f>
        <v/>
      </c>
      <c r="W18" s="4" t="str">
        <f aca="false">IF(_xlfn.MAXIFS(Sets!$H$2:$H$2000,Sets!$A$2:$A$2000,$A18,Sets!$D$2:$D$2000,W$1,Sets!$J$2:$J$2000,"N")=0,"",_xlfn.MAXIFS(Sets!$H$2:$H$2000,Sets!$A$2:$A$2000,$A18,Sets!$D$2:$D$2000,W$1,Sets!$J$2:$J$2000,"N"))</f>
        <v/>
      </c>
      <c r="X18" s="4" t="str">
        <f aca="false">IF(_xlfn.MAXIFS(Sets!$H$2:$H$2000,Sets!$A$2:$A$2000,$A18,Sets!$D$2:$D$2000,X$1,Sets!$J$2:$J$2000,"N")=0,"",_xlfn.MAXIFS(Sets!$H$2:$H$2000,Sets!$A$2:$A$2000,$A18,Sets!$D$2:$D$2000,X$1,Sets!$J$2:$J$2000,"N"))</f>
        <v/>
      </c>
      <c r="Y18" s="4" t="str">
        <f aca="false">IF(_xlfn.MAXIFS(Sets!$H$2:$H$2000,Sets!$A$2:$A$2000,$A18,Sets!$D$2:$D$2000,Y$1,Sets!$J$2:$J$2000,"N")=0,"",_xlfn.MAXIFS(Sets!$H$2:$H$2000,Sets!$A$2:$A$2000,$A18,Sets!$D$2:$D$2000,Y$1,Sets!$J$2:$J$2000,"N"))</f>
        <v/>
      </c>
      <c r="Z18" s="4" t="str">
        <f aca="false">IF(_xlfn.MAXIFS(Sets!$H$2:$H$2000,Sets!$A$2:$A$2000,$A18,Sets!$D$2:$D$2000,Z$1,Sets!$J$2:$J$2000,"N")=0,"",_xlfn.MAXIFS(Sets!$H$2:$H$2000,Sets!$A$2:$A$2000,$A18,Sets!$D$2:$D$2000,Z$1,Sets!$J$2:$J$2000,"N"))</f>
        <v/>
      </c>
      <c r="AA18" s="4" t="str">
        <f aca="false">IF(_xlfn.MAXIFS(Sets!$H$2:$H$2000,Sets!$A$2:$A$2000,$A18,Sets!$D$2:$D$2000,AA$1,Sets!$J$2:$J$2000,"N")=0,"",_xlfn.MAXIFS(Sets!$H$2:$H$2000,Sets!$A$2:$A$2000,$A18,Sets!$D$2:$D$2000,AA$1,Sets!$J$2:$J$2000,"N"))</f>
        <v/>
      </c>
      <c r="AB18" s="4" t="str">
        <f aca="false">IF(_xlfn.MAXIFS(Sets!$H$2:$H$2000,Sets!$A$2:$A$2000,$A18,Sets!$D$2:$D$2000,AB$1,Sets!$J$2:$J$2000,"N")=0,"",_xlfn.MAXIFS(Sets!$H$2:$H$2000,Sets!$A$2:$A$2000,$A18,Sets!$D$2:$D$2000,AB$1,Sets!$J$2:$J$2000,"N"))</f>
        <v/>
      </c>
      <c r="AC18" s="4" t="str">
        <f aca="false">IF(_xlfn.MAXIFS(Sets!$H$2:$H$2000,Sets!$A$2:$A$2000,$A18,Sets!$D$2:$D$2000,AC$1,Sets!$J$2:$J$2000,"N")=0,"",_xlfn.MAXIFS(Sets!$H$2:$H$2000,Sets!$A$2:$A$2000,$A18,Sets!$D$2:$D$2000,AC$1,Sets!$J$2:$J$2000,"N"))</f>
        <v/>
      </c>
      <c r="AD18" s="4" t="str">
        <f aca="false">IF(_xlfn.MAXIFS(Sets!$H$2:$H$2000,Sets!$A$2:$A$2000,$A18,Sets!$D$2:$D$2000,AD$1,Sets!$J$2:$J$2000,"N")=0,"",_xlfn.MAXIFS(Sets!$H$2:$H$2000,Sets!$A$2:$A$2000,$A18,Sets!$D$2:$D$2000,AD$1,Sets!$J$2:$J$2000,"N"))</f>
        <v/>
      </c>
      <c r="AE18" s="4" t="str">
        <f aca="false">IF(_xlfn.MAXIFS(Sets!$H$2:$H$2000,Sets!$A$2:$A$2000,$A18,Sets!$D$2:$D$2000,AE$1,Sets!$J$2:$J$2000,"N")=0,"",_xlfn.MAXIFS(Sets!$H$2:$H$2000,Sets!$A$2:$A$2000,$A18,Sets!$D$2:$D$2000,AE$1,Sets!$J$2:$J$2000,"N"))</f>
        <v/>
      </c>
      <c r="AF18" s="4" t="str">
        <f aca="false">IF(_xlfn.MAXIFS(Sets!$H$2:$H$2000,Sets!$A$2:$A$2000,$A18,Sets!$D$2:$D$2000,AF$1,Sets!$J$2:$J$2000,"N")=0,"",_xlfn.MAXIFS(Sets!$H$2:$H$2000,Sets!$A$2:$A$2000,$A18,Sets!$D$2:$D$2000,AF$1,Sets!$J$2:$J$2000,"N"))</f>
        <v/>
      </c>
      <c r="AG18" s="4" t="str">
        <f aca="false">IF(_xlfn.MAXIFS(Sets!$H$2:$H$2000,Sets!$A$2:$A$2000,$A18,Sets!$D$2:$D$2000,AG$1,Sets!$J$2:$J$2000,"N")=0,"",_xlfn.MAXIFS(Sets!$H$2:$H$2000,Sets!$A$2:$A$2000,$A18,Sets!$D$2:$D$2000,AG$1,Sets!$J$2:$J$2000,"N"))</f>
        <v/>
      </c>
      <c r="AH18" s="4" t="str">
        <f aca="false">IF(_xlfn.MAXIFS(Sets!$H$2:$H$2000,Sets!$A$2:$A$2000,$A18,Sets!$D$2:$D$2000,AH$1,Sets!$J$2:$J$2000,"N")=0,"",_xlfn.MAXIFS(Sets!$H$2:$H$2000,Sets!$A$2:$A$2000,$A18,Sets!$D$2:$D$2000,AH$1,Sets!$J$2:$J$2000,"N"))</f>
        <v/>
      </c>
    </row>
    <row r="19" customFormat="false" ht="15" hidden="false" customHeight="false" outlineLevel="0" collapsed="false">
      <c r="A19" s="16" t="n">
        <v>46117</v>
      </c>
      <c r="B19" s="4" t="n">
        <f aca="false">IF(_xlfn.MAXIFS(Sets!$H$2:$H$2000,Sets!$A$2:$A$2000,$A19,Sets!$D$2:$D$2000,B$1,Sets!$J$2:$J$2000,"N")=0,"",_xlfn.MAXIFS(Sets!$H$2:$H$2000,Sets!$A$2:$A$2000,$A19,Sets!$D$2:$D$2000,B$1,Sets!$J$2:$J$2000,"N"))</f>
        <v>30</v>
      </c>
      <c r="C19" s="4" t="str">
        <f aca="false">IF(_xlfn.MAXIFS(Sets!$H$2:$H$2000,Sets!$A$2:$A$2000,$A19,Sets!$D$2:$D$2000,C$1,Sets!$J$2:$J$2000,"N")=0,"",_xlfn.MAXIFS(Sets!$H$2:$H$2000,Sets!$A$2:$A$2000,$A19,Sets!$D$2:$D$2000,C$1,Sets!$J$2:$J$2000,"N"))</f>
        <v/>
      </c>
      <c r="D19" s="4" t="n">
        <f aca="false">IF(_xlfn.MAXIFS(Sets!$H$2:$H$2000,Sets!$A$2:$A$2000,$A19,Sets!$D$2:$D$2000,D$1,Sets!$J$2:$J$2000,"N")=0,"",_xlfn.MAXIFS(Sets!$H$2:$H$2000,Sets!$A$2:$A$2000,$A19,Sets!$D$2:$D$2000,D$1,Sets!$J$2:$J$2000,"N"))</f>
        <v>50</v>
      </c>
      <c r="E19" s="4" t="n">
        <f aca="false">IF(_xlfn.MAXIFS(Sets!$H$2:$H$2000,Sets!$A$2:$A$2000,$A19,Sets!$D$2:$D$2000,E$1,Sets!$J$2:$J$2000,"N")=0,"",_xlfn.MAXIFS(Sets!$H$2:$H$2000,Sets!$A$2:$A$2000,$A19,Sets!$D$2:$D$2000,E$1,Sets!$J$2:$J$2000,"N"))</f>
        <v>70</v>
      </c>
      <c r="F19" s="4" t="str">
        <f aca="false">IF(_xlfn.MAXIFS(Sets!$H$2:$H$2000,Sets!$A$2:$A$2000,$A19,Sets!$D$2:$D$2000,F$1,Sets!$J$2:$J$2000,"N")=0,"",_xlfn.MAXIFS(Sets!$H$2:$H$2000,Sets!$A$2:$A$2000,$A19,Sets!$D$2:$D$2000,F$1,Sets!$J$2:$J$2000,"N"))</f>
        <v/>
      </c>
      <c r="G19" s="4" t="str">
        <f aca="false">IF(_xlfn.MAXIFS(Sets!$H$2:$H$2000,Sets!$A$2:$A$2000,$A19,Sets!$D$2:$D$2000,G$1,Sets!$J$2:$J$2000,"N")=0,"",_xlfn.MAXIFS(Sets!$H$2:$H$2000,Sets!$A$2:$A$2000,$A19,Sets!$D$2:$D$2000,G$1,Sets!$J$2:$J$2000,"N"))</f>
        <v/>
      </c>
      <c r="H19" s="4" t="str">
        <f aca="false">IF(_xlfn.MAXIFS(Sets!$H$2:$H$2000,Sets!$A$2:$A$2000,$A19,Sets!$D$2:$D$2000,H$1,Sets!$J$2:$J$2000,"N")=0,"",_xlfn.MAXIFS(Sets!$H$2:$H$2000,Sets!$A$2:$A$2000,$A19,Sets!$D$2:$D$2000,H$1,Sets!$J$2:$J$2000,"N"))</f>
        <v/>
      </c>
      <c r="I19" s="4" t="str">
        <f aca="false">IF(_xlfn.MAXIFS(Sets!$H$2:$H$2000,Sets!$A$2:$A$2000,$A19,Sets!$D$2:$D$2000,I$1,Sets!$J$2:$J$2000,"N")=0,"",_xlfn.MAXIFS(Sets!$H$2:$H$2000,Sets!$A$2:$A$2000,$A19,Sets!$D$2:$D$2000,I$1,Sets!$J$2:$J$2000,"N"))</f>
        <v/>
      </c>
      <c r="J19" s="4" t="str">
        <f aca="false">IF(_xlfn.MAXIFS(Sets!$H$2:$H$2000,Sets!$A$2:$A$2000,$A19,Sets!$D$2:$D$2000,J$1,Sets!$J$2:$J$2000,"N")=0,"",_xlfn.MAXIFS(Sets!$H$2:$H$2000,Sets!$A$2:$A$2000,$A19,Sets!$D$2:$D$2000,J$1,Sets!$J$2:$J$2000,"N"))</f>
        <v/>
      </c>
      <c r="K19" s="4" t="str">
        <f aca="false">IF(_xlfn.MAXIFS(Sets!$H$2:$H$2000,Sets!$A$2:$A$2000,$A19,Sets!$D$2:$D$2000,K$1,Sets!$J$2:$J$2000,"N")=0,"",_xlfn.MAXIFS(Sets!$H$2:$H$2000,Sets!$A$2:$A$2000,$A19,Sets!$D$2:$D$2000,K$1,Sets!$J$2:$J$2000,"N"))</f>
        <v/>
      </c>
      <c r="L19" s="4" t="str">
        <f aca="false">IF(_xlfn.MAXIFS(Sets!$H$2:$H$2000,Sets!$A$2:$A$2000,$A19,Sets!$D$2:$D$2000,L$1,Sets!$J$2:$J$2000,"N")=0,"",_xlfn.MAXIFS(Sets!$H$2:$H$2000,Sets!$A$2:$A$2000,$A19,Sets!$D$2:$D$2000,L$1,Sets!$J$2:$J$2000,"N"))</f>
        <v/>
      </c>
      <c r="M19" s="4" t="str">
        <f aca="false">IF(_xlfn.MAXIFS(Sets!$H$2:$H$2000,Sets!$A$2:$A$2000,$A19,Sets!$D$2:$D$2000,M$1,Sets!$J$2:$J$2000,"N")=0,"",_xlfn.MAXIFS(Sets!$H$2:$H$2000,Sets!$A$2:$A$2000,$A19,Sets!$D$2:$D$2000,M$1,Sets!$J$2:$J$2000,"N"))</f>
        <v/>
      </c>
      <c r="N19" s="4" t="str">
        <f aca="false">IF(_xlfn.MAXIFS(Sets!$H$2:$H$2000,Sets!$A$2:$A$2000,$A19,Sets!$D$2:$D$2000,N$1,Sets!$J$2:$J$2000,"N")=0,"",_xlfn.MAXIFS(Sets!$H$2:$H$2000,Sets!$A$2:$A$2000,$A19,Sets!$D$2:$D$2000,N$1,Sets!$J$2:$J$2000,"N"))</f>
        <v/>
      </c>
      <c r="O19" s="4" t="n">
        <f aca="false">IF(_xlfn.MAXIFS(Sets!$H$2:$H$2000,Sets!$A$2:$A$2000,$A19,Sets!$D$2:$D$2000,O$1,Sets!$J$2:$J$2000,"N")=0,"",_xlfn.MAXIFS(Sets!$H$2:$H$2000,Sets!$A$2:$A$2000,$A19,Sets!$D$2:$D$2000,O$1,Sets!$J$2:$J$2000,"N"))</f>
        <v>30</v>
      </c>
      <c r="P19" s="4" t="str">
        <f aca="false">IF(_xlfn.MAXIFS(Sets!$H$2:$H$2000,Sets!$A$2:$A$2000,$A19,Sets!$D$2:$D$2000,P$1,Sets!$J$2:$J$2000,"N")=0,"",_xlfn.MAXIFS(Sets!$H$2:$H$2000,Sets!$A$2:$A$2000,$A19,Sets!$D$2:$D$2000,P$1,Sets!$J$2:$J$2000,"N"))</f>
        <v/>
      </c>
      <c r="Q19" s="4" t="str">
        <f aca="false">IF(_xlfn.MAXIFS(Sets!$H$2:$H$2000,Sets!$A$2:$A$2000,$A19,Sets!$D$2:$D$2000,Q$1,Sets!$J$2:$J$2000,"N")=0,"",_xlfn.MAXIFS(Sets!$H$2:$H$2000,Sets!$A$2:$A$2000,$A19,Sets!$D$2:$D$2000,Q$1,Sets!$J$2:$J$2000,"N"))</f>
        <v/>
      </c>
      <c r="R19" s="4" t="str">
        <f aca="false">IF(_xlfn.MAXIFS(Sets!$H$2:$H$2000,Sets!$A$2:$A$2000,$A19,Sets!$D$2:$D$2000,R$1,Sets!$J$2:$J$2000,"N")=0,"",_xlfn.MAXIFS(Sets!$H$2:$H$2000,Sets!$A$2:$A$2000,$A19,Sets!$D$2:$D$2000,R$1,Sets!$J$2:$J$2000,"N"))</f>
        <v/>
      </c>
      <c r="S19" s="4" t="str">
        <f aca="false">IF(_xlfn.MAXIFS(Sets!$H$2:$H$2000,Sets!$A$2:$A$2000,$A19,Sets!$D$2:$D$2000,S$1,Sets!$J$2:$J$2000,"N")=0,"",_xlfn.MAXIFS(Sets!$H$2:$H$2000,Sets!$A$2:$A$2000,$A19,Sets!$D$2:$D$2000,S$1,Sets!$J$2:$J$2000,"N"))</f>
        <v/>
      </c>
      <c r="T19" s="4" t="str">
        <f aca="false">IF(_xlfn.MAXIFS(Sets!$H$2:$H$2000,Sets!$A$2:$A$2000,$A19,Sets!$D$2:$D$2000,T$1,Sets!$J$2:$J$2000,"N")=0,"",_xlfn.MAXIFS(Sets!$H$2:$H$2000,Sets!$A$2:$A$2000,$A19,Sets!$D$2:$D$2000,T$1,Sets!$J$2:$J$2000,"N"))</f>
        <v/>
      </c>
      <c r="U19" s="4" t="str">
        <f aca="false">IF(_xlfn.MAXIFS(Sets!$H$2:$H$2000,Sets!$A$2:$A$2000,$A19,Sets!$D$2:$D$2000,U$1,Sets!$J$2:$J$2000,"N")=0,"",_xlfn.MAXIFS(Sets!$H$2:$H$2000,Sets!$A$2:$A$2000,$A19,Sets!$D$2:$D$2000,U$1,Sets!$J$2:$J$2000,"N"))</f>
        <v/>
      </c>
      <c r="V19" s="4" t="str">
        <f aca="false">IF(_xlfn.MAXIFS(Sets!$H$2:$H$2000,Sets!$A$2:$A$2000,$A19,Sets!$D$2:$D$2000,V$1,Sets!$J$2:$J$2000,"N")=0,"",_xlfn.MAXIFS(Sets!$H$2:$H$2000,Sets!$A$2:$A$2000,$A19,Sets!$D$2:$D$2000,V$1,Sets!$J$2:$J$2000,"N"))</f>
        <v/>
      </c>
      <c r="W19" s="4" t="str">
        <f aca="false">IF(_xlfn.MAXIFS(Sets!$H$2:$H$2000,Sets!$A$2:$A$2000,$A19,Sets!$D$2:$D$2000,W$1,Sets!$J$2:$J$2000,"N")=0,"",_xlfn.MAXIFS(Sets!$H$2:$H$2000,Sets!$A$2:$A$2000,$A19,Sets!$D$2:$D$2000,W$1,Sets!$J$2:$J$2000,"N"))</f>
        <v/>
      </c>
      <c r="X19" s="4" t="str">
        <f aca="false">IF(_xlfn.MAXIFS(Sets!$H$2:$H$2000,Sets!$A$2:$A$2000,$A19,Sets!$D$2:$D$2000,X$1,Sets!$J$2:$J$2000,"N")=0,"",_xlfn.MAXIFS(Sets!$H$2:$H$2000,Sets!$A$2:$A$2000,$A19,Sets!$D$2:$D$2000,X$1,Sets!$J$2:$J$2000,"N"))</f>
        <v/>
      </c>
      <c r="Y19" s="4" t="str">
        <f aca="false">IF(_xlfn.MAXIFS(Sets!$H$2:$H$2000,Sets!$A$2:$A$2000,$A19,Sets!$D$2:$D$2000,Y$1,Sets!$J$2:$J$2000,"N")=0,"",_xlfn.MAXIFS(Sets!$H$2:$H$2000,Sets!$A$2:$A$2000,$A19,Sets!$D$2:$D$2000,Y$1,Sets!$J$2:$J$2000,"N"))</f>
        <v/>
      </c>
      <c r="Z19" s="4" t="str">
        <f aca="false">IF(_xlfn.MAXIFS(Sets!$H$2:$H$2000,Sets!$A$2:$A$2000,$A19,Sets!$D$2:$D$2000,Z$1,Sets!$J$2:$J$2000,"N")=0,"",_xlfn.MAXIFS(Sets!$H$2:$H$2000,Sets!$A$2:$A$2000,$A19,Sets!$D$2:$D$2000,Z$1,Sets!$J$2:$J$2000,"N"))</f>
        <v/>
      </c>
      <c r="AA19" s="4" t="str">
        <f aca="false">IF(_xlfn.MAXIFS(Sets!$H$2:$H$2000,Sets!$A$2:$A$2000,$A19,Sets!$D$2:$D$2000,AA$1,Sets!$J$2:$J$2000,"N")=0,"",_xlfn.MAXIFS(Sets!$H$2:$H$2000,Sets!$A$2:$A$2000,$A19,Sets!$D$2:$D$2000,AA$1,Sets!$J$2:$J$2000,"N"))</f>
        <v/>
      </c>
      <c r="AB19" s="4" t="str">
        <f aca="false">IF(_xlfn.MAXIFS(Sets!$H$2:$H$2000,Sets!$A$2:$A$2000,$A19,Sets!$D$2:$D$2000,AB$1,Sets!$J$2:$J$2000,"N")=0,"",_xlfn.MAXIFS(Sets!$H$2:$H$2000,Sets!$A$2:$A$2000,$A19,Sets!$D$2:$D$2000,AB$1,Sets!$J$2:$J$2000,"N"))</f>
        <v/>
      </c>
      <c r="AC19" s="4" t="str">
        <f aca="false">IF(_xlfn.MAXIFS(Sets!$H$2:$H$2000,Sets!$A$2:$A$2000,$A19,Sets!$D$2:$D$2000,AC$1,Sets!$J$2:$J$2000,"N")=0,"",_xlfn.MAXIFS(Sets!$H$2:$H$2000,Sets!$A$2:$A$2000,$A19,Sets!$D$2:$D$2000,AC$1,Sets!$J$2:$J$2000,"N"))</f>
        <v/>
      </c>
      <c r="AD19" s="4" t="str">
        <f aca="false">IF(_xlfn.MAXIFS(Sets!$H$2:$H$2000,Sets!$A$2:$A$2000,$A19,Sets!$D$2:$D$2000,AD$1,Sets!$J$2:$J$2000,"N")=0,"",_xlfn.MAXIFS(Sets!$H$2:$H$2000,Sets!$A$2:$A$2000,$A19,Sets!$D$2:$D$2000,AD$1,Sets!$J$2:$J$2000,"N"))</f>
        <v/>
      </c>
      <c r="AE19" s="4" t="str">
        <f aca="false">IF(_xlfn.MAXIFS(Sets!$H$2:$H$2000,Sets!$A$2:$A$2000,$A19,Sets!$D$2:$D$2000,AE$1,Sets!$J$2:$J$2000,"N")=0,"",_xlfn.MAXIFS(Sets!$H$2:$H$2000,Sets!$A$2:$A$2000,$A19,Sets!$D$2:$D$2000,AE$1,Sets!$J$2:$J$2000,"N"))</f>
        <v/>
      </c>
      <c r="AF19" s="4" t="str">
        <f aca="false">IF(_xlfn.MAXIFS(Sets!$H$2:$H$2000,Sets!$A$2:$A$2000,$A19,Sets!$D$2:$D$2000,AF$1,Sets!$J$2:$J$2000,"N")=0,"",_xlfn.MAXIFS(Sets!$H$2:$H$2000,Sets!$A$2:$A$2000,$A19,Sets!$D$2:$D$2000,AF$1,Sets!$J$2:$J$2000,"N"))</f>
        <v/>
      </c>
      <c r="AG19" s="4" t="str">
        <f aca="false">IF(_xlfn.MAXIFS(Sets!$H$2:$H$2000,Sets!$A$2:$A$2000,$A19,Sets!$D$2:$D$2000,AG$1,Sets!$J$2:$J$2000,"N")=0,"",_xlfn.MAXIFS(Sets!$H$2:$H$2000,Sets!$A$2:$A$2000,$A19,Sets!$D$2:$D$2000,AG$1,Sets!$J$2:$J$2000,"N"))</f>
        <v/>
      </c>
      <c r="AH19" s="4" t="str">
        <f aca="false">IF(_xlfn.MAXIFS(Sets!$H$2:$H$2000,Sets!$A$2:$A$2000,$A19,Sets!$D$2:$D$2000,AH$1,Sets!$J$2:$J$2000,"N")=0,"",_xlfn.MAXIFS(Sets!$H$2:$H$2000,Sets!$A$2:$A$2000,$A19,Sets!$D$2:$D$2000,AH$1,Sets!$J$2:$J$2000,"N"))</f>
        <v/>
      </c>
    </row>
    <row r="20" customFormat="false" ht="15" hidden="false" customHeight="false" outlineLevel="0" collapsed="false">
      <c r="A20" s="16" t="n">
        <v>46125</v>
      </c>
      <c r="B20" s="4" t="str">
        <f aca="false">IF(_xlfn.MAXIFS(Sets!$H$2:$H$2000,Sets!$A$2:$A$2000,$A20,Sets!$D$2:$D$2000,B$1,Sets!$J$2:$J$2000,"N")=0,"",_xlfn.MAXIFS(Sets!$H$2:$H$2000,Sets!$A$2:$A$2000,$A20,Sets!$D$2:$D$2000,B$1,Sets!$J$2:$J$2000,"N"))</f>
        <v/>
      </c>
      <c r="C20" s="4" t="n">
        <f aca="false">IF(_xlfn.MAXIFS(Sets!$H$2:$H$2000,Sets!$A$2:$A$2000,$A20,Sets!$D$2:$D$2000,C$1,Sets!$J$2:$J$2000,"N")=0,"",_xlfn.MAXIFS(Sets!$H$2:$H$2000,Sets!$A$2:$A$2000,$A20,Sets!$D$2:$D$2000,C$1,Sets!$J$2:$J$2000,"N"))</f>
        <v>22.5</v>
      </c>
      <c r="D20" s="4" t="str">
        <f aca="false">IF(_xlfn.MAXIFS(Sets!$H$2:$H$2000,Sets!$A$2:$A$2000,$A20,Sets!$D$2:$D$2000,D$1,Sets!$J$2:$J$2000,"N")=0,"",_xlfn.MAXIFS(Sets!$H$2:$H$2000,Sets!$A$2:$A$2000,$A20,Sets!$D$2:$D$2000,D$1,Sets!$J$2:$J$2000,"N"))</f>
        <v/>
      </c>
      <c r="E20" s="4" t="str">
        <f aca="false">IF(_xlfn.MAXIFS(Sets!$H$2:$H$2000,Sets!$A$2:$A$2000,$A20,Sets!$D$2:$D$2000,E$1,Sets!$J$2:$J$2000,"N")=0,"",_xlfn.MAXIFS(Sets!$H$2:$H$2000,Sets!$A$2:$A$2000,$A20,Sets!$D$2:$D$2000,E$1,Sets!$J$2:$J$2000,"N"))</f>
        <v/>
      </c>
      <c r="F20" s="4" t="str">
        <f aca="false">IF(_xlfn.MAXIFS(Sets!$H$2:$H$2000,Sets!$A$2:$A$2000,$A20,Sets!$D$2:$D$2000,F$1,Sets!$J$2:$J$2000,"N")=0,"",_xlfn.MAXIFS(Sets!$H$2:$H$2000,Sets!$A$2:$A$2000,$A20,Sets!$D$2:$D$2000,F$1,Sets!$J$2:$J$2000,"N"))</f>
        <v/>
      </c>
      <c r="G20" s="4" t="n">
        <f aca="false">IF(_xlfn.MAXIFS(Sets!$H$2:$H$2000,Sets!$A$2:$A$2000,$A20,Sets!$D$2:$D$2000,G$1,Sets!$J$2:$J$2000,"N")=0,"",_xlfn.MAXIFS(Sets!$H$2:$H$2000,Sets!$A$2:$A$2000,$A20,Sets!$D$2:$D$2000,G$1,Sets!$J$2:$J$2000,"N"))</f>
        <v>40</v>
      </c>
      <c r="H20" s="4" t="n">
        <f aca="false">IF(_xlfn.MAXIFS(Sets!$H$2:$H$2000,Sets!$A$2:$A$2000,$A20,Sets!$D$2:$D$2000,H$1,Sets!$J$2:$J$2000,"N")=0,"",_xlfn.MAXIFS(Sets!$H$2:$H$2000,Sets!$A$2:$A$2000,$A20,Sets!$D$2:$D$2000,H$1,Sets!$J$2:$J$2000,"N"))</f>
        <v>50</v>
      </c>
      <c r="I20" s="4" t="str">
        <f aca="false">IF(_xlfn.MAXIFS(Sets!$H$2:$H$2000,Sets!$A$2:$A$2000,$A20,Sets!$D$2:$D$2000,I$1,Sets!$J$2:$J$2000,"N")=0,"",_xlfn.MAXIFS(Sets!$H$2:$H$2000,Sets!$A$2:$A$2000,$A20,Sets!$D$2:$D$2000,I$1,Sets!$J$2:$J$2000,"N"))</f>
        <v/>
      </c>
      <c r="J20" s="4" t="str">
        <f aca="false">IF(_xlfn.MAXIFS(Sets!$H$2:$H$2000,Sets!$A$2:$A$2000,$A20,Sets!$D$2:$D$2000,J$1,Sets!$J$2:$J$2000,"N")=0,"",_xlfn.MAXIFS(Sets!$H$2:$H$2000,Sets!$A$2:$A$2000,$A20,Sets!$D$2:$D$2000,J$1,Sets!$J$2:$J$2000,"N"))</f>
        <v/>
      </c>
      <c r="K20" s="4" t="str">
        <f aca="false">IF(_xlfn.MAXIFS(Sets!$H$2:$H$2000,Sets!$A$2:$A$2000,$A20,Sets!$D$2:$D$2000,K$1,Sets!$J$2:$J$2000,"N")=0,"",_xlfn.MAXIFS(Sets!$H$2:$H$2000,Sets!$A$2:$A$2000,$A20,Sets!$D$2:$D$2000,K$1,Sets!$J$2:$J$2000,"N"))</f>
        <v/>
      </c>
      <c r="L20" s="4" t="str">
        <f aca="false">IF(_xlfn.MAXIFS(Sets!$H$2:$H$2000,Sets!$A$2:$A$2000,$A20,Sets!$D$2:$D$2000,L$1,Sets!$J$2:$J$2000,"N")=0,"",_xlfn.MAXIFS(Sets!$H$2:$H$2000,Sets!$A$2:$A$2000,$A20,Sets!$D$2:$D$2000,L$1,Sets!$J$2:$J$2000,"N"))</f>
        <v/>
      </c>
      <c r="M20" s="4" t="str">
        <f aca="false">IF(_xlfn.MAXIFS(Sets!$H$2:$H$2000,Sets!$A$2:$A$2000,$A20,Sets!$D$2:$D$2000,M$1,Sets!$J$2:$J$2000,"N")=0,"",_xlfn.MAXIFS(Sets!$H$2:$H$2000,Sets!$A$2:$A$2000,$A20,Sets!$D$2:$D$2000,M$1,Sets!$J$2:$J$2000,"N"))</f>
        <v/>
      </c>
      <c r="N20" s="4" t="str">
        <f aca="false">IF(_xlfn.MAXIFS(Sets!$H$2:$H$2000,Sets!$A$2:$A$2000,$A20,Sets!$D$2:$D$2000,N$1,Sets!$J$2:$J$2000,"N")=0,"",_xlfn.MAXIFS(Sets!$H$2:$H$2000,Sets!$A$2:$A$2000,$A20,Sets!$D$2:$D$2000,N$1,Sets!$J$2:$J$2000,"N"))</f>
        <v/>
      </c>
      <c r="O20" s="4" t="str">
        <f aca="false">IF(_xlfn.MAXIFS(Sets!$H$2:$H$2000,Sets!$A$2:$A$2000,$A20,Sets!$D$2:$D$2000,O$1,Sets!$J$2:$J$2000,"N")=0,"",_xlfn.MAXIFS(Sets!$H$2:$H$2000,Sets!$A$2:$A$2000,$A20,Sets!$D$2:$D$2000,O$1,Sets!$J$2:$J$2000,"N"))</f>
        <v/>
      </c>
      <c r="P20" s="4" t="str">
        <f aca="false">IF(_xlfn.MAXIFS(Sets!$H$2:$H$2000,Sets!$A$2:$A$2000,$A20,Sets!$D$2:$D$2000,P$1,Sets!$J$2:$J$2000,"N")=0,"",_xlfn.MAXIFS(Sets!$H$2:$H$2000,Sets!$A$2:$A$2000,$A20,Sets!$D$2:$D$2000,P$1,Sets!$J$2:$J$2000,"N"))</f>
        <v/>
      </c>
      <c r="Q20" s="4" t="str">
        <f aca="false">IF(_xlfn.MAXIFS(Sets!$H$2:$H$2000,Sets!$A$2:$A$2000,$A20,Sets!$D$2:$D$2000,Q$1,Sets!$J$2:$J$2000,"N")=0,"",_xlfn.MAXIFS(Sets!$H$2:$H$2000,Sets!$A$2:$A$2000,$A20,Sets!$D$2:$D$2000,Q$1,Sets!$J$2:$J$2000,"N"))</f>
        <v/>
      </c>
      <c r="R20" s="4" t="str">
        <f aca="false">IF(_xlfn.MAXIFS(Sets!$H$2:$H$2000,Sets!$A$2:$A$2000,$A20,Sets!$D$2:$D$2000,R$1,Sets!$J$2:$J$2000,"N")=0,"",_xlfn.MAXIFS(Sets!$H$2:$H$2000,Sets!$A$2:$A$2000,$A20,Sets!$D$2:$D$2000,R$1,Sets!$J$2:$J$2000,"N"))</f>
        <v/>
      </c>
      <c r="S20" s="4" t="str">
        <f aca="false">IF(_xlfn.MAXIFS(Sets!$H$2:$H$2000,Sets!$A$2:$A$2000,$A20,Sets!$D$2:$D$2000,S$1,Sets!$J$2:$J$2000,"N")=0,"",_xlfn.MAXIFS(Sets!$H$2:$H$2000,Sets!$A$2:$A$2000,$A20,Sets!$D$2:$D$2000,S$1,Sets!$J$2:$J$2000,"N"))</f>
        <v/>
      </c>
      <c r="T20" s="4" t="str">
        <f aca="false">IF(_xlfn.MAXIFS(Sets!$H$2:$H$2000,Sets!$A$2:$A$2000,$A20,Sets!$D$2:$D$2000,T$1,Sets!$J$2:$J$2000,"N")=0,"",_xlfn.MAXIFS(Sets!$H$2:$H$2000,Sets!$A$2:$A$2000,$A20,Sets!$D$2:$D$2000,T$1,Sets!$J$2:$J$2000,"N"))</f>
        <v/>
      </c>
      <c r="U20" s="4" t="n">
        <f aca="false">IF(_xlfn.MAXIFS(Sets!$H$2:$H$2000,Sets!$A$2:$A$2000,$A20,Sets!$D$2:$D$2000,U$1,Sets!$J$2:$J$2000,"N")=0,"",_xlfn.MAXIFS(Sets!$H$2:$H$2000,Sets!$A$2:$A$2000,$A20,Sets!$D$2:$D$2000,U$1,Sets!$J$2:$J$2000,"N"))</f>
        <v>7.5</v>
      </c>
      <c r="V20" s="4" t="str">
        <f aca="false">IF(_xlfn.MAXIFS(Sets!$H$2:$H$2000,Sets!$A$2:$A$2000,$A20,Sets!$D$2:$D$2000,V$1,Sets!$J$2:$J$2000,"N")=0,"",_xlfn.MAXIFS(Sets!$H$2:$H$2000,Sets!$A$2:$A$2000,$A20,Sets!$D$2:$D$2000,V$1,Sets!$J$2:$J$2000,"N"))</f>
        <v/>
      </c>
      <c r="W20" s="4" t="str">
        <f aca="false">IF(_xlfn.MAXIFS(Sets!$H$2:$H$2000,Sets!$A$2:$A$2000,$A20,Sets!$D$2:$D$2000,W$1,Sets!$J$2:$J$2000,"N")=0,"",_xlfn.MAXIFS(Sets!$H$2:$H$2000,Sets!$A$2:$A$2000,$A20,Sets!$D$2:$D$2000,W$1,Sets!$J$2:$J$2000,"N"))</f>
        <v/>
      </c>
      <c r="X20" s="4" t="str">
        <f aca="false">IF(_xlfn.MAXIFS(Sets!$H$2:$H$2000,Sets!$A$2:$A$2000,$A20,Sets!$D$2:$D$2000,X$1,Sets!$J$2:$J$2000,"N")=0,"",_xlfn.MAXIFS(Sets!$H$2:$H$2000,Sets!$A$2:$A$2000,$A20,Sets!$D$2:$D$2000,X$1,Sets!$J$2:$J$2000,"N"))</f>
        <v/>
      </c>
      <c r="Y20" s="4" t="str">
        <f aca="false">IF(_xlfn.MAXIFS(Sets!$H$2:$H$2000,Sets!$A$2:$A$2000,$A20,Sets!$D$2:$D$2000,Y$1,Sets!$J$2:$J$2000,"N")=0,"",_xlfn.MAXIFS(Sets!$H$2:$H$2000,Sets!$A$2:$A$2000,$A20,Sets!$D$2:$D$2000,Y$1,Sets!$J$2:$J$2000,"N"))</f>
        <v/>
      </c>
      <c r="Z20" s="4" t="str">
        <f aca="false">IF(_xlfn.MAXIFS(Sets!$H$2:$H$2000,Sets!$A$2:$A$2000,$A20,Sets!$D$2:$D$2000,Z$1,Sets!$J$2:$J$2000,"N")=0,"",_xlfn.MAXIFS(Sets!$H$2:$H$2000,Sets!$A$2:$A$2000,$A20,Sets!$D$2:$D$2000,Z$1,Sets!$J$2:$J$2000,"N"))</f>
        <v/>
      </c>
      <c r="AA20" s="4" t="str">
        <f aca="false">IF(_xlfn.MAXIFS(Sets!$H$2:$H$2000,Sets!$A$2:$A$2000,$A20,Sets!$D$2:$D$2000,AA$1,Sets!$J$2:$J$2000,"N")=0,"",_xlfn.MAXIFS(Sets!$H$2:$H$2000,Sets!$A$2:$A$2000,$A20,Sets!$D$2:$D$2000,AA$1,Sets!$J$2:$J$2000,"N"))</f>
        <v/>
      </c>
      <c r="AB20" s="4" t="str">
        <f aca="false">IF(_xlfn.MAXIFS(Sets!$H$2:$H$2000,Sets!$A$2:$A$2000,$A20,Sets!$D$2:$D$2000,AB$1,Sets!$J$2:$J$2000,"N")=0,"",_xlfn.MAXIFS(Sets!$H$2:$H$2000,Sets!$A$2:$A$2000,$A20,Sets!$D$2:$D$2000,AB$1,Sets!$J$2:$J$2000,"N"))</f>
        <v/>
      </c>
      <c r="AC20" s="4" t="str">
        <f aca="false">IF(_xlfn.MAXIFS(Sets!$H$2:$H$2000,Sets!$A$2:$A$2000,$A20,Sets!$D$2:$D$2000,AC$1,Sets!$J$2:$J$2000,"N")=0,"",_xlfn.MAXIFS(Sets!$H$2:$H$2000,Sets!$A$2:$A$2000,$A20,Sets!$D$2:$D$2000,AC$1,Sets!$J$2:$J$2000,"N"))</f>
        <v/>
      </c>
      <c r="AD20" s="4" t="str">
        <f aca="false">IF(_xlfn.MAXIFS(Sets!$H$2:$H$2000,Sets!$A$2:$A$2000,$A20,Sets!$D$2:$D$2000,AD$1,Sets!$J$2:$J$2000,"N")=0,"",_xlfn.MAXIFS(Sets!$H$2:$H$2000,Sets!$A$2:$A$2000,$A20,Sets!$D$2:$D$2000,AD$1,Sets!$J$2:$J$2000,"N"))</f>
        <v/>
      </c>
      <c r="AE20" s="4" t="str">
        <f aca="false">IF(_xlfn.MAXIFS(Sets!$H$2:$H$2000,Sets!$A$2:$A$2000,$A20,Sets!$D$2:$D$2000,AE$1,Sets!$J$2:$J$2000,"N")=0,"",_xlfn.MAXIFS(Sets!$H$2:$H$2000,Sets!$A$2:$A$2000,$A20,Sets!$D$2:$D$2000,AE$1,Sets!$J$2:$J$2000,"N"))</f>
        <v/>
      </c>
      <c r="AF20" s="4" t="str">
        <f aca="false">IF(_xlfn.MAXIFS(Sets!$H$2:$H$2000,Sets!$A$2:$A$2000,$A20,Sets!$D$2:$D$2000,AF$1,Sets!$J$2:$J$2000,"N")=0,"",_xlfn.MAXIFS(Sets!$H$2:$H$2000,Sets!$A$2:$A$2000,$A20,Sets!$D$2:$D$2000,AF$1,Sets!$J$2:$J$2000,"N"))</f>
        <v/>
      </c>
      <c r="AG20" s="4" t="str">
        <f aca="false">IF(_xlfn.MAXIFS(Sets!$H$2:$H$2000,Sets!$A$2:$A$2000,$A20,Sets!$D$2:$D$2000,AG$1,Sets!$J$2:$J$2000,"N")=0,"",_xlfn.MAXIFS(Sets!$H$2:$H$2000,Sets!$A$2:$A$2000,$A20,Sets!$D$2:$D$2000,AG$1,Sets!$J$2:$J$2000,"N"))</f>
        <v/>
      </c>
      <c r="AH20" s="4" t="str">
        <f aca="false">IF(_xlfn.MAXIFS(Sets!$H$2:$H$2000,Sets!$A$2:$A$2000,$A20,Sets!$D$2:$D$2000,AH$1,Sets!$J$2:$J$2000,"N")=0,"",_xlfn.MAXIFS(Sets!$H$2:$H$2000,Sets!$A$2:$A$2000,$A20,Sets!$D$2:$D$2000,AH$1,Sets!$J$2:$J$2000,"N"))</f>
        <v/>
      </c>
    </row>
    <row r="21" customFormat="false" ht="15" hidden="false" customHeight="false" outlineLevel="0" collapsed="false">
      <c r="A21" s="16" t="n">
        <v>46127</v>
      </c>
      <c r="B21" s="4" t="n">
        <f aca="false">IF(_xlfn.MAXIFS(Sets!$H$2:$H$2000,Sets!$A$2:$A$2000,$A21,Sets!$D$2:$D$2000,B$1,Sets!$J$2:$J$2000,"N")=0,"",_xlfn.MAXIFS(Sets!$H$2:$H$2000,Sets!$A$2:$A$2000,$A21,Sets!$D$2:$D$2000,B$1,Sets!$J$2:$J$2000,"N"))</f>
        <v>35</v>
      </c>
      <c r="C21" s="4" t="str">
        <f aca="false">IF(_xlfn.MAXIFS(Sets!$H$2:$H$2000,Sets!$A$2:$A$2000,$A21,Sets!$D$2:$D$2000,C$1,Sets!$J$2:$J$2000,"N")=0,"",_xlfn.MAXIFS(Sets!$H$2:$H$2000,Sets!$A$2:$A$2000,$A21,Sets!$D$2:$D$2000,C$1,Sets!$J$2:$J$2000,"N"))</f>
        <v/>
      </c>
      <c r="D21" s="4" t="n">
        <f aca="false">IF(_xlfn.MAXIFS(Sets!$H$2:$H$2000,Sets!$A$2:$A$2000,$A21,Sets!$D$2:$D$2000,D$1,Sets!$J$2:$J$2000,"N")=0,"",_xlfn.MAXIFS(Sets!$H$2:$H$2000,Sets!$A$2:$A$2000,$A21,Sets!$D$2:$D$2000,D$1,Sets!$J$2:$J$2000,"N"))</f>
        <v>45</v>
      </c>
      <c r="E21" s="4" t="n">
        <f aca="false">IF(_xlfn.MAXIFS(Sets!$H$2:$H$2000,Sets!$A$2:$A$2000,$A21,Sets!$D$2:$D$2000,E$1,Sets!$J$2:$J$2000,"N")=0,"",_xlfn.MAXIFS(Sets!$H$2:$H$2000,Sets!$A$2:$A$2000,$A21,Sets!$D$2:$D$2000,E$1,Sets!$J$2:$J$2000,"N"))</f>
        <v>75</v>
      </c>
      <c r="F21" s="4" t="str">
        <f aca="false">IF(_xlfn.MAXIFS(Sets!$H$2:$H$2000,Sets!$A$2:$A$2000,$A21,Sets!$D$2:$D$2000,F$1,Sets!$J$2:$J$2000,"N")=0,"",_xlfn.MAXIFS(Sets!$H$2:$H$2000,Sets!$A$2:$A$2000,$A21,Sets!$D$2:$D$2000,F$1,Sets!$J$2:$J$2000,"N"))</f>
        <v/>
      </c>
      <c r="G21" s="4" t="str">
        <f aca="false">IF(_xlfn.MAXIFS(Sets!$H$2:$H$2000,Sets!$A$2:$A$2000,$A21,Sets!$D$2:$D$2000,G$1,Sets!$J$2:$J$2000,"N")=0,"",_xlfn.MAXIFS(Sets!$H$2:$H$2000,Sets!$A$2:$A$2000,$A21,Sets!$D$2:$D$2000,G$1,Sets!$J$2:$J$2000,"N"))</f>
        <v/>
      </c>
      <c r="H21" s="4" t="str">
        <f aca="false">IF(_xlfn.MAXIFS(Sets!$H$2:$H$2000,Sets!$A$2:$A$2000,$A21,Sets!$D$2:$D$2000,H$1,Sets!$J$2:$J$2000,"N")=0,"",_xlfn.MAXIFS(Sets!$H$2:$H$2000,Sets!$A$2:$A$2000,$A21,Sets!$D$2:$D$2000,H$1,Sets!$J$2:$J$2000,"N"))</f>
        <v/>
      </c>
      <c r="I21" s="4" t="str">
        <f aca="false">IF(_xlfn.MAXIFS(Sets!$H$2:$H$2000,Sets!$A$2:$A$2000,$A21,Sets!$D$2:$D$2000,I$1,Sets!$J$2:$J$2000,"N")=0,"",_xlfn.MAXIFS(Sets!$H$2:$H$2000,Sets!$A$2:$A$2000,$A21,Sets!$D$2:$D$2000,I$1,Sets!$J$2:$J$2000,"N"))</f>
        <v/>
      </c>
      <c r="J21" s="4" t="str">
        <f aca="false">IF(_xlfn.MAXIFS(Sets!$H$2:$H$2000,Sets!$A$2:$A$2000,$A21,Sets!$D$2:$D$2000,J$1,Sets!$J$2:$J$2000,"N")=0,"",_xlfn.MAXIFS(Sets!$H$2:$H$2000,Sets!$A$2:$A$2000,$A21,Sets!$D$2:$D$2000,J$1,Sets!$J$2:$J$2000,"N"))</f>
        <v/>
      </c>
      <c r="K21" s="4" t="str">
        <f aca="false">IF(_xlfn.MAXIFS(Sets!$H$2:$H$2000,Sets!$A$2:$A$2000,$A21,Sets!$D$2:$D$2000,K$1,Sets!$J$2:$J$2000,"N")=0,"",_xlfn.MAXIFS(Sets!$H$2:$H$2000,Sets!$A$2:$A$2000,$A21,Sets!$D$2:$D$2000,K$1,Sets!$J$2:$J$2000,"N"))</f>
        <v/>
      </c>
      <c r="L21" s="4" t="str">
        <f aca="false">IF(_xlfn.MAXIFS(Sets!$H$2:$H$2000,Sets!$A$2:$A$2000,$A21,Sets!$D$2:$D$2000,L$1,Sets!$J$2:$J$2000,"N")=0,"",_xlfn.MAXIFS(Sets!$H$2:$H$2000,Sets!$A$2:$A$2000,$A21,Sets!$D$2:$D$2000,L$1,Sets!$J$2:$J$2000,"N"))</f>
        <v/>
      </c>
      <c r="M21" s="4" t="str">
        <f aca="false">IF(_xlfn.MAXIFS(Sets!$H$2:$H$2000,Sets!$A$2:$A$2000,$A21,Sets!$D$2:$D$2000,M$1,Sets!$J$2:$J$2000,"N")=0,"",_xlfn.MAXIFS(Sets!$H$2:$H$2000,Sets!$A$2:$A$2000,$A21,Sets!$D$2:$D$2000,M$1,Sets!$J$2:$J$2000,"N"))</f>
        <v/>
      </c>
      <c r="N21" s="4" t="str">
        <f aca="false">IF(_xlfn.MAXIFS(Sets!$H$2:$H$2000,Sets!$A$2:$A$2000,$A21,Sets!$D$2:$D$2000,N$1,Sets!$J$2:$J$2000,"N")=0,"",_xlfn.MAXIFS(Sets!$H$2:$H$2000,Sets!$A$2:$A$2000,$A21,Sets!$D$2:$D$2000,N$1,Sets!$J$2:$J$2000,"N"))</f>
        <v/>
      </c>
      <c r="O21" s="4" t="str">
        <f aca="false">IF(_xlfn.MAXIFS(Sets!$H$2:$H$2000,Sets!$A$2:$A$2000,$A21,Sets!$D$2:$D$2000,O$1,Sets!$J$2:$J$2000,"N")=0,"",_xlfn.MAXIFS(Sets!$H$2:$H$2000,Sets!$A$2:$A$2000,$A21,Sets!$D$2:$D$2000,O$1,Sets!$J$2:$J$2000,"N"))</f>
        <v/>
      </c>
      <c r="P21" s="4" t="str">
        <f aca="false">IF(_xlfn.MAXIFS(Sets!$H$2:$H$2000,Sets!$A$2:$A$2000,$A21,Sets!$D$2:$D$2000,P$1,Sets!$J$2:$J$2000,"N")=0,"",_xlfn.MAXIFS(Sets!$H$2:$H$2000,Sets!$A$2:$A$2000,$A21,Sets!$D$2:$D$2000,P$1,Sets!$J$2:$J$2000,"N"))</f>
        <v/>
      </c>
      <c r="Q21" s="4" t="str">
        <f aca="false">IF(_xlfn.MAXIFS(Sets!$H$2:$H$2000,Sets!$A$2:$A$2000,$A21,Sets!$D$2:$D$2000,Q$1,Sets!$J$2:$J$2000,"N")=0,"",_xlfn.MAXIFS(Sets!$H$2:$H$2000,Sets!$A$2:$A$2000,$A21,Sets!$D$2:$D$2000,Q$1,Sets!$J$2:$J$2000,"N"))</f>
        <v/>
      </c>
      <c r="R21" s="4" t="str">
        <f aca="false">IF(_xlfn.MAXIFS(Sets!$H$2:$H$2000,Sets!$A$2:$A$2000,$A21,Sets!$D$2:$D$2000,R$1,Sets!$J$2:$J$2000,"N")=0,"",_xlfn.MAXIFS(Sets!$H$2:$H$2000,Sets!$A$2:$A$2000,$A21,Sets!$D$2:$D$2000,R$1,Sets!$J$2:$J$2000,"N"))</f>
        <v/>
      </c>
      <c r="S21" s="4" t="str">
        <f aca="false">IF(_xlfn.MAXIFS(Sets!$H$2:$H$2000,Sets!$A$2:$A$2000,$A21,Sets!$D$2:$D$2000,S$1,Sets!$J$2:$J$2000,"N")=0,"",_xlfn.MAXIFS(Sets!$H$2:$H$2000,Sets!$A$2:$A$2000,$A21,Sets!$D$2:$D$2000,S$1,Sets!$J$2:$J$2000,"N"))</f>
        <v/>
      </c>
      <c r="T21" s="4" t="str">
        <f aca="false">IF(_xlfn.MAXIFS(Sets!$H$2:$H$2000,Sets!$A$2:$A$2000,$A21,Sets!$D$2:$D$2000,T$1,Sets!$J$2:$J$2000,"N")=0,"",_xlfn.MAXIFS(Sets!$H$2:$H$2000,Sets!$A$2:$A$2000,$A21,Sets!$D$2:$D$2000,T$1,Sets!$J$2:$J$2000,"N"))</f>
        <v/>
      </c>
      <c r="U21" s="4" t="str">
        <f aca="false">IF(_xlfn.MAXIFS(Sets!$H$2:$H$2000,Sets!$A$2:$A$2000,$A21,Sets!$D$2:$D$2000,U$1,Sets!$J$2:$J$2000,"N")=0,"",_xlfn.MAXIFS(Sets!$H$2:$H$2000,Sets!$A$2:$A$2000,$A21,Sets!$D$2:$D$2000,U$1,Sets!$J$2:$J$2000,"N"))</f>
        <v/>
      </c>
      <c r="V21" s="4" t="str">
        <f aca="false">IF(_xlfn.MAXIFS(Sets!$H$2:$H$2000,Sets!$A$2:$A$2000,$A21,Sets!$D$2:$D$2000,V$1,Sets!$J$2:$J$2000,"N")=0,"",_xlfn.MAXIFS(Sets!$H$2:$H$2000,Sets!$A$2:$A$2000,$A21,Sets!$D$2:$D$2000,V$1,Sets!$J$2:$J$2000,"N"))</f>
        <v/>
      </c>
      <c r="W21" s="4" t="str">
        <f aca="false">IF(_xlfn.MAXIFS(Sets!$H$2:$H$2000,Sets!$A$2:$A$2000,$A21,Sets!$D$2:$D$2000,W$1,Sets!$J$2:$J$2000,"N")=0,"",_xlfn.MAXIFS(Sets!$H$2:$H$2000,Sets!$A$2:$A$2000,$A21,Sets!$D$2:$D$2000,W$1,Sets!$J$2:$J$2000,"N"))</f>
        <v/>
      </c>
      <c r="X21" s="4" t="str">
        <f aca="false">IF(_xlfn.MAXIFS(Sets!$H$2:$H$2000,Sets!$A$2:$A$2000,$A21,Sets!$D$2:$D$2000,X$1,Sets!$J$2:$J$2000,"N")=0,"",_xlfn.MAXIFS(Sets!$H$2:$H$2000,Sets!$A$2:$A$2000,$A21,Sets!$D$2:$D$2000,X$1,Sets!$J$2:$J$2000,"N"))</f>
        <v/>
      </c>
      <c r="Y21" s="4" t="str">
        <f aca="false">IF(_xlfn.MAXIFS(Sets!$H$2:$H$2000,Sets!$A$2:$A$2000,$A21,Sets!$D$2:$D$2000,Y$1,Sets!$J$2:$J$2000,"N")=0,"",_xlfn.MAXIFS(Sets!$H$2:$H$2000,Sets!$A$2:$A$2000,$A21,Sets!$D$2:$D$2000,Y$1,Sets!$J$2:$J$2000,"N"))</f>
        <v/>
      </c>
      <c r="Z21" s="4" t="str">
        <f aca="false">IF(_xlfn.MAXIFS(Sets!$H$2:$H$2000,Sets!$A$2:$A$2000,$A21,Sets!$D$2:$D$2000,Z$1,Sets!$J$2:$J$2000,"N")=0,"",_xlfn.MAXIFS(Sets!$H$2:$H$2000,Sets!$A$2:$A$2000,$A21,Sets!$D$2:$D$2000,Z$1,Sets!$J$2:$J$2000,"N"))</f>
        <v/>
      </c>
      <c r="AA21" s="4" t="str">
        <f aca="false">IF(_xlfn.MAXIFS(Sets!$H$2:$H$2000,Sets!$A$2:$A$2000,$A21,Sets!$D$2:$D$2000,AA$1,Sets!$J$2:$J$2000,"N")=0,"",_xlfn.MAXIFS(Sets!$H$2:$H$2000,Sets!$A$2:$A$2000,$A21,Sets!$D$2:$D$2000,AA$1,Sets!$J$2:$J$2000,"N"))</f>
        <v/>
      </c>
      <c r="AB21" s="4" t="str">
        <f aca="false">IF(_xlfn.MAXIFS(Sets!$H$2:$H$2000,Sets!$A$2:$A$2000,$A21,Sets!$D$2:$D$2000,AB$1,Sets!$J$2:$J$2000,"N")=0,"",_xlfn.MAXIFS(Sets!$H$2:$H$2000,Sets!$A$2:$A$2000,$A21,Sets!$D$2:$D$2000,AB$1,Sets!$J$2:$J$2000,"N"))</f>
        <v/>
      </c>
      <c r="AC21" s="4" t="str">
        <f aca="false">IF(_xlfn.MAXIFS(Sets!$H$2:$H$2000,Sets!$A$2:$A$2000,$A21,Sets!$D$2:$D$2000,AC$1,Sets!$J$2:$J$2000,"N")=0,"",_xlfn.MAXIFS(Sets!$H$2:$H$2000,Sets!$A$2:$A$2000,$A21,Sets!$D$2:$D$2000,AC$1,Sets!$J$2:$J$2000,"N"))</f>
        <v/>
      </c>
      <c r="AD21" s="4" t="str">
        <f aca="false">IF(_xlfn.MAXIFS(Sets!$H$2:$H$2000,Sets!$A$2:$A$2000,$A21,Sets!$D$2:$D$2000,AD$1,Sets!$J$2:$J$2000,"N")=0,"",_xlfn.MAXIFS(Sets!$H$2:$H$2000,Sets!$A$2:$A$2000,$A21,Sets!$D$2:$D$2000,AD$1,Sets!$J$2:$J$2000,"N"))</f>
        <v/>
      </c>
      <c r="AE21" s="4" t="str">
        <f aca="false">IF(_xlfn.MAXIFS(Sets!$H$2:$H$2000,Sets!$A$2:$A$2000,$A21,Sets!$D$2:$D$2000,AE$1,Sets!$J$2:$J$2000,"N")=0,"",_xlfn.MAXIFS(Sets!$H$2:$H$2000,Sets!$A$2:$A$2000,$A21,Sets!$D$2:$D$2000,AE$1,Sets!$J$2:$J$2000,"N"))</f>
        <v/>
      </c>
      <c r="AF21" s="4" t="str">
        <f aca="false">IF(_xlfn.MAXIFS(Sets!$H$2:$H$2000,Sets!$A$2:$A$2000,$A21,Sets!$D$2:$D$2000,AF$1,Sets!$J$2:$J$2000,"N")=0,"",_xlfn.MAXIFS(Sets!$H$2:$H$2000,Sets!$A$2:$A$2000,$A21,Sets!$D$2:$D$2000,AF$1,Sets!$J$2:$J$2000,"N"))</f>
        <v/>
      </c>
      <c r="AG21" s="4" t="str">
        <f aca="false">IF(_xlfn.MAXIFS(Sets!$H$2:$H$2000,Sets!$A$2:$A$2000,$A21,Sets!$D$2:$D$2000,AG$1,Sets!$J$2:$J$2000,"N")=0,"",_xlfn.MAXIFS(Sets!$H$2:$H$2000,Sets!$A$2:$A$2000,$A21,Sets!$D$2:$D$2000,AG$1,Sets!$J$2:$J$2000,"N"))</f>
        <v/>
      </c>
      <c r="AH21" s="4" t="str">
        <f aca="false">IF(_xlfn.MAXIFS(Sets!$H$2:$H$2000,Sets!$A$2:$A$2000,$A21,Sets!$D$2:$D$2000,AH$1,Sets!$J$2:$J$2000,"N")=0,"",_xlfn.MAXIFS(Sets!$H$2:$H$2000,Sets!$A$2:$A$2000,$A21,Sets!$D$2:$D$2000,AH$1,Sets!$J$2:$J$2000,"N"))</f>
        <v/>
      </c>
    </row>
    <row r="22" customFormat="false" ht="15" hidden="false" customHeight="false" outlineLevel="0" collapsed="false">
      <c r="A22" s="16" t="n">
        <v>46128</v>
      </c>
      <c r="B22" s="4" t="str">
        <f aca="false">IF(_xlfn.MAXIFS(Sets!$H$2:$H$2000,Sets!$A$2:$A$2000,$A22,Sets!$D$2:$D$2000,B$1,Sets!$J$2:$J$2000,"N")=0,"",_xlfn.MAXIFS(Sets!$H$2:$H$2000,Sets!$A$2:$A$2000,$A22,Sets!$D$2:$D$2000,B$1,Sets!$J$2:$J$2000,"N"))</f>
        <v/>
      </c>
      <c r="C22" s="4" t="str">
        <f aca="false">IF(_xlfn.MAXIFS(Sets!$H$2:$H$2000,Sets!$A$2:$A$2000,$A22,Sets!$D$2:$D$2000,C$1,Sets!$J$2:$J$2000,"N")=0,"",_xlfn.MAXIFS(Sets!$H$2:$H$2000,Sets!$A$2:$A$2000,$A22,Sets!$D$2:$D$2000,C$1,Sets!$J$2:$J$2000,"N"))</f>
        <v/>
      </c>
      <c r="D22" s="4" t="n">
        <f aca="false">IF(_xlfn.MAXIFS(Sets!$H$2:$H$2000,Sets!$A$2:$A$2000,$A22,Sets!$D$2:$D$2000,D$1,Sets!$J$2:$J$2000,"N")=0,"",_xlfn.MAXIFS(Sets!$H$2:$H$2000,Sets!$A$2:$A$2000,$A22,Sets!$D$2:$D$2000,D$1,Sets!$J$2:$J$2000,"N"))</f>
        <v>45</v>
      </c>
      <c r="E22" s="4" t="str">
        <f aca="false">IF(_xlfn.MAXIFS(Sets!$H$2:$H$2000,Sets!$A$2:$A$2000,$A22,Sets!$D$2:$D$2000,E$1,Sets!$J$2:$J$2000,"N")=0,"",_xlfn.MAXIFS(Sets!$H$2:$H$2000,Sets!$A$2:$A$2000,$A22,Sets!$D$2:$D$2000,E$1,Sets!$J$2:$J$2000,"N"))</f>
        <v/>
      </c>
      <c r="F22" s="4" t="n">
        <f aca="false">IF(_xlfn.MAXIFS(Sets!$H$2:$H$2000,Sets!$A$2:$A$2000,$A22,Sets!$D$2:$D$2000,F$1,Sets!$J$2:$J$2000,"N")=0,"",_xlfn.MAXIFS(Sets!$H$2:$H$2000,Sets!$A$2:$A$2000,$A22,Sets!$D$2:$D$2000,F$1,Sets!$J$2:$J$2000,"N"))</f>
        <v>25</v>
      </c>
      <c r="G22" s="4" t="str">
        <f aca="false">IF(_xlfn.MAXIFS(Sets!$H$2:$H$2000,Sets!$A$2:$A$2000,$A22,Sets!$D$2:$D$2000,G$1,Sets!$J$2:$J$2000,"N")=0,"",_xlfn.MAXIFS(Sets!$H$2:$H$2000,Sets!$A$2:$A$2000,$A22,Sets!$D$2:$D$2000,G$1,Sets!$J$2:$J$2000,"N"))</f>
        <v/>
      </c>
      <c r="H22" s="4" t="str">
        <f aca="false">IF(_xlfn.MAXIFS(Sets!$H$2:$H$2000,Sets!$A$2:$A$2000,$A22,Sets!$D$2:$D$2000,H$1,Sets!$J$2:$J$2000,"N")=0,"",_xlfn.MAXIFS(Sets!$H$2:$H$2000,Sets!$A$2:$A$2000,$A22,Sets!$D$2:$D$2000,H$1,Sets!$J$2:$J$2000,"N"))</f>
        <v/>
      </c>
      <c r="I22" s="4" t="str">
        <f aca="false">IF(_xlfn.MAXIFS(Sets!$H$2:$H$2000,Sets!$A$2:$A$2000,$A22,Sets!$D$2:$D$2000,I$1,Sets!$J$2:$J$2000,"N")=0,"",_xlfn.MAXIFS(Sets!$H$2:$H$2000,Sets!$A$2:$A$2000,$A22,Sets!$D$2:$D$2000,I$1,Sets!$J$2:$J$2000,"N"))</f>
        <v/>
      </c>
      <c r="J22" s="4" t="str">
        <f aca="false">IF(_xlfn.MAXIFS(Sets!$H$2:$H$2000,Sets!$A$2:$A$2000,$A22,Sets!$D$2:$D$2000,J$1,Sets!$J$2:$J$2000,"N")=0,"",_xlfn.MAXIFS(Sets!$H$2:$H$2000,Sets!$A$2:$A$2000,$A22,Sets!$D$2:$D$2000,J$1,Sets!$J$2:$J$2000,"N"))</f>
        <v/>
      </c>
      <c r="K22" s="4" t="str">
        <f aca="false">IF(_xlfn.MAXIFS(Sets!$H$2:$H$2000,Sets!$A$2:$A$2000,$A22,Sets!$D$2:$D$2000,K$1,Sets!$J$2:$J$2000,"N")=0,"",_xlfn.MAXIFS(Sets!$H$2:$H$2000,Sets!$A$2:$A$2000,$A22,Sets!$D$2:$D$2000,K$1,Sets!$J$2:$J$2000,"N"))</f>
        <v/>
      </c>
      <c r="L22" s="4" t="n">
        <f aca="false">IF(_xlfn.MAXIFS(Sets!$H$2:$H$2000,Sets!$A$2:$A$2000,$A22,Sets!$D$2:$D$2000,L$1,Sets!$J$2:$J$2000,"N")=0,"",_xlfn.MAXIFS(Sets!$H$2:$H$2000,Sets!$A$2:$A$2000,$A22,Sets!$D$2:$D$2000,L$1,Sets!$J$2:$J$2000,"N"))</f>
        <v>10</v>
      </c>
      <c r="M22" s="4" t="str">
        <f aca="false">IF(_xlfn.MAXIFS(Sets!$H$2:$H$2000,Sets!$A$2:$A$2000,$A22,Sets!$D$2:$D$2000,M$1,Sets!$J$2:$J$2000,"N")=0,"",_xlfn.MAXIFS(Sets!$H$2:$H$2000,Sets!$A$2:$A$2000,$A22,Sets!$D$2:$D$2000,M$1,Sets!$J$2:$J$2000,"N"))</f>
        <v/>
      </c>
      <c r="N22" s="4" t="str">
        <f aca="false">IF(_xlfn.MAXIFS(Sets!$H$2:$H$2000,Sets!$A$2:$A$2000,$A22,Sets!$D$2:$D$2000,N$1,Sets!$J$2:$J$2000,"N")=0,"",_xlfn.MAXIFS(Sets!$H$2:$H$2000,Sets!$A$2:$A$2000,$A22,Sets!$D$2:$D$2000,N$1,Sets!$J$2:$J$2000,"N"))</f>
        <v/>
      </c>
      <c r="O22" s="4" t="str">
        <f aca="false">IF(_xlfn.MAXIFS(Sets!$H$2:$H$2000,Sets!$A$2:$A$2000,$A22,Sets!$D$2:$D$2000,O$1,Sets!$J$2:$J$2000,"N")=0,"",_xlfn.MAXIFS(Sets!$H$2:$H$2000,Sets!$A$2:$A$2000,$A22,Sets!$D$2:$D$2000,O$1,Sets!$J$2:$J$2000,"N"))</f>
        <v/>
      </c>
      <c r="P22" s="4" t="str">
        <f aca="false">IF(_xlfn.MAXIFS(Sets!$H$2:$H$2000,Sets!$A$2:$A$2000,$A22,Sets!$D$2:$D$2000,P$1,Sets!$J$2:$J$2000,"N")=0,"",_xlfn.MAXIFS(Sets!$H$2:$H$2000,Sets!$A$2:$A$2000,$A22,Sets!$D$2:$D$2000,P$1,Sets!$J$2:$J$2000,"N"))</f>
        <v/>
      </c>
      <c r="Q22" s="4" t="str">
        <f aca="false">IF(_xlfn.MAXIFS(Sets!$H$2:$H$2000,Sets!$A$2:$A$2000,$A22,Sets!$D$2:$D$2000,Q$1,Sets!$J$2:$J$2000,"N")=0,"",_xlfn.MAXIFS(Sets!$H$2:$H$2000,Sets!$A$2:$A$2000,$A22,Sets!$D$2:$D$2000,Q$1,Sets!$J$2:$J$2000,"N"))</f>
        <v/>
      </c>
      <c r="R22" s="4" t="str">
        <f aca="false">IF(_xlfn.MAXIFS(Sets!$H$2:$H$2000,Sets!$A$2:$A$2000,$A22,Sets!$D$2:$D$2000,R$1,Sets!$J$2:$J$2000,"N")=0,"",_xlfn.MAXIFS(Sets!$H$2:$H$2000,Sets!$A$2:$A$2000,$A22,Sets!$D$2:$D$2000,R$1,Sets!$J$2:$J$2000,"N"))</f>
        <v/>
      </c>
      <c r="S22" s="4" t="str">
        <f aca="false">IF(_xlfn.MAXIFS(Sets!$H$2:$H$2000,Sets!$A$2:$A$2000,$A22,Sets!$D$2:$D$2000,S$1,Sets!$J$2:$J$2000,"N")=0,"",_xlfn.MAXIFS(Sets!$H$2:$H$2000,Sets!$A$2:$A$2000,$A22,Sets!$D$2:$D$2000,S$1,Sets!$J$2:$J$2000,"N"))</f>
        <v/>
      </c>
      <c r="T22" s="4" t="str">
        <f aca="false">IF(_xlfn.MAXIFS(Sets!$H$2:$H$2000,Sets!$A$2:$A$2000,$A22,Sets!$D$2:$D$2000,T$1,Sets!$J$2:$J$2000,"N")=0,"",_xlfn.MAXIFS(Sets!$H$2:$H$2000,Sets!$A$2:$A$2000,$A22,Sets!$D$2:$D$2000,T$1,Sets!$J$2:$J$2000,"N"))</f>
        <v/>
      </c>
      <c r="U22" s="4" t="str">
        <f aca="false">IF(_xlfn.MAXIFS(Sets!$H$2:$H$2000,Sets!$A$2:$A$2000,$A22,Sets!$D$2:$D$2000,U$1,Sets!$J$2:$J$2000,"N")=0,"",_xlfn.MAXIFS(Sets!$H$2:$H$2000,Sets!$A$2:$A$2000,$A22,Sets!$D$2:$D$2000,U$1,Sets!$J$2:$J$2000,"N"))</f>
        <v/>
      </c>
      <c r="V22" s="4" t="str">
        <f aca="false">IF(_xlfn.MAXIFS(Sets!$H$2:$H$2000,Sets!$A$2:$A$2000,$A22,Sets!$D$2:$D$2000,V$1,Sets!$J$2:$J$2000,"N")=0,"",_xlfn.MAXIFS(Sets!$H$2:$H$2000,Sets!$A$2:$A$2000,$A22,Sets!$D$2:$D$2000,V$1,Sets!$J$2:$J$2000,"N"))</f>
        <v/>
      </c>
      <c r="W22" s="4" t="str">
        <f aca="false">IF(_xlfn.MAXIFS(Sets!$H$2:$H$2000,Sets!$A$2:$A$2000,$A22,Sets!$D$2:$D$2000,W$1,Sets!$J$2:$J$2000,"N")=0,"",_xlfn.MAXIFS(Sets!$H$2:$H$2000,Sets!$A$2:$A$2000,$A22,Sets!$D$2:$D$2000,W$1,Sets!$J$2:$J$2000,"N"))</f>
        <v/>
      </c>
      <c r="X22" s="4" t="str">
        <f aca="false">IF(_xlfn.MAXIFS(Sets!$H$2:$H$2000,Sets!$A$2:$A$2000,$A22,Sets!$D$2:$D$2000,X$1,Sets!$J$2:$J$2000,"N")=0,"",_xlfn.MAXIFS(Sets!$H$2:$H$2000,Sets!$A$2:$A$2000,$A22,Sets!$D$2:$D$2000,X$1,Sets!$J$2:$J$2000,"N"))</f>
        <v/>
      </c>
      <c r="Y22" s="4" t="str">
        <f aca="false">IF(_xlfn.MAXIFS(Sets!$H$2:$H$2000,Sets!$A$2:$A$2000,$A22,Sets!$D$2:$D$2000,Y$1,Sets!$J$2:$J$2000,"N")=0,"",_xlfn.MAXIFS(Sets!$H$2:$H$2000,Sets!$A$2:$A$2000,$A22,Sets!$D$2:$D$2000,Y$1,Sets!$J$2:$J$2000,"N"))</f>
        <v/>
      </c>
      <c r="Z22" s="4" t="str">
        <f aca="false">IF(_xlfn.MAXIFS(Sets!$H$2:$H$2000,Sets!$A$2:$A$2000,$A22,Sets!$D$2:$D$2000,Z$1,Sets!$J$2:$J$2000,"N")=0,"",_xlfn.MAXIFS(Sets!$H$2:$H$2000,Sets!$A$2:$A$2000,$A22,Sets!$D$2:$D$2000,Z$1,Sets!$J$2:$J$2000,"N"))</f>
        <v/>
      </c>
      <c r="AA22" s="4" t="str">
        <f aca="false">IF(_xlfn.MAXIFS(Sets!$H$2:$H$2000,Sets!$A$2:$A$2000,$A22,Sets!$D$2:$D$2000,AA$1,Sets!$J$2:$J$2000,"N")=0,"",_xlfn.MAXIFS(Sets!$H$2:$H$2000,Sets!$A$2:$A$2000,$A22,Sets!$D$2:$D$2000,AA$1,Sets!$J$2:$J$2000,"N"))</f>
        <v/>
      </c>
      <c r="AB22" s="4" t="str">
        <f aca="false">IF(_xlfn.MAXIFS(Sets!$H$2:$H$2000,Sets!$A$2:$A$2000,$A22,Sets!$D$2:$D$2000,AB$1,Sets!$J$2:$J$2000,"N")=0,"",_xlfn.MAXIFS(Sets!$H$2:$H$2000,Sets!$A$2:$A$2000,$A22,Sets!$D$2:$D$2000,AB$1,Sets!$J$2:$J$2000,"N"))</f>
        <v/>
      </c>
      <c r="AC22" s="4" t="str">
        <f aca="false">IF(_xlfn.MAXIFS(Sets!$H$2:$H$2000,Sets!$A$2:$A$2000,$A22,Sets!$D$2:$D$2000,AC$1,Sets!$J$2:$J$2000,"N")=0,"",_xlfn.MAXIFS(Sets!$H$2:$H$2000,Sets!$A$2:$A$2000,$A22,Sets!$D$2:$D$2000,AC$1,Sets!$J$2:$J$2000,"N"))</f>
        <v/>
      </c>
      <c r="AD22" s="4" t="str">
        <f aca="false">IF(_xlfn.MAXIFS(Sets!$H$2:$H$2000,Sets!$A$2:$A$2000,$A22,Sets!$D$2:$D$2000,AD$1,Sets!$J$2:$J$2000,"N")=0,"",_xlfn.MAXIFS(Sets!$H$2:$H$2000,Sets!$A$2:$A$2000,$A22,Sets!$D$2:$D$2000,AD$1,Sets!$J$2:$J$2000,"N"))</f>
        <v/>
      </c>
      <c r="AE22" s="4" t="str">
        <f aca="false">IF(_xlfn.MAXIFS(Sets!$H$2:$H$2000,Sets!$A$2:$A$2000,$A22,Sets!$D$2:$D$2000,AE$1,Sets!$J$2:$J$2000,"N")=0,"",_xlfn.MAXIFS(Sets!$H$2:$H$2000,Sets!$A$2:$A$2000,$A22,Sets!$D$2:$D$2000,AE$1,Sets!$J$2:$J$2000,"N"))</f>
        <v/>
      </c>
      <c r="AF22" s="4" t="str">
        <f aca="false">IF(_xlfn.MAXIFS(Sets!$H$2:$H$2000,Sets!$A$2:$A$2000,$A22,Sets!$D$2:$D$2000,AF$1,Sets!$J$2:$J$2000,"N")=0,"",_xlfn.MAXIFS(Sets!$H$2:$H$2000,Sets!$A$2:$A$2000,$A22,Sets!$D$2:$D$2000,AF$1,Sets!$J$2:$J$2000,"N"))</f>
        <v/>
      </c>
      <c r="AG22" s="4" t="str">
        <f aca="false">IF(_xlfn.MAXIFS(Sets!$H$2:$H$2000,Sets!$A$2:$A$2000,$A22,Sets!$D$2:$D$2000,AG$1,Sets!$J$2:$J$2000,"N")=0,"",_xlfn.MAXIFS(Sets!$H$2:$H$2000,Sets!$A$2:$A$2000,$A22,Sets!$D$2:$D$2000,AG$1,Sets!$J$2:$J$2000,"N"))</f>
        <v/>
      </c>
      <c r="AH22" s="4" t="str">
        <f aca="false">IF(_xlfn.MAXIFS(Sets!$H$2:$H$2000,Sets!$A$2:$A$2000,$A22,Sets!$D$2:$D$2000,AH$1,Sets!$J$2:$J$2000,"N")=0,"",_xlfn.MAXIFS(Sets!$H$2:$H$2000,Sets!$A$2:$A$2000,$A22,Sets!$D$2:$D$2000,AH$1,Sets!$J$2:$J$2000,"N"))</f>
        <v/>
      </c>
    </row>
    <row r="23" customFormat="false" ht="15" hidden="false" customHeight="false" outlineLevel="0" collapsed="false">
      <c r="A23" s="16" t="n">
        <v>46129</v>
      </c>
      <c r="B23" s="4" t="str">
        <f aca="false">IF(_xlfn.MAXIFS(Sets!$H$2:$H$2000,Sets!$A$2:$A$2000,$A23,Sets!$D$2:$D$2000,B$1,Sets!$J$2:$J$2000,"N")=0,"",_xlfn.MAXIFS(Sets!$H$2:$H$2000,Sets!$A$2:$A$2000,$A23,Sets!$D$2:$D$2000,B$1,Sets!$J$2:$J$2000,"N"))</f>
        <v/>
      </c>
      <c r="C23" s="4" t="n">
        <f aca="false">IF(_xlfn.MAXIFS(Sets!$H$2:$H$2000,Sets!$A$2:$A$2000,$A23,Sets!$D$2:$D$2000,C$1,Sets!$J$2:$J$2000,"N")=0,"",_xlfn.MAXIFS(Sets!$H$2:$H$2000,Sets!$A$2:$A$2000,$A23,Sets!$D$2:$D$2000,C$1,Sets!$J$2:$J$2000,"N"))</f>
        <v>22.5</v>
      </c>
      <c r="D23" s="4" t="str">
        <f aca="false">IF(_xlfn.MAXIFS(Sets!$H$2:$H$2000,Sets!$A$2:$A$2000,$A23,Sets!$D$2:$D$2000,D$1,Sets!$J$2:$J$2000,"N")=0,"",_xlfn.MAXIFS(Sets!$H$2:$H$2000,Sets!$A$2:$A$2000,$A23,Sets!$D$2:$D$2000,D$1,Sets!$J$2:$J$2000,"N"))</f>
        <v/>
      </c>
      <c r="E23" s="4" t="str">
        <f aca="false">IF(_xlfn.MAXIFS(Sets!$H$2:$H$2000,Sets!$A$2:$A$2000,$A23,Sets!$D$2:$D$2000,E$1,Sets!$J$2:$J$2000,"N")=0,"",_xlfn.MAXIFS(Sets!$H$2:$H$2000,Sets!$A$2:$A$2000,$A23,Sets!$D$2:$D$2000,E$1,Sets!$J$2:$J$2000,"N"))</f>
        <v/>
      </c>
      <c r="F23" s="4" t="str">
        <f aca="false">IF(_xlfn.MAXIFS(Sets!$H$2:$H$2000,Sets!$A$2:$A$2000,$A23,Sets!$D$2:$D$2000,F$1,Sets!$J$2:$J$2000,"N")=0,"",_xlfn.MAXIFS(Sets!$H$2:$H$2000,Sets!$A$2:$A$2000,$A23,Sets!$D$2:$D$2000,F$1,Sets!$J$2:$J$2000,"N"))</f>
        <v/>
      </c>
      <c r="G23" s="4" t="n">
        <f aca="false">IF(_xlfn.MAXIFS(Sets!$H$2:$H$2000,Sets!$A$2:$A$2000,$A23,Sets!$D$2:$D$2000,G$1,Sets!$J$2:$J$2000,"N")=0,"",_xlfn.MAXIFS(Sets!$H$2:$H$2000,Sets!$A$2:$A$2000,$A23,Sets!$D$2:$D$2000,G$1,Sets!$J$2:$J$2000,"N"))</f>
        <v>45</v>
      </c>
      <c r="H23" s="4" t="n">
        <f aca="false">IF(_xlfn.MAXIFS(Sets!$H$2:$H$2000,Sets!$A$2:$A$2000,$A23,Sets!$D$2:$D$2000,H$1,Sets!$J$2:$J$2000,"N")=0,"",_xlfn.MAXIFS(Sets!$H$2:$H$2000,Sets!$A$2:$A$2000,$A23,Sets!$D$2:$D$2000,H$1,Sets!$J$2:$J$2000,"N"))</f>
        <v>60</v>
      </c>
      <c r="I23" s="4" t="str">
        <f aca="false">IF(_xlfn.MAXIFS(Sets!$H$2:$H$2000,Sets!$A$2:$A$2000,$A23,Sets!$D$2:$D$2000,I$1,Sets!$J$2:$J$2000,"N")=0,"",_xlfn.MAXIFS(Sets!$H$2:$H$2000,Sets!$A$2:$A$2000,$A23,Sets!$D$2:$D$2000,I$1,Sets!$J$2:$J$2000,"N"))</f>
        <v/>
      </c>
      <c r="J23" s="4" t="str">
        <f aca="false">IF(_xlfn.MAXIFS(Sets!$H$2:$H$2000,Sets!$A$2:$A$2000,$A23,Sets!$D$2:$D$2000,J$1,Sets!$J$2:$J$2000,"N")=0,"",_xlfn.MAXIFS(Sets!$H$2:$H$2000,Sets!$A$2:$A$2000,$A23,Sets!$D$2:$D$2000,J$1,Sets!$J$2:$J$2000,"N"))</f>
        <v/>
      </c>
      <c r="K23" s="4" t="str">
        <f aca="false">IF(_xlfn.MAXIFS(Sets!$H$2:$H$2000,Sets!$A$2:$A$2000,$A23,Sets!$D$2:$D$2000,K$1,Sets!$J$2:$J$2000,"N")=0,"",_xlfn.MAXIFS(Sets!$H$2:$H$2000,Sets!$A$2:$A$2000,$A23,Sets!$D$2:$D$2000,K$1,Sets!$J$2:$J$2000,"N"))</f>
        <v/>
      </c>
      <c r="L23" s="4" t="str">
        <f aca="false">IF(_xlfn.MAXIFS(Sets!$H$2:$H$2000,Sets!$A$2:$A$2000,$A23,Sets!$D$2:$D$2000,L$1,Sets!$J$2:$J$2000,"N")=0,"",_xlfn.MAXIFS(Sets!$H$2:$H$2000,Sets!$A$2:$A$2000,$A23,Sets!$D$2:$D$2000,L$1,Sets!$J$2:$J$2000,"N"))</f>
        <v/>
      </c>
      <c r="M23" s="4" t="str">
        <f aca="false">IF(_xlfn.MAXIFS(Sets!$H$2:$H$2000,Sets!$A$2:$A$2000,$A23,Sets!$D$2:$D$2000,M$1,Sets!$J$2:$J$2000,"N")=0,"",_xlfn.MAXIFS(Sets!$H$2:$H$2000,Sets!$A$2:$A$2000,$A23,Sets!$D$2:$D$2000,M$1,Sets!$J$2:$J$2000,"N"))</f>
        <v/>
      </c>
      <c r="N23" s="4" t="str">
        <f aca="false">IF(_xlfn.MAXIFS(Sets!$H$2:$H$2000,Sets!$A$2:$A$2000,$A23,Sets!$D$2:$D$2000,N$1,Sets!$J$2:$J$2000,"N")=0,"",_xlfn.MAXIFS(Sets!$H$2:$H$2000,Sets!$A$2:$A$2000,$A23,Sets!$D$2:$D$2000,N$1,Sets!$J$2:$J$2000,"N"))</f>
        <v/>
      </c>
      <c r="O23" s="4" t="str">
        <f aca="false">IF(_xlfn.MAXIFS(Sets!$H$2:$H$2000,Sets!$A$2:$A$2000,$A23,Sets!$D$2:$D$2000,O$1,Sets!$J$2:$J$2000,"N")=0,"",_xlfn.MAXIFS(Sets!$H$2:$H$2000,Sets!$A$2:$A$2000,$A23,Sets!$D$2:$D$2000,O$1,Sets!$J$2:$J$2000,"N"))</f>
        <v/>
      </c>
      <c r="P23" s="4" t="str">
        <f aca="false">IF(_xlfn.MAXIFS(Sets!$H$2:$H$2000,Sets!$A$2:$A$2000,$A23,Sets!$D$2:$D$2000,P$1,Sets!$J$2:$J$2000,"N")=0,"",_xlfn.MAXIFS(Sets!$H$2:$H$2000,Sets!$A$2:$A$2000,$A23,Sets!$D$2:$D$2000,P$1,Sets!$J$2:$J$2000,"N"))</f>
        <v/>
      </c>
      <c r="Q23" s="4" t="str">
        <f aca="false">IF(_xlfn.MAXIFS(Sets!$H$2:$H$2000,Sets!$A$2:$A$2000,$A23,Sets!$D$2:$D$2000,Q$1,Sets!$J$2:$J$2000,"N")=0,"",_xlfn.MAXIFS(Sets!$H$2:$H$2000,Sets!$A$2:$A$2000,$A23,Sets!$D$2:$D$2000,Q$1,Sets!$J$2:$J$2000,"N"))</f>
        <v/>
      </c>
      <c r="R23" s="4" t="str">
        <f aca="false">IF(_xlfn.MAXIFS(Sets!$H$2:$H$2000,Sets!$A$2:$A$2000,$A23,Sets!$D$2:$D$2000,R$1,Sets!$J$2:$J$2000,"N")=0,"",_xlfn.MAXIFS(Sets!$H$2:$H$2000,Sets!$A$2:$A$2000,$A23,Sets!$D$2:$D$2000,R$1,Sets!$J$2:$J$2000,"N"))</f>
        <v/>
      </c>
      <c r="S23" s="4" t="str">
        <f aca="false">IF(_xlfn.MAXIFS(Sets!$H$2:$H$2000,Sets!$A$2:$A$2000,$A23,Sets!$D$2:$D$2000,S$1,Sets!$J$2:$J$2000,"N")=0,"",_xlfn.MAXIFS(Sets!$H$2:$H$2000,Sets!$A$2:$A$2000,$A23,Sets!$D$2:$D$2000,S$1,Sets!$J$2:$J$2000,"N"))</f>
        <v/>
      </c>
      <c r="T23" s="4" t="str">
        <f aca="false">IF(_xlfn.MAXIFS(Sets!$H$2:$H$2000,Sets!$A$2:$A$2000,$A23,Sets!$D$2:$D$2000,T$1,Sets!$J$2:$J$2000,"N")=0,"",_xlfn.MAXIFS(Sets!$H$2:$H$2000,Sets!$A$2:$A$2000,$A23,Sets!$D$2:$D$2000,T$1,Sets!$J$2:$J$2000,"N"))</f>
        <v/>
      </c>
      <c r="U23" s="4" t="str">
        <f aca="false">IF(_xlfn.MAXIFS(Sets!$H$2:$H$2000,Sets!$A$2:$A$2000,$A23,Sets!$D$2:$D$2000,U$1,Sets!$J$2:$J$2000,"N")=0,"",_xlfn.MAXIFS(Sets!$H$2:$H$2000,Sets!$A$2:$A$2000,$A23,Sets!$D$2:$D$2000,U$1,Sets!$J$2:$J$2000,"N"))</f>
        <v/>
      </c>
      <c r="V23" s="4" t="str">
        <f aca="false">IF(_xlfn.MAXIFS(Sets!$H$2:$H$2000,Sets!$A$2:$A$2000,$A23,Sets!$D$2:$D$2000,V$1,Sets!$J$2:$J$2000,"N")=0,"",_xlfn.MAXIFS(Sets!$H$2:$H$2000,Sets!$A$2:$A$2000,$A23,Sets!$D$2:$D$2000,V$1,Sets!$J$2:$J$2000,"N"))</f>
        <v/>
      </c>
      <c r="W23" s="4" t="str">
        <f aca="false">IF(_xlfn.MAXIFS(Sets!$H$2:$H$2000,Sets!$A$2:$A$2000,$A23,Sets!$D$2:$D$2000,W$1,Sets!$J$2:$J$2000,"N")=0,"",_xlfn.MAXIFS(Sets!$H$2:$H$2000,Sets!$A$2:$A$2000,$A23,Sets!$D$2:$D$2000,W$1,Sets!$J$2:$J$2000,"N"))</f>
        <v/>
      </c>
      <c r="X23" s="4" t="str">
        <f aca="false">IF(_xlfn.MAXIFS(Sets!$H$2:$H$2000,Sets!$A$2:$A$2000,$A23,Sets!$D$2:$D$2000,X$1,Sets!$J$2:$J$2000,"N")=0,"",_xlfn.MAXIFS(Sets!$H$2:$H$2000,Sets!$A$2:$A$2000,$A23,Sets!$D$2:$D$2000,X$1,Sets!$J$2:$J$2000,"N"))</f>
        <v/>
      </c>
      <c r="Y23" s="4" t="str">
        <f aca="false">IF(_xlfn.MAXIFS(Sets!$H$2:$H$2000,Sets!$A$2:$A$2000,$A23,Sets!$D$2:$D$2000,Y$1,Sets!$J$2:$J$2000,"N")=0,"",_xlfn.MAXIFS(Sets!$H$2:$H$2000,Sets!$A$2:$A$2000,$A23,Sets!$D$2:$D$2000,Y$1,Sets!$J$2:$J$2000,"N"))</f>
        <v/>
      </c>
      <c r="Z23" s="4" t="str">
        <f aca="false">IF(_xlfn.MAXIFS(Sets!$H$2:$H$2000,Sets!$A$2:$A$2000,$A23,Sets!$D$2:$D$2000,Z$1,Sets!$J$2:$J$2000,"N")=0,"",_xlfn.MAXIFS(Sets!$H$2:$H$2000,Sets!$A$2:$A$2000,$A23,Sets!$D$2:$D$2000,Z$1,Sets!$J$2:$J$2000,"N"))</f>
        <v/>
      </c>
      <c r="AA23" s="4" t="str">
        <f aca="false">IF(_xlfn.MAXIFS(Sets!$H$2:$H$2000,Sets!$A$2:$A$2000,$A23,Sets!$D$2:$D$2000,AA$1,Sets!$J$2:$J$2000,"N")=0,"",_xlfn.MAXIFS(Sets!$H$2:$H$2000,Sets!$A$2:$A$2000,$A23,Sets!$D$2:$D$2000,AA$1,Sets!$J$2:$J$2000,"N"))</f>
        <v/>
      </c>
      <c r="AB23" s="4" t="str">
        <f aca="false">IF(_xlfn.MAXIFS(Sets!$H$2:$H$2000,Sets!$A$2:$A$2000,$A23,Sets!$D$2:$D$2000,AB$1,Sets!$J$2:$J$2000,"N")=0,"",_xlfn.MAXIFS(Sets!$H$2:$H$2000,Sets!$A$2:$A$2000,$A23,Sets!$D$2:$D$2000,AB$1,Sets!$J$2:$J$2000,"N"))</f>
        <v/>
      </c>
      <c r="AC23" s="4" t="str">
        <f aca="false">IF(_xlfn.MAXIFS(Sets!$H$2:$H$2000,Sets!$A$2:$A$2000,$A23,Sets!$D$2:$D$2000,AC$1,Sets!$J$2:$J$2000,"N")=0,"",_xlfn.MAXIFS(Sets!$H$2:$H$2000,Sets!$A$2:$A$2000,$A23,Sets!$D$2:$D$2000,AC$1,Sets!$J$2:$J$2000,"N"))</f>
        <v/>
      </c>
      <c r="AD23" s="4" t="str">
        <f aca="false">IF(_xlfn.MAXIFS(Sets!$H$2:$H$2000,Sets!$A$2:$A$2000,$A23,Sets!$D$2:$D$2000,AD$1,Sets!$J$2:$J$2000,"N")=0,"",_xlfn.MAXIFS(Sets!$H$2:$H$2000,Sets!$A$2:$A$2000,$A23,Sets!$D$2:$D$2000,AD$1,Sets!$J$2:$J$2000,"N"))</f>
        <v/>
      </c>
      <c r="AE23" s="4" t="str">
        <f aca="false">IF(_xlfn.MAXIFS(Sets!$H$2:$H$2000,Sets!$A$2:$A$2000,$A23,Sets!$D$2:$D$2000,AE$1,Sets!$J$2:$J$2000,"N")=0,"",_xlfn.MAXIFS(Sets!$H$2:$H$2000,Sets!$A$2:$A$2000,$A23,Sets!$D$2:$D$2000,AE$1,Sets!$J$2:$J$2000,"N"))</f>
        <v/>
      </c>
      <c r="AF23" s="4" t="str">
        <f aca="false">IF(_xlfn.MAXIFS(Sets!$H$2:$H$2000,Sets!$A$2:$A$2000,$A23,Sets!$D$2:$D$2000,AF$1,Sets!$J$2:$J$2000,"N")=0,"",_xlfn.MAXIFS(Sets!$H$2:$H$2000,Sets!$A$2:$A$2000,$A23,Sets!$D$2:$D$2000,AF$1,Sets!$J$2:$J$2000,"N"))</f>
        <v/>
      </c>
      <c r="AG23" s="4" t="str">
        <f aca="false">IF(_xlfn.MAXIFS(Sets!$H$2:$H$2000,Sets!$A$2:$A$2000,$A23,Sets!$D$2:$D$2000,AG$1,Sets!$J$2:$J$2000,"N")=0,"",_xlfn.MAXIFS(Sets!$H$2:$H$2000,Sets!$A$2:$A$2000,$A23,Sets!$D$2:$D$2000,AG$1,Sets!$J$2:$J$2000,"N"))</f>
        <v/>
      </c>
      <c r="AH23" s="4" t="str">
        <f aca="false">IF(_xlfn.MAXIFS(Sets!$H$2:$H$2000,Sets!$A$2:$A$2000,$A23,Sets!$D$2:$D$2000,AH$1,Sets!$J$2:$J$2000,"N")=0,"",_xlfn.MAXIFS(Sets!$H$2:$H$2000,Sets!$A$2:$A$2000,$A23,Sets!$D$2:$D$2000,AH$1,Sets!$J$2:$J$2000,"N"))</f>
        <v/>
      </c>
    </row>
    <row r="24" customFormat="false" ht="15" hidden="false" customHeight="false" outlineLevel="0" collapsed="false">
      <c r="A24" s="16" t="n">
        <v>46131</v>
      </c>
      <c r="B24" s="4" t="n">
        <f aca="false">IF(_xlfn.MAXIFS(Sets!$H$2:$H$2000,Sets!$A$2:$A$2000,$A24,Sets!$D$2:$D$2000,B$1,Sets!$J$2:$J$2000,"N")=0,"",_xlfn.MAXIFS(Sets!$H$2:$H$2000,Sets!$A$2:$A$2000,$A24,Sets!$D$2:$D$2000,B$1,Sets!$J$2:$J$2000,"N"))</f>
        <v>35</v>
      </c>
      <c r="C24" s="4" t="str">
        <f aca="false">IF(_xlfn.MAXIFS(Sets!$H$2:$H$2000,Sets!$A$2:$A$2000,$A24,Sets!$D$2:$D$2000,C$1,Sets!$J$2:$J$2000,"N")=0,"",_xlfn.MAXIFS(Sets!$H$2:$H$2000,Sets!$A$2:$A$2000,$A24,Sets!$D$2:$D$2000,C$1,Sets!$J$2:$J$2000,"N"))</f>
        <v/>
      </c>
      <c r="D24" s="4" t="n">
        <f aca="false">IF(_xlfn.MAXIFS(Sets!$H$2:$H$2000,Sets!$A$2:$A$2000,$A24,Sets!$D$2:$D$2000,D$1,Sets!$J$2:$J$2000,"N")=0,"",_xlfn.MAXIFS(Sets!$H$2:$H$2000,Sets!$A$2:$A$2000,$A24,Sets!$D$2:$D$2000,D$1,Sets!$J$2:$J$2000,"N"))</f>
        <v>50</v>
      </c>
      <c r="E24" s="4" t="n">
        <f aca="false">IF(_xlfn.MAXIFS(Sets!$H$2:$H$2000,Sets!$A$2:$A$2000,$A24,Sets!$D$2:$D$2000,E$1,Sets!$J$2:$J$2000,"N")=0,"",_xlfn.MAXIFS(Sets!$H$2:$H$2000,Sets!$A$2:$A$2000,$A24,Sets!$D$2:$D$2000,E$1,Sets!$J$2:$J$2000,"N"))</f>
        <v>80</v>
      </c>
      <c r="F24" s="4" t="str">
        <f aca="false">IF(_xlfn.MAXIFS(Sets!$H$2:$H$2000,Sets!$A$2:$A$2000,$A24,Sets!$D$2:$D$2000,F$1,Sets!$J$2:$J$2000,"N")=0,"",_xlfn.MAXIFS(Sets!$H$2:$H$2000,Sets!$A$2:$A$2000,$A24,Sets!$D$2:$D$2000,F$1,Sets!$J$2:$J$2000,"N"))</f>
        <v/>
      </c>
      <c r="G24" s="4" t="str">
        <f aca="false">IF(_xlfn.MAXIFS(Sets!$H$2:$H$2000,Sets!$A$2:$A$2000,$A24,Sets!$D$2:$D$2000,G$1,Sets!$J$2:$J$2000,"N")=0,"",_xlfn.MAXIFS(Sets!$H$2:$H$2000,Sets!$A$2:$A$2000,$A24,Sets!$D$2:$D$2000,G$1,Sets!$J$2:$J$2000,"N"))</f>
        <v/>
      </c>
      <c r="H24" s="4" t="str">
        <f aca="false">IF(_xlfn.MAXIFS(Sets!$H$2:$H$2000,Sets!$A$2:$A$2000,$A24,Sets!$D$2:$D$2000,H$1,Sets!$J$2:$J$2000,"N")=0,"",_xlfn.MAXIFS(Sets!$H$2:$H$2000,Sets!$A$2:$A$2000,$A24,Sets!$D$2:$D$2000,H$1,Sets!$J$2:$J$2000,"N"))</f>
        <v/>
      </c>
      <c r="I24" s="4" t="str">
        <f aca="false">IF(_xlfn.MAXIFS(Sets!$H$2:$H$2000,Sets!$A$2:$A$2000,$A24,Sets!$D$2:$D$2000,I$1,Sets!$J$2:$J$2000,"N")=0,"",_xlfn.MAXIFS(Sets!$H$2:$H$2000,Sets!$A$2:$A$2000,$A24,Sets!$D$2:$D$2000,I$1,Sets!$J$2:$J$2000,"N"))</f>
        <v/>
      </c>
      <c r="J24" s="4" t="str">
        <f aca="false">IF(_xlfn.MAXIFS(Sets!$H$2:$H$2000,Sets!$A$2:$A$2000,$A24,Sets!$D$2:$D$2000,J$1,Sets!$J$2:$J$2000,"N")=0,"",_xlfn.MAXIFS(Sets!$H$2:$H$2000,Sets!$A$2:$A$2000,$A24,Sets!$D$2:$D$2000,J$1,Sets!$J$2:$J$2000,"N"))</f>
        <v/>
      </c>
      <c r="K24" s="4" t="str">
        <f aca="false">IF(_xlfn.MAXIFS(Sets!$H$2:$H$2000,Sets!$A$2:$A$2000,$A24,Sets!$D$2:$D$2000,K$1,Sets!$J$2:$J$2000,"N")=0,"",_xlfn.MAXIFS(Sets!$H$2:$H$2000,Sets!$A$2:$A$2000,$A24,Sets!$D$2:$D$2000,K$1,Sets!$J$2:$J$2000,"N"))</f>
        <v/>
      </c>
      <c r="L24" s="4" t="n">
        <f aca="false">IF(_xlfn.MAXIFS(Sets!$H$2:$H$2000,Sets!$A$2:$A$2000,$A24,Sets!$D$2:$D$2000,L$1,Sets!$J$2:$J$2000,"N")=0,"",_xlfn.MAXIFS(Sets!$H$2:$H$2000,Sets!$A$2:$A$2000,$A24,Sets!$D$2:$D$2000,L$1,Sets!$J$2:$J$2000,"N"))</f>
        <v>10</v>
      </c>
      <c r="M24" s="4" t="str">
        <f aca="false">IF(_xlfn.MAXIFS(Sets!$H$2:$H$2000,Sets!$A$2:$A$2000,$A24,Sets!$D$2:$D$2000,M$1,Sets!$J$2:$J$2000,"N")=0,"",_xlfn.MAXIFS(Sets!$H$2:$H$2000,Sets!$A$2:$A$2000,$A24,Sets!$D$2:$D$2000,M$1,Sets!$J$2:$J$2000,"N"))</f>
        <v/>
      </c>
      <c r="N24" s="4" t="str">
        <f aca="false">IF(_xlfn.MAXIFS(Sets!$H$2:$H$2000,Sets!$A$2:$A$2000,$A24,Sets!$D$2:$D$2000,N$1,Sets!$J$2:$J$2000,"N")=0,"",_xlfn.MAXIFS(Sets!$H$2:$H$2000,Sets!$A$2:$A$2000,$A24,Sets!$D$2:$D$2000,N$1,Sets!$J$2:$J$2000,"N"))</f>
        <v/>
      </c>
      <c r="O24" s="4" t="n">
        <f aca="false">IF(_xlfn.MAXIFS(Sets!$H$2:$H$2000,Sets!$A$2:$A$2000,$A24,Sets!$D$2:$D$2000,O$1,Sets!$J$2:$J$2000,"N")=0,"",_xlfn.MAXIFS(Sets!$H$2:$H$2000,Sets!$A$2:$A$2000,$A24,Sets!$D$2:$D$2000,O$1,Sets!$J$2:$J$2000,"N"))</f>
        <v>35</v>
      </c>
      <c r="P24" s="4" t="str">
        <f aca="false">IF(_xlfn.MAXIFS(Sets!$H$2:$H$2000,Sets!$A$2:$A$2000,$A24,Sets!$D$2:$D$2000,P$1,Sets!$J$2:$J$2000,"N")=0,"",_xlfn.MAXIFS(Sets!$H$2:$H$2000,Sets!$A$2:$A$2000,$A24,Sets!$D$2:$D$2000,P$1,Sets!$J$2:$J$2000,"N"))</f>
        <v/>
      </c>
      <c r="Q24" s="4" t="str">
        <f aca="false">IF(_xlfn.MAXIFS(Sets!$H$2:$H$2000,Sets!$A$2:$A$2000,$A24,Sets!$D$2:$D$2000,Q$1,Sets!$J$2:$J$2000,"N")=0,"",_xlfn.MAXIFS(Sets!$H$2:$H$2000,Sets!$A$2:$A$2000,$A24,Sets!$D$2:$D$2000,Q$1,Sets!$J$2:$J$2000,"N"))</f>
        <v/>
      </c>
      <c r="R24" s="4" t="str">
        <f aca="false">IF(_xlfn.MAXIFS(Sets!$H$2:$H$2000,Sets!$A$2:$A$2000,$A24,Sets!$D$2:$D$2000,R$1,Sets!$J$2:$J$2000,"N")=0,"",_xlfn.MAXIFS(Sets!$H$2:$H$2000,Sets!$A$2:$A$2000,$A24,Sets!$D$2:$D$2000,R$1,Sets!$J$2:$J$2000,"N"))</f>
        <v/>
      </c>
      <c r="S24" s="4" t="str">
        <f aca="false">IF(_xlfn.MAXIFS(Sets!$H$2:$H$2000,Sets!$A$2:$A$2000,$A24,Sets!$D$2:$D$2000,S$1,Sets!$J$2:$J$2000,"N")=0,"",_xlfn.MAXIFS(Sets!$H$2:$H$2000,Sets!$A$2:$A$2000,$A24,Sets!$D$2:$D$2000,S$1,Sets!$J$2:$J$2000,"N"))</f>
        <v/>
      </c>
      <c r="T24" s="4" t="str">
        <f aca="false">IF(_xlfn.MAXIFS(Sets!$H$2:$H$2000,Sets!$A$2:$A$2000,$A24,Sets!$D$2:$D$2000,T$1,Sets!$J$2:$J$2000,"N")=0,"",_xlfn.MAXIFS(Sets!$H$2:$H$2000,Sets!$A$2:$A$2000,$A24,Sets!$D$2:$D$2000,T$1,Sets!$J$2:$J$2000,"N"))</f>
        <v/>
      </c>
      <c r="U24" s="4" t="str">
        <f aca="false">IF(_xlfn.MAXIFS(Sets!$H$2:$H$2000,Sets!$A$2:$A$2000,$A24,Sets!$D$2:$D$2000,U$1,Sets!$J$2:$J$2000,"N")=0,"",_xlfn.MAXIFS(Sets!$H$2:$H$2000,Sets!$A$2:$A$2000,$A24,Sets!$D$2:$D$2000,U$1,Sets!$J$2:$J$2000,"N"))</f>
        <v/>
      </c>
      <c r="V24" s="4" t="str">
        <f aca="false">IF(_xlfn.MAXIFS(Sets!$H$2:$H$2000,Sets!$A$2:$A$2000,$A24,Sets!$D$2:$D$2000,V$1,Sets!$J$2:$J$2000,"N")=0,"",_xlfn.MAXIFS(Sets!$H$2:$H$2000,Sets!$A$2:$A$2000,$A24,Sets!$D$2:$D$2000,V$1,Sets!$J$2:$J$2000,"N"))</f>
        <v/>
      </c>
      <c r="W24" s="4" t="str">
        <f aca="false">IF(_xlfn.MAXIFS(Sets!$H$2:$H$2000,Sets!$A$2:$A$2000,$A24,Sets!$D$2:$D$2000,W$1,Sets!$J$2:$J$2000,"N")=0,"",_xlfn.MAXIFS(Sets!$H$2:$H$2000,Sets!$A$2:$A$2000,$A24,Sets!$D$2:$D$2000,W$1,Sets!$J$2:$J$2000,"N"))</f>
        <v/>
      </c>
      <c r="X24" s="4" t="str">
        <f aca="false">IF(_xlfn.MAXIFS(Sets!$H$2:$H$2000,Sets!$A$2:$A$2000,$A24,Sets!$D$2:$D$2000,X$1,Sets!$J$2:$J$2000,"N")=0,"",_xlfn.MAXIFS(Sets!$H$2:$H$2000,Sets!$A$2:$A$2000,$A24,Sets!$D$2:$D$2000,X$1,Sets!$J$2:$J$2000,"N"))</f>
        <v/>
      </c>
      <c r="Y24" s="4" t="str">
        <f aca="false">IF(_xlfn.MAXIFS(Sets!$H$2:$H$2000,Sets!$A$2:$A$2000,$A24,Sets!$D$2:$D$2000,Y$1,Sets!$J$2:$J$2000,"N")=0,"",_xlfn.MAXIFS(Sets!$H$2:$H$2000,Sets!$A$2:$A$2000,$A24,Sets!$D$2:$D$2000,Y$1,Sets!$J$2:$J$2000,"N"))</f>
        <v/>
      </c>
      <c r="Z24" s="4" t="str">
        <f aca="false">IF(_xlfn.MAXIFS(Sets!$H$2:$H$2000,Sets!$A$2:$A$2000,$A24,Sets!$D$2:$D$2000,Z$1,Sets!$J$2:$J$2000,"N")=0,"",_xlfn.MAXIFS(Sets!$H$2:$H$2000,Sets!$A$2:$A$2000,$A24,Sets!$D$2:$D$2000,Z$1,Sets!$J$2:$J$2000,"N"))</f>
        <v/>
      </c>
      <c r="AA24" s="4" t="str">
        <f aca="false">IF(_xlfn.MAXIFS(Sets!$H$2:$H$2000,Sets!$A$2:$A$2000,$A24,Sets!$D$2:$D$2000,AA$1,Sets!$J$2:$J$2000,"N")=0,"",_xlfn.MAXIFS(Sets!$H$2:$H$2000,Sets!$A$2:$A$2000,$A24,Sets!$D$2:$D$2000,AA$1,Sets!$J$2:$J$2000,"N"))</f>
        <v/>
      </c>
      <c r="AB24" s="4" t="str">
        <f aca="false">IF(_xlfn.MAXIFS(Sets!$H$2:$H$2000,Sets!$A$2:$A$2000,$A24,Sets!$D$2:$D$2000,AB$1,Sets!$J$2:$J$2000,"N")=0,"",_xlfn.MAXIFS(Sets!$H$2:$H$2000,Sets!$A$2:$A$2000,$A24,Sets!$D$2:$D$2000,AB$1,Sets!$J$2:$J$2000,"N"))</f>
        <v/>
      </c>
      <c r="AC24" s="4" t="str">
        <f aca="false">IF(_xlfn.MAXIFS(Sets!$H$2:$H$2000,Sets!$A$2:$A$2000,$A24,Sets!$D$2:$D$2000,AC$1,Sets!$J$2:$J$2000,"N")=0,"",_xlfn.MAXIFS(Sets!$H$2:$H$2000,Sets!$A$2:$A$2000,$A24,Sets!$D$2:$D$2000,AC$1,Sets!$J$2:$J$2000,"N"))</f>
        <v/>
      </c>
      <c r="AD24" s="4" t="str">
        <f aca="false">IF(_xlfn.MAXIFS(Sets!$H$2:$H$2000,Sets!$A$2:$A$2000,$A24,Sets!$D$2:$D$2000,AD$1,Sets!$J$2:$J$2000,"N")=0,"",_xlfn.MAXIFS(Sets!$H$2:$H$2000,Sets!$A$2:$A$2000,$A24,Sets!$D$2:$D$2000,AD$1,Sets!$J$2:$J$2000,"N"))</f>
        <v/>
      </c>
      <c r="AE24" s="4" t="str">
        <f aca="false">IF(_xlfn.MAXIFS(Sets!$H$2:$H$2000,Sets!$A$2:$A$2000,$A24,Sets!$D$2:$D$2000,AE$1,Sets!$J$2:$J$2000,"N")=0,"",_xlfn.MAXIFS(Sets!$H$2:$H$2000,Sets!$A$2:$A$2000,$A24,Sets!$D$2:$D$2000,AE$1,Sets!$J$2:$J$2000,"N"))</f>
        <v/>
      </c>
      <c r="AF24" s="4" t="str">
        <f aca="false">IF(_xlfn.MAXIFS(Sets!$H$2:$H$2000,Sets!$A$2:$A$2000,$A24,Sets!$D$2:$D$2000,AF$1,Sets!$J$2:$J$2000,"N")=0,"",_xlfn.MAXIFS(Sets!$H$2:$H$2000,Sets!$A$2:$A$2000,$A24,Sets!$D$2:$D$2000,AF$1,Sets!$J$2:$J$2000,"N"))</f>
        <v/>
      </c>
      <c r="AG24" s="4" t="str">
        <f aca="false">IF(_xlfn.MAXIFS(Sets!$H$2:$H$2000,Sets!$A$2:$A$2000,$A24,Sets!$D$2:$D$2000,AG$1,Sets!$J$2:$J$2000,"N")=0,"",_xlfn.MAXIFS(Sets!$H$2:$H$2000,Sets!$A$2:$A$2000,$A24,Sets!$D$2:$D$2000,AG$1,Sets!$J$2:$J$2000,"N"))</f>
        <v/>
      </c>
      <c r="AH24" s="4" t="str">
        <f aca="false">IF(_xlfn.MAXIFS(Sets!$H$2:$H$2000,Sets!$A$2:$A$2000,$A24,Sets!$D$2:$D$2000,AH$1,Sets!$J$2:$J$2000,"N")=0,"",_xlfn.MAXIFS(Sets!$H$2:$H$2000,Sets!$A$2:$A$2000,$A24,Sets!$D$2:$D$2000,AH$1,Sets!$J$2:$J$2000,"N"))</f>
        <v/>
      </c>
    </row>
    <row r="25" customFormat="false" ht="15" hidden="false" customHeight="false" outlineLevel="0" collapsed="false">
      <c r="A25" s="16" t="n">
        <v>46134</v>
      </c>
      <c r="B25" s="4" t="str">
        <f aca="false">IF(_xlfn.MAXIFS(Sets!$H$2:$H$2000,Sets!$A$2:$A$2000,$A25,Sets!$D$2:$D$2000,B$1,Sets!$J$2:$J$2000,"N")=0,"",_xlfn.MAXIFS(Sets!$H$2:$H$2000,Sets!$A$2:$A$2000,$A25,Sets!$D$2:$D$2000,B$1,Sets!$J$2:$J$2000,"N"))</f>
        <v/>
      </c>
      <c r="C25" s="4" t="n">
        <f aca="false">IF(_xlfn.MAXIFS(Sets!$H$2:$H$2000,Sets!$A$2:$A$2000,$A25,Sets!$D$2:$D$2000,C$1,Sets!$J$2:$J$2000,"N")=0,"",_xlfn.MAXIFS(Sets!$H$2:$H$2000,Sets!$A$2:$A$2000,$A25,Sets!$D$2:$D$2000,C$1,Sets!$J$2:$J$2000,"N"))</f>
        <v>22.5</v>
      </c>
      <c r="D25" s="4" t="str">
        <f aca="false">IF(_xlfn.MAXIFS(Sets!$H$2:$H$2000,Sets!$A$2:$A$2000,$A25,Sets!$D$2:$D$2000,D$1,Sets!$J$2:$J$2000,"N")=0,"",_xlfn.MAXIFS(Sets!$H$2:$H$2000,Sets!$A$2:$A$2000,$A25,Sets!$D$2:$D$2000,D$1,Sets!$J$2:$J$2000,"N"))</f>
        <v/>
      </c>
      <c r="E25" s="4" t="str">
        <f aca="false">IF(_xlfn.MAXIFS(Sets!$H$2:$H$2000,Sets!$A$2:$A$2000,$A25,Sets!$D$2:$D$2000,E$1,Sets!$J$2:$J$2000,"N")=0,"",_xlfn.MAXIFS(Sets!$H$2:$H$2000,Sets!$A$2:$A$2000,$A25,Sets!$D$2:$D$2000,E$1,Sets!$J$2:$J$2000,"N"))</f>
        <v/>
      </c>
      <c r="F25" s="4" t="str">
        <f aca="false">IF(_xlfn.MAXIFS(Sets!$H$2:$H$2000,Sets!$A$2:$A$2000,$A25,Sets!$D$2:$D$2000,F$1,Sets!$J$2:$J$2000,"N")=0,"",_xlfn.MAXIFS(Sets!$H$2:$H$2000,Sets!$A$2:$A$2000,$A25,Sets!$D$2:$D$2000,F$1,Sets!$J$2:$J$2000,"N"))</f>
        <v/>
      </c>
      <c r="G25" s="4" t="n">
        <f aca="false">IF(_xlfn.MAXIFS(Sets!$H$2:$H$2000,Sets!$A$2:$A$2000,$A25,Sets!$D$2:$D$2000,G$1,Sets!$J$2:$J$2000,"N")=0,"",_xlfn.MAXIFS(Sets!$H$2:$H$2000,Sets!$A$2:$A$2000,$A25,Sets!$D$2:$D$2000,G$1,Sets!$J$2:$J$2000,"N"))</f>
        <v>50</v>
      </c>
      <c r="H25" s="4" t="n">
        <f aca="false">IF(_xlfn.MAXIFS(Sets!$H$2:$H$2000,Sets!$A$2:$A$2000,$A25,Sets!$D$2:$D$2000,H$1,Sets!$J$2:$J$2000,"N")=0,"",_xlfn.MAXIFS(Sets!$H$2:$H$2000,Sets!$A$2:$A$2000,$A25,Sets!$D$2:$D$2000,H$1,Sets!$J$2:$J$2000,"N"))</f>
        <v>65</v>
      </c>
      <c r="I25" s="4" t="str">
        <f aca="false">IF(_xlfn.MAXIFS(Sets!$H$2:$H$2000,Sets!$A$2:$A$2000,$A25,Sets!$D$2:$D$2000,I$1,Sets!$J$2:$J$2000,"N")=0,"",_xlfn.MAXIFS(Sets!$H$2:$H$2000,Sets!$A$2:$A$2000,$A25,Sets!$D$2:$D$2000,I$1,Sets!$J$2:$J$2000,"N"))</f>
        <v/>
      </c>
      <c r="J25" s="4" t="str">
        <f aca="false">IF(_xlfn.MAXIFS(Sets!$H$2:$H$2000,Sets!$A$2:$A$2000,$A25,Sets!$D$2:$D$2000,J$1,Sets!$J$2:$J$2000,"N")=0,"",_xlfn.MAXIFS(Sets!$H$2:$H$2000,Sets!$A$2:$A$2000,$A25,Sets!$D$2:$D$2000,J$1,Sets!$J$2:$J$2000,"N"))</f>
        <v/>
      </c>
      <c r="K25" s="4" t="str">
        <f aca="false">IF(_xlfn.MAXIFS(Sets!$H$2:$H$2000,Sets!$A$2:$A$2000,$A25,Sets!$D$2:$D$2000,K$1,Sets!$J$2:$J$2000,"N")=0,"",_xlfn.MAXIFS(Sets!$H$2:$H$2000,Sets!$A$2:$A$2000,$A25,Sets!$D$2:$D$2000,K$1,Sets!$J$2:$J$2000,"N"))</f>
        <v/>
      </c>
      <c r="L25" s="4" t="str">
        <f aca="false">IF(_xlfn.MAXIFS(Sets!$H$2:$H$2000,Sets!$A$2:$A$2000,$A25,Sets!$D$2:$D$2000,L$1,Sets!$J$2:$J$2000,"N")=0,"",_xlfn.MAXIFS(Sets!$H$2:$H$2000,Sets!$A$2:$A$2000,$A25,Sets!$D$2:$D$2000,L$1,Sets!$J$2:$J$2000,"N"))</f>
        <v/>
      </c>
      <c r="M25" s="4" t="str">
        <f aca="false">IF(_xlfn.MAXIFS(Sets!$H$2:$H$2000,Sets!$A$2:$A$2000,$A25,Sets!$D$2:$D$2000,M$1,Sets!$J$2:$J$2000,"N")=0,"",_xlfn.MAXIFS(Sets!$H$2:$H$2000,Sets!$A$2:$A$2000,$A25,Sets!$D$2:$D$2000,M$1,Sets!$J$2:$J$2000,"N"))</f>
        <v/>
      </c>
      <c r="N25" s="4" t="str">
        <f aca="false">IF(_xlfn.MAXIFS(Sets!$H$2:$H$2000,Sets!$A$2:$A$2000,$A25,Sets!$D$2:$D$2000,N$1,Sets!$J$2:$J$2000,"N")=0,"",_xlfn.MAXIFS(Sets!$H$2:$H$2000,Sets!$A$2:$A$2000,$A25,Sets!$D$2:$D$2000,N$1,Sets!$J$2:$J$2000,"N"))</f>
        <v/>
      </c>
      <c r="O25" s="4" t="str">
        <f aca="false">IF(_xlfn.MAXIFS(Sets!$H$2:$H$2000,Sets!$A$2:$A$2000,$A25,Sets!$D$2:$D$2000,O$1,Sets!$J$2:$J$2000,"N")=0,"",_xlfn.MAXIFS(Sets!$H$2:$H$2000,Sets!$A$2:$A$2000,$A25,Sets!$D$2:$D$2000,O$1,Sets!$J$2:$J$2000,"N"))</f>
        <v/>
      </c>
      <c r="P25" s="4" t="str">
        <f aca="false">IF(_xlfn.MAXIFS(Sets!$H$2:$H$2000,Sets!$A$2:$A$2000,$A25,Sets!$D$2:$D$2000,P$1,Sets!$J$2:$J$2000,"N")=0,"",_xlfn.MAXIFS(Sets!$H$2:$H$2000,Sets!$A$2:$A$2000,$A25,Sets!$D$2:$D$2000,P$1,Sets!$J$2:$J$2000,"N"))</f>
        <v/>
      </c>
      <c r="Q25" s="4" t="str">
        <f aca="false">IF(_xlfn.MAXIFS(Sets!$H$2:$H$2000,Sets!$A$2:$A$2000,$A25,Sets!$D$2:$D$2000,Q$1,Sets!$J$2:$J$2000,"N")=0,"",_xlfn.MAXIFS(Sets!$H$2:$H$2000,Sets!$A$2:$A$2000,$A25,Sets!$D$2:$D$2000,Q$1,Sets!$J$2:$J$2000,"N"))</f>
        <v/>
      </c>
      <c r="R25" s="4" t="str">
        <f aca="false">IF(_xlfn.MAXIFS(Sets!$H$2:$H$2000,Sets!$A$2:$A$2000,$A25,Sets!$D$2:$D$2000,R$1,Sets!$J$2:$J$2000,"N")=0,"",_xlfn.MAXIFS(Sets!$H$2:$H$2000,Sets!$A$2:$A$2000,$A25,Sets!$D$2:$D$2000,R$1,Sets!$J$2:$J$2000,"N"))</f>
        <v/>
      </c>
      <c r="S25" s="4" t="str">
        <f aca="false">IF(_xlfn.MAXIFS(Sets!$H$2:$H$2000,Sets!$A$2:$A$2000,$A25,Sets!$D$2:$D$2000,S$1,Sets!$J$2:$J$2000,"N")=0,"",_xlfn.MAXIFS(Sets!$H$2:$H$2000,Sets!$A$2:$A$2000,$A25,Sets!$D$2:$D$2000,S$1,Sets!$J$2:$J$2000,"N"))</f>
        <v/>
      </c>
      <c r="T25" s="4" t="str">
        <f aca="false">IF(_xlfn.MAXIFS(Sets!$H$2:$H$2000,Sets!$A$2:$A$2000,$A25,Sets!$D$2:$D$2000,T$1,Sets!$J$2:$J$2000,"N")=0,"",_xlfn.MAXIFS(Sets!$H$2:$H$2000,Sets!$A$2:$A$2000,$A25,Sets!$D$2:$D$2000,T$1,Sets!$J$2:$J$2000,"N"))</f>
        <v/>
      </c>
      <c r="U25" s="4" t="str">
        <f aca="false">IF(_xlfn.MAXIFS(Sets!$H$2:$H$2000,Sets!$A$2:$A$2000,$A25,Sets!$D$2:$D$2000,U$1,Sets!$J$2:$J$2000,"N")=0,"",_xlfn.MAXIFS(Sets!$H$2:$H$2000,Sets!$A$2:$A$2000,$A25,Sets!$D$2:$D$2000,U$1,Sets!$J$2:$J$2000,"N"))</f>
        <v/>
      </c>
      <c r="V25" s="4" t="str">
        <f aca="false">IF(_xlfn.MAXIFS(Sets!$H$2:$H$2000,Sets!$A$2:$A$2000,$A25,Sets!$D$2:$D$2000,V$1,Sets!$J$2:$J$2000,"N")=0,"",_xlfn.MAXIFS(Sets!$H$2:$H$2000,Sets!$A$2:$A$2000,$A25,Sets!$D$2:$D$2000,V$1,Sets!$J$2:$J$2000,"N"))</f>
        <v/>
      </c>
      <c r="W25" s="4" t="str">
        <f aca="false">IF(_xlfn.MAXIFS(Sets!$H$2:$H$2000,Sets!$A$2:$A$2000,$A25,Sets!$D$2:$D$2000,W$1,Sets!$J$2:$J$2000,"N")=0,"",_xlfn.MAXIFS(Sets!$H$2:$H$2000,Sets!$A$2:$A$2000,$A25,Sets!$D$2:$D$2000,W$1,Sets!$J$2:$J$2000,"N"))</f>
        <v/>
      </c>
      <c r="X25" s="4" t="str">
        <f aca="false">IF(_xlfn.MAXIFS(Sets!$H$2:$H$2000,Sets!$A$2:$A$2000,$A25,Sets!$D$2:$D$2000,X$1,Sets!$J$2:$J$2000,"N")=0,"",_xlfn.MAXIFS(Sets!$H$2:$H$2000,Sets!$A$2:$A$2000,$A25,Sets!$D$2:$D$2000,X$1,Sets!$J$2:$J$2000,"N"))</f>
        <v/>
      </c>
      <c r="Y25" s="4" t="str">
        <f aca="false">IF(_xlfn.MAXIFS(Sets!$H$2:$H$2000,Sets!$A$2:$A$2000,$A25,Sets!$D$2:$D$2000,Y$1,Sets!$J$2:$J$2000,"N")=0,"",_xlfn.MAXIFS(Sets!$H$2:$H$2000,Sets!$A$2:$A$2000,$A25,Sets!$D$2:$D$2000,Y$1,Sets!$J$2:$J$2000,"N"))</f>
        <v/>
      </c>
      <c r="Z25" s="4" t="str">
        <f aca="false">IF(_xlfn.MAXIFS(Sets!$H$2:$H$2000,Sets!$A$2:$A$2000,$A25,Sets!$D$2:$D$2000,Z$1,Sets!$J$2:$J$2000,"N")=0,"",_xlfn.MAXIFS(Sets!$H$2:$H$2000,Sets!$A$2:$A$2000,$A25,Sets!$D$2:$D$2000,Z$1,Sets!$J$2:$J$2000,"N"))</f>
        <v/>
      </c>
      <c r="AA25" s="4" t="n">
        <f aca="false">IF(_xlfn.MAXIFS(Sets!$H$2:$H$2000,Sets!$A$2:$A$2000,$A25,Sets!$D$2:$D$2000,AA$1,Sets!$J$2:$J$2000,"N")=0,"",_xlfn.MAXIFS(Sets!$H$2:$H$2000,Sets!$A$2:$A$2000,$A25,Sets!$D$2:$D$2000,AA$1,Sets!$J$2:$J$2000,"N"))</f>
        <v>7.5</v>
      </c>
      <c r="AB25" s="4" t="str">
        <f aca="false">IF(_xlfn.MAXIFS(Sets!$H$2:$H$2000,Sets!$A$2:$A$2000,$A25,Sets!$D$2:$D$2000,AB$1,Sets!$J$2:$J$2000,"N")=0,"",_xlfn.MAXIFS(Sets!$H$2:$H$2000,Sets!$A$2:$A$2000,$A25,Sets!$D$2:$D$2000,AB$1,Sets!$J$2:$J$2000,"N"))</f>
        <v/>
      </c>
      <c r="AC25" s="4" t="n">
        <f aca="false">IF(_xlfn.MAXIFS(Sets!$H$2:$H$2000,Sets!$A$2:$A$2000,$A25,Sets!$D$2:$D$2000,AC$1,Sets!$J$2:$J$2000,"N")=0,"",_xlfn.MAXIFS(Sets!$H$2:$H$2000,Sets!$A$2:$A$2000,$A25,Sets!$D$2:$D$2000,AC$1,Sets!$J$2:$J$2000,"N"))</f>
        <v>25</v>
      </c>
      <c r="AD25" s="4" t="str">
        <f aca="false">IF(_xlfn.MAXIFS(Sets!$H$2:$H$2000,Sets!$A$2:$A$2000,$A25,Sets!$D$2:$D$2000,AD$1,Sets!$J$2:$J$2000,"N")=0,"",_xlfn.MAXIFS(Sets!$H$2:$H$2000,Sets!$A$2:$A$2000,$A25,Sets!$D$2:$D$2000,AD$1,Sets!$J$2:$J$2000,"N"))</f>
        <v/>
      </c>
      <c r="AE25" s="4" t="str">
        <f aca="false">IF(_xlfn.MAXIFS(Sets!$H$2:$H$2000,Sets!$A$2:$A$2000,$A25,Sets!$D$2:$D$2000,AE$1,Sets!$J$2:$J$2000,"N")=0,"",_xlfn.MAXIFS(Sets!$H$2:$H$2000,Sets!$A$2:$A$2000,$A25,Sets!$D$2:$D$2000,AE$1,Sets!$J$2:$J$2000,"N"))</f>
        <v/>
      </c>
      <c r="AF25" s="4" t="str">
        <f aca="false">IF(_xlfn.MAXIFS(Sets!$H$2:$H$2000,Sets!$A$2:$A$2000,$A25,Sets!$D$2:$D$2000,AF$1,Sets!$J$2:$J$2000,"N")=0,"",_xlfn.MAXIFS(Sets!$H$2:$H$2000,Sets!$A$2:$A$2000,$A25,Sets!$D$2:$D$2000,AF$1,Sets!$J$2:$J$2000,"N"))</f>
        <v/>
      </c>
      <c r="AG25" s="4" t="str">
        <f aca="false">IF(_xlfn.MAXIFS(Sets!$H$2:$H$2000,Sets!$A$2:$A$2000,$A25,Sets!$D$2:$D$2000,AG$1,Sets!$J$2:$J$2000,"N")=0,"",_xlfn.MAXIFS(Sets!$H$2:$H$2000,Sets!$A$2:$A$2000,$A25,Sets!$D$2:$D$2000,AG$1,Sets!$J$2:$J$2000,"N"))</f>
        <v/>
      </c>
      <c r="AH25" s="4" t="str">
        <f aca="false">IF(_xlfn.MAXIFS(Sets!$H$2:$H$2000,Sets!$A$2:$A$2000,$A25,Sets!$D$2:$D$2000,AH$1,Sets!$J$2:$J$2000,"N")=0,"",_xlfn.MAXIFS(Sets!$H$2:$H$2000,Sets!$A$2:$A$2000,$A25,Sets!$D$2:$D$2000,AH$1,Sets!$J$2:$J$2000,"N"))</f>
        <v/>
      </c>
    </row>
    <row r="26" customFormat="false" ht="15" hidden="false" customHeight="false" outlineLevel="0" collapsed="false">
      <c r="A26" s="16" t="n">
        <v>46140</v>
      </c>
      <c r="B26" s="4" t="str">
        <f aca="false">IF(_xlfn.MAXIFS(Sets!$H$2:$H$2000,Sets!$A$2:$A$2000,$A26,Sets!$D$2:$D$2000,B$1,Sets!$J$2:$J$2000,"N")=0,"",_xlfn.MAXIFS(Sets!$H$2:$H$2000,Sets!$A$2:$A$2000,$A26,Sets!$D$2:$D$2000,B$1,Sets!$J$2:$J$2000,"N"))</f>
        <v/>
      </c>
      <c r="C26" s="4" t="str">
        <f aca="false">IF(_xlfn.MAXIFS(Sets!$H$2:$H$2000,Sets!$A$2:$A$2000,$A26,Sets!$D$2:$D$2000,C$1,Sets!$J$2:$J$2000,"N")=0,"",_xlfn.MAXIFS(Sets!$H$2:$H$2000,Sets!$A$2:$A$2000,$A26,Sets!$D$2:$D$2000,C$1,Sets!$J$2:$J$2000,"N"))</f>
        <v/>
      </c>
      <c r="D26" s="4" t="n">
        <f aca="false">IF(_xlfn.MAXIFS(Sets!$H$2:$H$2000,Sets!$A$2:$A$2000,$A26,Sets!$D$2:$D$2000,D$1,Sets!$J$2:$J$2000,"N")=0,"",_xlfn.MAXIFS(Sets!$H$2:$H$2000,Sets!$A$2:$A$2000,$A26,Sets!$D$2:$D$2000,D$1,Sets!$J$2:$J$2000,"N"))</f>
        <v>45</v>
      </c>
      <c r="E26" s="4" t="n">
        <f aca="false">IF(_xlfn.MAXIFS(Sets!$H$2:$H$2000,Sets!$A$2:$A$2000,$A26,Sets!$D$2:$D$2000,E$1,Sets!$J$2:$J$2000,"N")=0,"",_xlfn.MAXIFS(Sets!$H$2:$H$2000,Sets!$A$2:$A$2000,$A26,Sets!$D$2:$D$2000,E$1,Sets!$J$2:$J$2000,"N"))</f>
        <v>80</v>
      </c>
      <c r="F26" s="4" t="str">
        <f aca="false">IF(_xlfn.MAXIFS(Sets!$H$2:$H$2000,Sets!$A$2:$A$2000,$A26,Sets!$D$2:$D$2000,F$1,Sets!$J$2:$J$2000,"N")=0,"",_xlfn.MAXIFS(Sets!$H$2:$H$2000,Sets!$A$2:$A$2000,$A26,Sets!$D$2:$D$2000,F$1,Sets!$J$2:$J$2000,"N"))</f>
        <v/>
      </c>
      <c r="G26" s="4" t="str">
        <f aca="false">IF(_xlfn.MAXIFS(Sets!$H$2:$H$2000,Sets!$A$2:$A$2000,$A26,Sets!$D$2:$D$2000,G$1,Sets!$J$2:$J$2000,"N")=0,"",_xlfn.MAXIFS(Sets!$H$2:$H$2000,Sets!$A$2:$A$2000,$A26,Sets!$D$2:$D$2000,G$1,Sets!$J$2:$J$2000,"N"))</f>
        <v/>
      </c>
      <c r="H26" s="4" t="str">
        <f aca="false">IF(_xlfn.MAXIFS(Sets!$H$2:$H$2000,Sets!$A$2:$A$2000,$A26,Sets!$D$2:$D$2000,H$1,Sets!$J$2:$J$2000,"N")=0,"",_xlfn.MAXIFS(Sets!$H$2:$H$2000,Sets!$A$2:$A$2000,$A26,Sets!$D$2:$D$2000,H$1,Sets!$J$2:$J$2000,"N"))</f>
        <v/>
      </c>
      <c r="I26" s="4" t="str">
        <f aca="false">IF(_xlfn.MAXIFS(Sets!$H$2:$H$2000,Sets!$A$2:$A$2000,$A26,Sets!$D$2:$D$2000,I$1,Sets!$J$2:$J$2000,"N")=0,"",_xlfn.MAXIFS(Sets!$H$2:$H$2000,Sets!$A$2:$A$2000,$A26,Sets!$D$2:$D$2000,I$1,Sets!$J$2:$J$2000,"N"))</f>
        <v/>
      </c>
      <c r="J26" s="4" t="str">
        <f aca="false">IF(_xlfn.MAXIFS(Sets!$H$2:$H$2000,Sets!$A$2:$A$2000,$A26,Sets!$D$2:$D$2000,J$1,Sets!$J$2:$J$2000,"N")=0,"",_xlfn.MAXIFS(Sets!$H$2:$H$2000,Sets!$A$2:$A$2000,$A26,Sets!$D$2:$D$2000,J$1,Sets!$J$2:$J$2000,"N"))</f>
        <v/>
      </c>
      <c r="K26" s="4" t="str">
        <f aca="false">IF(_xlfn.MAXIFS(Sets!$H$2:$H$2000,Sets!$A$2:$A$2000,$A26,Sets!$D$2:$D$2000,K$1,Sets!$J$2:$J$2000,"N")=0,"",_xlfn.MAXIFS(Sets!$H$2:$H$2000,Sets!$A$2:$A$2000,$A26,Sets!$D$2:$D$2000,K$1,Sets!$J$2:$J$2000,"N"))</f>
        <v/>
      </c>
      <c r="L26" s="4" t="str">
        <f aca="false">IF(_xlfn.MAXIFS(Sets!$H$2:$H$2000,Sets!$A$2:$A$2000,$A26,Sets!$D$2:$D$2000,L$1,Sets!$J$2:$J$2000,"N")=0,"",_xlfn.MAXIFS(Sets!$H$2:$H$2000,Sets!$A$2:$A$2000,$A26,Sets!$D$2:$D$2000,L$1,Sets!$J$2:$J$2000,"N"))</f>
        <v/>
      </c>
      <c r="M26" s="4" t="str">
        <f aca="false">IF(_xlfn.MAXIFS(Sets!$H$2:$H$2000,Sets!$A$2:$A$2000,$A26,Sets!$D$2:$D$2000,M$1,Sets!$J$2:$J$2000,"N")=0,"",_xlfn.MAXIFS(Sets!$H$2:$H$2000,Sets!$A$2:$A$2000,$A26,Sets!$D$2:$D$2000,M$1,Sets!$J$2:$J$2000,"N"))</f>
        <v/>
      </c>
      <c r="N26" s="4" t="str">
        <f aca="false">IF(_xlfn.MAXIFS(Sets!$H$2:$H$2000,Sets!$A$2:$A$2000,$A26,Sets!$D$2:$D$2000,N$1,Sets!$J$2:$J$2000,"N")=0,"",_xlfn.MAXIFS(Sets!$H$2:$H$2000,Sets!$A$2:$A$2000,$A26,Sets!$D$2:$D$2000,N$1,Sets!$J$2:$J$2000,"N"))</f>
        <v/>
      </c>
      <c r="O26" s="4" t="n">
        <f aca="false">IF(_xlfn.MAXIFS(Sets!$H$2:$H$2000,Sets!$A$2:$A$2000,$A26,Sets!$D$2:$D$2000,O$1,Sets!$J$2:$J$2000,"N")=0,"",_xlfn.MAXIFS(Sets!$H$2:$H$2000,Sets!$A$2:$A$2000,$A26,Sets!$D$2:$D$2000,O$1,Sets!$J$2:$J$2000,"N"))</f>
        <v>40</v>
      </c>
      <c r="P26" s="4" t="str">
        <f aca="false">IF(_xlfn.MAXIFS(Sets!$H$2:$H$2000,Sets!$A$2:$A$2000,$A26,Sets!$D$2:$D$2000,P$1,Sets!$J$2:$J$2000,"N")=0,"",_xlfn.MAXIFS(Sets!$H$2:$H$2000,Sets!$A$2:$A$2000,$A26,Sets!$D$2:$D$2000,P$1,Sets!$J$2:$J$2000,"N"))</f>
        <v/>
      </c>
      <c r="Q26" s="4" t="str">
        <f aca="false">IF(_xlfn.MAXIFS(Sets!$H$2:$H$2000,Sets!$A$2:$A$2000,$A26,Sets!$D$2:$D$2000,Q$1,Sets!$J$2:$J$2000,"N")=0,"",_xlfn.MAXIFS(Sets!$H$2:$H$2000,Sets!$A$2:$A$2000,$A26,Sets!$D$2:$D$2000,Q$1,Sets!$J$2:$J$2000,"N"))</f>
        <v/>
      </c>
      <c r="R26" s="4" t="str">
        <f aca="false">IF(_xlfn.MAXIFS(Sets!$H$2:$H$2000,Sets!$A$2:$A$2000,$A26,Sets!$D$2:$D$2000,R$1,Sets!$J$2:$J$2000,"N")=0,"",_xlfn.MAXIFS(Sets!$H$2:$H$2000,Sets!$A$2:$A$2000,$A26,Sets!$D$2:$D$2000,R$1,Sets!$J$2:$J$2000,"N"))</f>
        <v/>
      </c>
      <c r="S26" s="4" t="str">
        <f aca="false">IF(_xlfn.MAXIFS(Sets!$H$2:$H$2000,Sets!$A$2:$A$2000,$A26,Sets!$D$2:$D$2000,S$1,Sets!$J$2:$J$2000,"N")=0,"",_xlfn.MAXIFS(Sets!$H$2:$H$2000,Sets!$A$2:$A$2000,$A26,Sets!$D$2:$D$2000,S$1,Sets!$J$2:$J$2000,"N"))</f>
        <v/>
      </c>
      <c r="T26" s="4" t="str">
        <f aca="false">IF(_xlfn.MAXIFS(Sets!$H$2:$H$2000,Sets!$A$2:$A$2000,$A26,Sets!$D$2:$D$2000,T$1,Sets!$J$2:$J$2000,"N")=0,"",_xlfn.MAXIFS(Sets!$H$2:$H$2000,Sets!$A$2:$A$2000,$A26,Sets!$D$2:$D$2000,T$1,Sets!$J$2:$J$2000,"N"))</f>
        <v/>
      </c>
      <c r="U26" s="4" t="str">
        <f aca="false">IF(_xlfn.MAXIFS(Sets!$H$2:$H$2000,Sets!$A$2:$A$2000,$A26,Sets!$D$2:$D$2000,U$1,Sets!$J$2:$J$2000,"N")=0,"",_xlfn.MAXIFS(Sets!$H$2:$H$2000,Sets!$A$2:$A$2000,$A26,Sets!$D$2:$D$2000,U$1,Sets!$J$2:$J$2000,"N"))</f>
        <v/>
      </c>
      <c r="V26" s="4" t="str">
        <f aca="false">IF(_xlfn.MAXIFS(Sets!$H$2:$H$2000,Sets!$A$2:$A$2000,$A26,Sets!$D$2:$D$2000,V$1,Sets!$J$2:$J$2000,"N")=0,"",_xlfn.MAXIFS(Sets!$H$2:$H$2000,Sets!$A$2:$A$2000,$A26,Sets!$D$2:$D$2000,V$1,Sets!$J$2:$J$2000,"N"))</f>
        <v/>
      </c>
      <c r="W26" s="4" t="str">
        <f aca="false">IF(_xlfn.MAXIFS(Sets!$H$2:$H$2000,Sets!$A$2:$A$2000,$A26,Sets!$D$2:$D$2000,W$1,Sets!$J$2:$J$2000,"N")=0,"",_xlfn.MAXIFS(Sets!$H$2:$H$2000,Sets!$A$2:$A$2000,$A26,Sets!$D$2:$D$2000,W$1,Sets!$J$2:$J$2000,"N"))</f>
        <v/>
      </c>
      <c r="X26" s="4" t="str">
        <f aca="false">IF(_xlfn.MAXIFS(Sets!$H$2:$H$2000,Sets!$A$2:$A$2000,$A26,Sets!$D$2:$D$2000,X$1,Sets!$J$2:$J$2000,"N")=0,"",_xlfn.MAXIFS(Sets!$H$2:$H$2000,Sets!$A$2:$A$2000,$A26,Sets!$D$2:$D$2000,X$1,Sets!$J$2:$J$2000,"N"))</f>
        <v/>
      </c>
      <c r="Y26" s="4" t="str">
        <f aca="false">IF(_xlfn.MAXIFS(Sets!$H$2:$H$2000,Sets!$A$2:$A$2000,$A26,Sets!$D$2:$D$2000,Y$1,Sets!$J$2:$J$2000,"N")=0,"",_xlfn.MAXIFS(Sets!$H$2:$H$2000,Sets!$A$2:$A$2000,$A26,Sets!$D$2:$D$2000,Y$1,Sets!$J$2:$J$2000,"N"))</f>
        <v/>
      </c>
      <c r="Z26" s="4" t="str">
        <f aca="false">IF(_xlfn.MAXIFS(Sets!$H$2:$H$2000,Sets!$A$2:$A$2000,$A26,Sets!$D$2:$D$2000,Z$1,Sets!$J$2:$J$2000,"N")=0,"",_xlfn.MAXIFS(Sets!$H$2:$H$2000,Sets!$A$2:$A$2000,$A26,Sets!$D$2:$D$2000,Z$1,Sets!$J$2:$J$2000,"N"))</f>
        <v/>
      </c>
      <c r="AA26" s="4" t="str">
        <f aca="false">IF(_xlfn.MAXIFS(Sets!$H$2:$H$2000,Sets!$A$2:$A$2000,$A26,Sets!$D$2:$D$2000,AA$1,Sets!$J$2:$J$2000,"N")=0,"",_xlfn.MAXIFS(Sets!$H$2:$H$2000,Sets!$A$2:$A$2000,$A26,Sets!$D$2:$D$2000,AA$1,Sets!$J$2:$J$2000,"N"))</f>
        <v/>
      </c>
      <c r="AB26" s="4" t="str">
        <f aca="false">IF(_xlfn.MAXIFS(Sets!$H$2:$H$2000,Sets!$A$2:$A$2000,$A26,Sets!$D$2:$D$2000,AB$1,Sets!$J$2:$J$2000,"N")=0,"",_xlfn.MAXIFS(Sets!$H$2:$H$2000,Sets!$A$2:$A$2000,$A26,Sets!$D$2:$D$2000,AB$1,Sets!$J$2:$J$2000,"N"))</f>
        <v/>
      </c>
      <c r="AC26" s="4" t="str">
        <f aca="false">IF(_xlfn.MAXIFS(Sets!$H$2:$H$2000,Sets!$A$2:$A$2000,$A26,Sets!$D$2:$D$2000,AC$1,Sets!$J$2:$J$2000,"N")=0,"",_xlfn.MAXIFS(Sets!$H$2:$H$2000,Sets!$A$2:$A$2000,$A26,Sets!$D$2:$D$2000,AC$1,Sets!$J$2:$J$2000,"N"))</f>
        <v/>
      </c>
      <c r="AD26" s="4" t="str">
        <f aca="false">IF(_xlfn.MAXIFS(Sets!$H$2:$H$2000,Sets!$A$2:$A$2000,$A26,Sets!$D$2:$D$2000,AD$1,Sets!$J$2:$J$2000,"N")=0,"",_xlfn.MAXIFS(Sets!$H$2:$H$2000,Sets!$A$2:$A$2000,$A26,Sets!$D$2:$D$2000,AD$1,Sets!$J$2:$J$2000,"N"))</f>
        <v/>
      </c>
      <c r="AE26" s="4" t="str">
        <f aca="false">IF(_xlfn.MAXIFS(Sets!$H$2:$H$2000,Sets!$A$2:$A$2000,$A26,Sets!$D$2:$D$2000,AE$1,Sets!$J$2:$J$2000,"N")=0,"",_xlfn.MAXIFS(Sets!$H$2:$H$2000,Sets!$A$2:$A$2000,$A26,Sets!$D$2:$D$2000,AE$1,Sets!$J$2:$J$2000,"N"))</f>
        <v/>
      </c>
      <c r="AF26" s="4" t="str">
        <f aca="false">IF(_xlfn.MAXIFS(Sets!$H$2:$H$2000,Sets!$A$2:$A$2000,$A26,Sets!$D$2:$D$2000,AF$1,Sets!$J$2:$J$2000,"N")=0,"",_xlfn.MAXIFS(Sets!$H$2:$H$2000,Sets!$A$2:$A$2000,$A26,Sets!$D$2:$D$2000,AF$1,Sets!$J$2:$J$2000,"N"))</f>
        <v/>
      </c>
      <c r="AG26" s="4" t="str">
        <f aca="false">IF(_xlfn.MAXIFS(Sets!$H$2:$H$2000,Sets!$A$2:$A$2000,$A26,Sets!$D$2:$D$2000,AG$1,Sets!$J$2:$J$2000,"N")=0,"",_xlfn.MAXIFS(Sets!$H$2:$H$2000,Sets!$A$2:$A$2000,$A26,Sets!$D$2:$D$2000,AG$1,Sets!$J$2:$J$2000,"N"))</f>
        <v/>
      </c>
      <c r="AH26" s="4" t="str">
        <f aca="false">IF(_xlfn.MAXIFS(Sets!$H$2:$H$2000,Sets!$A$2:$A$2000,$A26,Sets!$D$2:$D$2000,AH$1,Sets!$J$2:$J$2000,"N")=0,"",_xlfn.MAXIFS(Sets!$H$2:$H$2000,Sets!$A$2:$A$2000,$A26,Sets!$D$2:$D$2000,AH$1,Sets!$J$2:$J$2000,"N"))</f>
        <v/>
      </c>
    </row>
    <row r="27" customFormat="false" ht="15" hidden="false" customHeight="false" outlineLevel="0" collapsed="false">
      <c r="A27" s="16" t="n">
        <v>46142</v>
      </c>
      <c r="B27" s="4" t="str">
        <f aca="false">IF(_xlfn.MAXIFS(Sets!$H$2:$H$2000,Sets!$A$2:$A$2000,$A27,Sets!$D$2:$D$2000,B$1,Sets!$J$2:$J$2000,"N")=0,"",_xlfn.MAXIFS(Sets!$H$2:$H$2000,Sets!$A$2:$A$2000,$A27,Sets!$D$2:$D$2000,B$1,Sets!$J$2:$J$2000,"N"))</f>
        <v/>
      </c>
      <c r="C27" s="4" t="n">
        <f aca="false">IF(_xlfn.MAXIFS(Sets!$H$2:$H$2000,Sets!$A$2:$A$2000,$A27,Sets!$D$2:$D$2000,C$1,Sets!$J$2:$J$2000,"N")=0,"",_xlfn.MAXIFS(Sets!$H$2:$H$2000,Sets!$A$2:$A$2000,$A27,Sets!$D$2:$D$2000,C$1,Sets!$J$2:$J$2000,"N"))</f>
        <v>22.5</v>
      </c>
      <c r="D27" s="4" t="str">
        <f aca="false">IF(_xlfn.MAXIFS(Sets!$H$2:$H$2000,Sets!$A$2:$A$2000,$A27,Sets!$D$2:$D$2000,D$1,Sets!$J$2:$J$2000,"N")=0,"",_xlfn.MAXIFS(Sets!$H$2:$H$2000,Sets!$A$2:$A$2000,$A27,Sets!$D$2:$D$2000,D$1,Sets!$J$2:$J$2000,"N"))</f>
        <v/>
      </c>
      <c r="E27" s="4" t="str">
        <f aca="false">IF(_xlfn.MAXIFS(Sets!$H$2:$H$2000,Sets!$A$2:$A$2000,$A27,Sets!$D$2:$D$2000,E$1,Sets!$J$2:$J$2000,"N")=0,"",_xlfn.MAXIFS(Sets!$H$2:$H$2000,Sets!$A$2:$A$2000,$A27,Sets!$D$2:$D$2000,E$1,Sets!$J$2:$J$2000,"N"))</f>
        <v/>
      </c>
      <c r="F27" s="4" t="n">
        <f aca="false">IF(_xlfn.MAXIFS(Sets!$H$2:$H$2000,Sets!$A$2:$A$2000,$A27,Sets!$D$2:$D$2000,F$1,Sets!$J$2:$J$2000,"N")=0,"",_xlfn.MAXIFS(Sets!$H$2:$H$2000,Sets!$A$2:$A$2000,$A27,Sets!$D$2:$D$2000,F$1,Sets!$J$2:$J$2000,"N"))</f>
        <v>30</v>
      </c>
      <c r="G27" s="4" t="n">
        <f aca="false">IF(_xlfn.MAXIFS(Sets!$H$2:$H$2000,Sets!$A$2:$A$2000,$A27,Sets!$D$2:$D$2000,G$1,Sets!$J$2:$J$2000,"N")=0,"",_xlfn.MAXIFS(Sets!$H$2:$H$2000,Sets!$A$2:$A$2000,$A27,Sets!$D$2:$D$2000,G$1,Sets!$J$2:$J$2000,"N"))</f>
        <v>50</v>
      </c>
      <c r="H27" s="4" t="str">
        <f aca="false">IF(_xlfn.MAXIFS(Sets!$H$2:$H$2000,Sets!$A$2:$A$2000,$A27,Sets!$D$2:$D$2000,H$1,Sets!$J$2:$J$2000,"N")=0,"",_xlfn.MAXIFS(Sets!$H$2:$H$2000,Sets!$A$2:$A$2000,$A27,Sets!$D$2:$D$2000,H$1,Sets!$J$2:$J$2000,"N"))</f>
        <v/>
      </c>
      <c r="I27" s="4" t="str">
        <f aca="false">IF(_xlfn.MAXIFS(Sets!$H$2:$H$2000,Sets!$A$2:$A$2000,$A27,Sets!$D$2:$D$2000,I$1,Sets!$J$2:$J$2000,"N")=0,"",_xlfn.MAXIFS(Sets!$H$2:$H$2000,Sets!$A$2:$A$2000,$A27,Sets!$D$2:$D$2000,I$1,Sets!$J$2:$J$2000,"N"))</f>
        <v/>
      </c>
      <c r="J27" s="4" t="str">
        <f aca="false">IF(_xlfn.MAXIFS(Sets!$H$2:$H$2000,Sets!$A$2:$A$2000,$A27,Sets!$D$2:$D$2000,J$1,Sets!$J$2:$J$2000,"N")=0,"",_xlfn.MAXIFS(Sets!$H$2:$H$2000,Sets!$A$2:$A$2000,$A27,Sets!$D$2:$D$2000,J$1,Sets!$J$2:$J$2000,"N"))</f>
        <v/>
      </c>
      <c r="K27" s="4" t="n">
        <f aca="false">IF(_xlfn.MAXIFS(Sets!$H$2:$H$2000,Sets!$A$2:$A$2000,$A27,Sets!$D$2:$D$2000,K$1,Sets!$J$2:$J$2000,"N")=0,"",_xlfn.MAXIFS(Sets!$H$2:$H$2000,Sets!$A$2:$A$2000,$A27,Sets!$D$2:$D$2000,K$1,Sets!$J$2:$J$2000,"N"))</f>
        <v>30</v>
      </c>
      <c r="L27" s="4" t="str">
        <f aca="false">IF(_xlfn.MAXIFS(Sets!$H$2:$H$2000,Sets!$A$2:$A$2000,$A27,Sets!$D$2:$D$2000,L$1,Sets!$J$2:$J$2000,"N")=0,"",_xlfn.MAXIFS(Sets!$H$2:$H$2000,Sets!$A$2:$A$2000,$A27,Sets!$D$2:$D$2000,L$1,Sets!$J$2:$J$2000,"N"))</f>
        <v/>
      </c>
      <c r="M27" s="4" t="str">
        <f aca="false">IF(_xlfn.MAXIFS(Sets!$H$2:$H$2000,Sets!$A$2:$A$2000,$A27,Sets!$D$2:$D$2000,M$1,Sets!$J$2:$J$2000,"N")=0,"",_xlfn.MAXIFS(Sets!$H$2:$H$2000,Sets!$A$2:$A$2000,$A27,Sets!$D$2:$D$2000,M$1,Sets!$J$2:$J$2000,"N"))</f>
        <v/>
      </c>
      <c r="N27" s="4" t="str">
        <f aca="false">IF(_xlfn.MAXIFS(Sets!$H$2:$H$2000,Sets!$A$2:$A$2000,$A27,Sets!$D$2:$D$2000,N$1,Sets!$J$2:$J$2000,"N")=0,"",_xlfn.MAXIFS(Sets!$H$2:$H$2000,Sets!$A$2:$A$2000,$A27,Sets!$D$2:$D$2000,N$1,Sets!$J$2:$J$2000,"N"))</f>
        <v/>
      </c>
      <c r="O27" s="4" t="str">
        <f aca="false">IF(_xlfn.MAXIFS(Sets!$H$2:$H$2000,Sets!$A$2:$A$2000,$A27,Sets!$D$2:$D$2000,O$1,Sets!$J$2:$J$2000,"N")=0,"",_xlfn.MAXIFS(Sets!$H$2:$H$2000,Sets!$A$2:$A$2000,$A27,Sets!$D$2:$D$2000,O$1,Sets!$J$2:$J$2000,"N"))</f>
        <v/>
      </c>
      <c r="P27" s="4" t="str">
        <f aca="false">IF(_xlfn.MAXIFS(Sets!$H$2:$H$2000,Sets!$A$2:$A$2000,$A27,Sets!$D$2:$D$2000,P$1,Sets!$J$2:$J$2000,"N")=0,"",_xlfn.MAXIFS(Sets!$H$2:$H$2000,Sets!$A$2:$A$2000,$A27,Sets!$D$2:$D$2000,P$1,Sets!$J$2:$J$2000,"N"))</f>
        <v/>
      </c>
      <c r="Q27" s="4" t="str">
        <f aca="false">IF(_xlfn.MAXIFS(Sets!$H$2:$H$2000,Sets!$A$2:$A$2000,$A27,Sets!$D$2:$D$2000,Q$1,Sets!$J$2:$J$2000,"N")=0,"",_xlfn.MAXIFS(Sets!$H$2:$H$2000,Sets!$A$2:$A$2000,$A27,Sets!$D$2:$D$2000,Q$1,Sets!$J$2:$J$2000,"N"))</f>
        <v/>
      </c>
      <c r="R27" s="4" t="str">
        <f aca="false">IF(_xlfn.MAXIFS(Sets!$H$2:$H$2000,Sets!$A$2:$A$2000,$A27,Sets!$D$2:$D$2000,R$1,Sets!$J$2:$J$2000,"N")=0,"",_xlfn.MAXIFS(Sets!$H$2:$H$2000,Sets!$A$2:$A$2000,$A27,Sets!$D$2:$D$2000,R$1,Sets!$J$2:$J$2000,"N"))</f>
        <v/>
      </c>
      <c r="S27" s="4" t="str">
        <f aca="false">IF(_xlfn.MAXIFS(Sets!$H$2:$H$2000,Sets!$A$2:$A$2000,$A27,Sets!$D$2:$D$2000,S$1,Sets!$J$2:$J$2000,"N")=0,"",_xlfn.MAXIFS(Sets!$H$2:$H$2000,Sets!$A$2:$A$2000,$A27,Sets!$D$2:$D$2000,S$1,Sets!$J$2:$J$2000,"N"))</f>
        <v/>
      </c>
      <c r="T27" s="4" t="str">
        <f aca="false">IF(_xlfn.MAXIFS(Sets!$H$2:$H$2000,Sets!$A$2:$A$2000,$A27,Sets!$D$2:$D$2000,T$1,Sets!$J$2:$J$2000,"N")=0,"",_xlfn.MAXIFS(Sets!$H$2:$H$2000,Sets!$A$2:$A$2000,$A27,Sets!$D$2:$D$2000,T$1,Sets!$J$2:$J$2000,"N"))</f>
        <v/>
      </c>
      <c r="U27" s="4" t="str">
        <f aca="false">IF(_xlfn.MAXIFS(Sets!$H$2:$H$2000,Sets!$A$2:$A$2000,$A27,Sets!$D$2:$D$2000,U$1,Sets!$J$2:$J$2000,"N")=0,"",_xlfn.MAXIFS(Sets!$H$2:$H$2000,Sets!$A$2:$A$2000,$A27,Sets!$D$2:$D$2000,U$1,Sets!$J$2:$J$2000,"N"))</f>
        <v/>
      </c>
      <c r="V27" s="4" t="str">
        <f aca="false">IF(_xlfn.MAXIFS(Sets!$H$2:$H$2000,Sets!$A$2:$A$2000,$A27,Sets!$D$2:$D$2000,V$1,Sets!$J$2:$J$2000,"N")=0,"",_xlfn.MAXIFS(Sets!$H$2:$H$2000,Sets!$A$2:$A$2000,$A27,Sets!$D$2:$D$2000,V$1,Sets!$J$2:$J$2000,"N"))</f>
        <v/>
      </c>
      <c r="W27" s="4" t="str">
        <f aca="false">IF(_xlfn.MAXIFS(Sets!$H$2:$H$2000,Sets!$A$2:$A$2000,$A27,Sets!$D$2:$D$2000,W$1,Sets!$J$2:$J$2000,"N")=0,"",_xlfn.MAXIFS(Sets!$H$2:$H$2000,Sets!$A$2:$A$2000,$A27,Sets!$D$2:$D$2000,W$1,Sets!$J$2:$J$2000,"N"))</f>
        <v/>
      </c>
      <c r="X27" s="4" t="str">
        <f aca="false">IF(_xlfn.MAXIFS(Sets!$H$2:$H$2000,Sets!$A$2:$A$2000,$A27,Sets!$D$2:$D$2000,X$1,Sets!$J$2:$J$2000,"N")=0,"",_xlfn.MAXIFS(Sets!$H$2:$H$2000,Sets!$A$2:$A$2000,$A27,Sets!$D$2:$D$2000,X$1,Sets!$J$2:$J$2000,"N"))</f>
        <v/>
      </c>
      <c r="Y27" s="4" t="str">
        <f aca="false">IF(_xlfn.MAXIFS(Sets!$H$2:$H$2000,Sets!$A$2:$A$2000,$A27,Sets!$D$2:$D$2000,Y$1,Sets!$J$2:$J$2000,"N")=0,"",_xlfn.MAXIFS(Sets!$H$2:$H$2000,Sets!$A$2:$A$2000,$A27,Sets!$D$2:$D$2000,Y$1,Sets!$J$2:$J$2000,"N"))</f>
        <v/>
      </c>
      <c r="Z27" s="4" t="str">
        <f aca="false">IF(_xlfn.MAXIFS(Sets!$H$2:$H$2000,Sets!$A$2:$A$2000,$A27,Sets!$D$2:$D$2000,Z$1,Sets!$J$2:$J$2000,"N")=0,"",_xlfn.MAXIFS(Sets!$H$2:$H$2000,Sets!$A$2:$A$2000,$A27,Sets!$D$2:$D$2000,Z$1,Sets!$J$2:$J$2000,"N"))</f>
        <v/>
      </c>
      <c r="AA27" s="4" t="str">
        <f aca="false">IF(_xlfn.MAXIFS(Sets!$H$2:$H$2000,Sets!$A$2:$A$2000,$A27,Sets!$D$2:$D$2000,AA$1,Sets!$J$2:$J$2000,"N")=0,"",_xlfn.MAXIFS(Sets!$H$2:$H$2000,Sets!$A$2:$A$2000,$A27,Sets!$D$2:$D$2000,AA$1,Sets!$J$2:$J$2000,"N"))</f>
        <v/>
      </c>
      <c r="AB27" s="4" t="str">
        <f aca="false">IF(_xlfn.MAXIFS(Sets!$H$2:$H$2000,Sets!$A$2:$A$2000,$A27,Sets!$D$2:$D$2000,AB$1,Sets!$J$2:$J$2000,"N")=0,"",_xlfn.MAXIFS(Sets!$H$2:$H$2000,Sets!$A$2:$A$2000,$A27,Sets!$D$2:$D$2000,AB$1,Sets!$J$2:$J$2000,"N"))</f>
        <v/>
      </c>
      <c r="AC27" s="4" t="str">
        <f aca="false">IF(_xlfn.MAXIFS(Sets!$H$2:$H$2000,Sets!$A$2:$A$2000,$A27,Sets!$D$2:$D$2000,AC$1,Sets!$J$2:$J$2000,"N")=0,"",_xlfn.MAXIFS(Sets!$H$2:$H$2000,Sets!$A$2:$A$2000,$A27,Sets!$D$2:$D$2000,AC$1,Sets!$J$2:$J$2000,"N"))</f>
        <v/>
      </c>
      <c r="AD27" s="4" t="str">
        <f aca="false">IF(_xlfn.MAXIFS(Sets!$H$2:$H$2000,Sets!$A$2:$A$2000,$A27,Sets!$D$2:$D$2000,AD$1,Sets!$J$2:$J$2000,"N")=0,"",_xlfn.MAXIFS(Sets!$H$2:$H$2000,Sets!$A$2:$A$2000,$A27,Sets!$D$2:$D$2000,AD$1,Sets!$J$2:$J$2000,"N"))</f>
        <v/>
      </c>
      <c r="AE27" s="4" t="str">
        <f aca="false">IF(_xlfn.MAXIFS(Sets!$H$2:$H$2000,Sets!$A$2:$A$2000,$A27,Sets!$D$2:$D$2000,AE$1,Sets!$J$2:$J$2000,"N")=0,"",_xlfn.MAXIFS(Sets!$H$2:$H$2000,Sets!$A$2:$A$2000,$A27,Sets!$D$2:$D$2000,AE$1,Sets!$J$2:$J$2000,"N"))</f>
        <v/>
      </c>
      <c r="AF27" s="4" t="str">
        <f aca="false">IF(_xlfn.MAXIFS(Sets!$H$2:$H$2000,Sets!$A$2:$A$2000,$A27,Sets!$D$2:$D$2000,AF$1,Sets!$J$2:$J$2000,"N")=0,"",_xlfn.MAXIFS(Sets!$H$2:$H$2000,Sets!$A$2:$A$2000,$A27,Sets!$D$2:$D$2000,AF$1,Sets!$J$2:$J$2000,"N"))</f>
        <v/>
      </c>
      <c r="AG27" s="4" t="str">
        <f aca="false">IF(_xlfn.MAXIFS(Sets!$H$2:$H$2000,Sets!$A$2:$A$2000,$A27,Sets!$D$2:$D$2000,AG$1,Sets!$J$2:$J$2000,"N")=0,"",_xlfn.MAXIFS(Sets!$H$2:$H$2000,Sets!$A$2:$A$2000,$A27,Sets!$D$2:$D$2000,AG$1,Sets!$J$2:$J$2000,"N"))</f>
        <v/>
      </c>
      <c r="AH27" s="4" t="str">
        <f aca="false">IF(_xlfn.MAXIFS(Sets!$H$2:$H$2000,Sets!$A$2:$A$2000,$A27,Sets!$D$2:$D$2000,AH$1,Sets!$J$2:$J$2000,"N")=0,"",_xlfn.MAXIFS(Sets!$H$2:$H$2000,Sets!$A$2:$A$2000,$A27,Sets!$D$2:$D$2000,AH$1,Sets!$J$2:$J$2000,"N"))</f>
        <v/>
      </c>
    </row>
    <row r="28" customFormat="false" ht="15" hidden="false" customHeight="false" outlineLevel="0" collapsed="false">
      <c r="A28" s="16" t="n">
        <v>46145</v>
      </c>
      <c r="B28" s="4" t="n">
        <f aca="false">IF(_xlfn.MAXIFS(Sets!$H$2:$H$2000,Sets!$A$2:$A$2000,$A28,Sets!$D$2:$D$2000,B$1,Sets!$J$2:$J$2000,"N")=0,"",_xlfn.MAXIFS(Sets!$H$2:$H$2000,Sets!$A$2:$A$2000,$A28,Sets!$D$2:$D$2000,B$1,Sets!$J$2:$J$2000,"N"))</f>
        <v>30</v>
      </c>
      <c r="C28" s="4" t="str">
        <f aca="false">IF(_xlfn.MAXIFS(Sets!$H$2:$H$2000,Sets!$A$2:$A$2000,$A28,Sets!$D$2:$D$2000,C$1,Sets!$J$2:$J$2000,"N")=0,"",_xlfn.MAXIFS(Sets!$H$2:$H$2000,Sets!$A$2:$A$2000,$A28,Sets!$D$2:$D$2000,C$1,Sets!$J$2:$J$2000,"N"))</f>
        <v/>
      </c>
      <c r="D28" s="4" t="n">
        <f aca="false">IF(_xlfn.MAXIFS(Sets!$H$2:$H$2000,Sets!$A$2:$A$2000,$A28,Sets!$D$2:$D$2000,D$1,Sets!$J$2:$J$2000,"N")=0,"",_xlfn.MAXIFS(Sets!$H$2:$H$2000,Sets!$A$2:$A$2000,$A28,Sets!$D$2:$D$2000,D$1,Sets!$J$2:$J$2000,"N"))</f>
        <v>45</v>
      </c>
      <c r="E28" s="4" t="n">
        <f aca="false">IF(_xlfn.MAXIFS(Sets!$H$2:$H$2000,Sets!$A$2:$A$2000,$A28,Sets!$D$2:$D$2000,E$1,Sets!$J$2:$J$2000,"N")=0,"",_xlfn.MAXIFS(Sets!$H$2:$H$2000,Sets!$A$2:$A$2000,$A28,Sets!$D$2:$D$2000,E$1,Sets!$J$2:$J$2000,"N"))</f>
        <v>90</v>
      </c>
      <c r="F28" s="4" t="str">
        <f aca="false">IF(_xlfn.MAXIFS(Sets!$H$2:$H$2000,Sets!$A$2:$A$2000,$A28,Sets!$D$2:$D$2000,F$1,Sets!$J$2:$J$2000,"N")=0,"",_xlfn.MAXIFS(Sets!$H$2:$H$2000,Sets!$A$2:$A$2000,$A28,Sets!$D$2:$D$2000,F$1,Sets!$J$2:$J$2000,"N"))</f>
        <v/>
      </c>
      <c r="G28" s="4" t="str">
        <f aca="false">IF(_xlfn.MAXIFS(Sets!$H$2:$H$2000,Sets!$A$2:$A$2000,$A28,Sets!$D$2:$D$2000,G$1,Sets!$J$2:$J$2000,"N")=0,"",_xlfn.MAXIFS(Sets!$H$2:$H$2000,Sets!$A$2:$A$2000,$A28,Sets!$D$2:$D$2000,G$1,Sets!$J$2:$J$2000,"N"))</f>
        <v/>
      </c>
      <c r="H28" s="4" t="str">
        <f aca="false">IF(_xlfn.MAXIFS(Sets!$H$2:$H$2000,Sets!$A$2:$A$2000,$A28,Sets!$D$2:$D$2000,H$1,Sets!$J$2:$J$2000,"N")=0,"",_xlfn.MAXIFS(Sets!$H$2:$H$2000,Sets!$A$2:$A$2000,$A28,Sets!$D$2:$D$2000,H$1,Sets!$J$2:$J$2000,"N"))</f>
        <v/>
      </c>
      <c r="I28" s="4" t="str">
        <f aca="false">IF(_xlfn.MAXIFS(Sets!$H$2:$H$2000,Sets!$A$2:$A$2000,$A28,Sets!$D$2:$D$2000,I$1,Sets!$J$2:$J$2000,"N")=0,"",_xlfn.MAXIFS(Sets!$H$2:$H$2000,Sets!$A$2:$A$2000,$A28,Sets!$D$2:$D$2000,I$1,Sets!$J$2:$J$2000,"N"))</f>
        <v/>
      </c>
      <c r="J28" s="4" t="str">
        <f aca="false">IF(_xlfn.MAXIFS(Sets!$H$2:$H$2000,Sets!$A$2:$A$2000,$A28,Sets!$D$2:$D$2000,J$1,Sets!$J$2:$J$2000,"N")=0,"",_xlfn.MAXIFS(Sets!$H$2:$H$2000,Sets!$A$2:$A$2000,$A28,Sets!$D$2:$D$2000,J$1,Sets!$J$2:$J$2000,"N"))</f>
        <v/>
      </c>
      <c r="K28" s="4" t="str">
        <f aca="false">IF(_xlfn.MAXIFS(Sets!$H$2:$H$2000,Sets!$A$2:$A$2000,$A28,Sets!$D$2:$D$2000,K$1,Sets!$J$2:$J$2000,"N")=0,"",_xlfn.MAXIFS(Sets!$H$2:$H$2000,Sets!$A$2:$A$2000,$A28,Sets!$D$2:$D$2000,K$1,Sets!$J$2:$J$2000,"N"))</f>
        <v/>
      </c>
      <c r="L28" s="4" t="str">
        <f aca="false">IF(_xlfn.MAXIFS(Sets!$H$2:$H$2000,Sets!$A$2:$A$2000,$A28,Sets!$D$2:$D$2000,L$1,Sets!$J$2:$J$2000,"N")=0,"",_xlfn.MAXIFS(Sets!$H$2:$H$2000,Sets!$A$2:$A$2000,$A28,Sets!$D$2:$D$2000,L$1,Sets!$J$2:$J$2000,"N"))</f>
        <v/>
      </c>
      <c r="M28" s="4" t="str">
        <f aca="false">IF(_xlfn.MAXIFS(Sets!$H$2:$H$2000,Sets!$A$2:$A$2000,$A28,Sets!$D$2:$D$2000,M$1,Sets!$J$2:$J$2000,"N")=0,"",_xlfn.MAXIFS(Sets!$H$2:$H$2000,Sets!$A$2:$A$2000,$A28,Sets!$D$2:$D$2000,M$1,Sets!$J$2:$J$2000,"N"))</f>
        <v/>
      </c>
      <c r="N28" s="4" t="str">
        <f aca="false">IF(_xlfn.MAXIFS(Sets!$H$2:$H$2000,Sets!$A$2:$A$2000,$A28,Sets!$D$2:$D$2000,N$1,Sets!$J$2:$J$2000,"N")=0,"",_xlfn.MAXIFS(Sets!$H$2:$H$2000,Sets!$A$2:$A$2000,$A28,Sets!$D$2:$D$2000,N$1,Sets!$J$2:$J$2000,"N"))</f>
        <v/>
      </c>
      <c r="O28" s="4" t="n">
        <f aca="false">IF(_xlfn.MAXIFS(Sets!$H$2:$H$2000,Sets!$A$2:$A$2000,$A28,Sets!$D$2:$D$2000,O$1,Sets!$J$2:$J$2000,"N")=0,"",_xlfn.MAXIFS(Sets!$H$2:$H$2000,Sets!$A$2:$A$2000,$A28,Sets!$D$2:$D$2000,O$1,Sets!$J$2:$J$2000,"N"))</f>
        <v>40</v>
      </c>
      <c r="P28" s="4" t="str">
        <f aca="false">IF(_xlfn.MAXIFS(Sets!$H$2:$H$2000,Sets!$A$2:$A$2000,$A28,Sets!$D$2:$D$2000,P$1,Sets!$J$2:$J$2000,"N")=0,"",_xlfn.MAXIFS(Sets!$H$2:$H$2000,Sets!$A$2:$A$2000,$A28,Sets!$D$2:$D$2000,P$1,Sets!$J$2:$J$2000,"N"))</f>
        <v/>
      </c>
      <c r="Q28" s="4" t="str">
        <f aca="false">IF(_xlfn.MAXIFS(Sets!$H$2:$H$2000,Sets!$A$2:$A$2000,$A28,Sets!$D$2:$D$2000,Q$1,Sets!$J$2:$J$2000,"N")=0,"",_xlfn.MAXIFS(Sets!$H$2:$H$2000,Sets!$A$2:$A$2000,$A28,Sets!$D$2:$D$2000,Q$1,Sets!$J$2:$J$2000,"N"))</f>
        <v/>
      </c>
      <c r="R28" s="4" t="str">
        <f aca="false">IF(_xlfn.MAXIFS(Sets!$H$2:$H$2000,Sets!$A$2:$A$2000,$A28,Sets!$D$2:$D$2000,R$1,Sets!$J$2:$J$2000,"N")=0,"",_xlfn.MAXIFS(Sets!$H$2:$H$2000,Sets!$A$2:$A$2000,$A28,Sets!$D$2:$D$2000,R$1,Sets!$J$2:$J$2000,"N"))</f>
        <v/>
      </c>
      <c r="S28" s="4" t="str">
        <f aca="false">IF(_xlfn.MAXIFS(Sets!$H$2:$H$2000,Sets!$A$2:$A$2000,$A28,Sets!$D$2:$D$2000,S$1,Sets!$J$2:$J$2000,"N")=0,"",_xlfn.MAXIFS(Sets!$H$2:$H$2000,Sets!$A$2:$A$2000,$A28,Sets!$D$2:$D$2000,S$1,Sets!$J$2:$J$2000,"N"))</f>
        <v/>
      </c>
      <c r="T28" s="4" t="str">
        <f aca="false">IF(_xlfn.MAXIFS(Sets!$H$2:$H$2000,Sets!$A$2:$A$2000,$A28,Sets!$D$2:$D$2000,T$1,Sets!$J$2:$J$2000,"N")=0,"",_xlfn.MAXIFS(Sets!$H$2:$H$2000,Sets!$A$2:$A$2000,$A28,Sets!$D$2:$D$2000,T$1,Sets!$J$2:$J$2000,"N"))</f>
        <v/>
      </c>
      <c r="U28" s="4" t="str">
        <f aca="false">IF(_xlfn.MAXIFS(Sets!$H$2:$H$2000,Sets!$A$2:$A$2000,$A28,Sets!$D$2:$D$2000,U$1,Sets!$J$2:$J$2000,"N")=0,"",_xlfn.MAXIFS(Sets!$H$2:$H$2000,Sets!$A$2:$A$2000,$A28,Sets!$D$2:$D$2000,U$1,Sets!$J$2:$J$2000,"N"))</f>
        <v/>
      </c>
      <c r="V28" s="4" t="str">
        <f aca="false">IF(_xlfn.MAXIFS(Sets!$H$2:$H$2000,Sets!$A$2:$A$2000,$A28,Sets!$D$2:$D$2000,V$1,Sets!$J$2:$J$2000,"N")=0,"",_xlfn.MAXIFS(Sets!$H$2:$H$2000,Sets!$A$2:$A$2000,$A28,Sets!$D$2:$D$2000,V$1,Sets!$J$2:$J$2000,"N"))</f>
        <v/>
      </c>
      <c r="W28" s="4" t="str">
        <f aca="false">IF(_xlfn.MAXIFS(Sets!$H$2:$H$2000,Sets!$A$2:$A$2000,$A28,Sets!$D$2:$D$2000,W$1,Sets!$J$2:$J$2000,"N")=0,"",_xlfn.MAXIFS(Sets!$H$2:$H$2000,Sets!$A$2:$A$2000,$A28,Sets!$D$2:$D$2000,W$1,Sets!$J$2:$J$2000,"N"))</f>
        <v/>
      </c>
      <c r="X28" s="4" t="str">
        <f aca="false">IF(_xlfn.MAXIFS(Sets!$H$2:$H$2000,Sets!$A$2:$A$2000,$A28,Sets!$D$2:$D$2000,X$1,Sets!$J$2:$J$2000,"N")=0,"",_xlfn.MAXIFS(Sets!$H$2:$H$2000,Sets!$A$2:$A$2000,$A28,Sets!$D$2:$D$2000,X$1,Sets!$J$2:$J$2000,"N"))</f>
        <v/>
      </c>
      <c r="Y28" s="4" t="str">
        <f aca="false">IF(_xlfn.MAXIFS(Sets!$H$2:$H$2000,Sets!$A$2:$A$2000,$A28,Sets!$D$2:$D$2000,Y$1,Sets!$J$2:$J$2000,"N")=0,"",_xlfn.MAXIFS(Sets!$H$2:$H$2000,Sets!$A$2:$A$2000,$A28,Sets!$D$2:$D$2000,Y$1,Sets!$J$2:$J$2000,"N"))</f>
        <v/>
      </c>
      <c r="Z28" s="4" t="str">
        <f aca="false">IF(_xlfn.MAXIFS(Sets!$H$2:$H$2000,Sets!$A$2:$A$2000,$A28,Sets!$D$2:$D$2000,Z$1,Sets!$J$2:$J$2000,"N")=0,"",_xlfn.MAXIFS(Sets!$H$2:$H$2000,Sets!$A$2:$A$2000,$A28,Sets!$D$2:$D$2000,Z$1,Sets!$J$2:$J$2000,"N"))</f>
        <v/>
      </c>
      <c r="AA28" s="4" t="str">
        <f aca="false">IF(_xlfn.MAXIFS(Sets!$H$2:$H$2000,Sets!$A$2:$A$2000,$A28,Sets!$D$2:$D$2000,AA$1,Sets!$J$2:$J$2000,"N")=0,"",_xlfn.MAXIFS(Sets!$H$2:$H$2000,Sets!$A$2:$A$2000,$A28,Sets!$D$2:$D$2000,AA$1,Sets!$J$2:$J$2000,"N"))</f>
        <v/>
      </c>
      <c r="AB28" s="4" t="str">
        <f aca="false">IF(_xlfn.MAXIFS(Sets!$H$2:$H$2000,Sets!$A$2:$A$2000,$A28,Sets!$D$2:$D$2000,AB$1,Sets!$J$2:$J$2000,"N")=0,"",_xlfn.MAXIFS(Sets!$H$2:$H$2000,Sets!$A$2:$A$2000,$A28,Sets!$D$2:$D$2000,AB$1,Sets!$J$2:$J$2000,"N"))</f>
        <v/>
      </c>
      <c r="AC28" s="4" t="str">
        <f aca="false">IF(_xlfn.MAXIFS(Sets!$H$2:$H$2000,Sets!$A$2:$A$2000,$A28,Sets!$D$2:$D$2000,AC$1,Sets!$J$2:$J$2000,"N")=0,"",_xlfn.MAXIFS(Sets!$H$2:$H$2000,Sets!$A$2:$A$2000,$A28,Sets!$D$2:$D$2000,AC$1,Sets!$J$2:$J$2000,"N"))</f>
        <v/>
      </c>
      <c r="AD28" s="4" t="str">
        <f aca="false">IF(_xlfn.MAXIFS(Sets!$H$2:$H$2000,Sets!$A$2:$A$2000,$A28,Sets!$D$2:$D$2000,AD$1,Sets!$J$2:$J$2000,"N")=0,"",_xlfn.MAXIFS(Sets!$H$2:$H$2000,Sets!$A$2:$A$2000,$A28,Sets!$D$2:$D$2000,AD$1,Sets!$J$2:$J$2000,"N"))</f>
        <v/>
      </c>
      <c r="AE28" s="4" t="str">
        <f aca="false">IF(_xlfn.MAXIFS(Sets!$H$2:$H$2000,Sets!$A$2:$A$2000,$A28,Sets!$D$2:$D$2000,AE$1,Sets!$J$2:$J$2000,"N")=0,"",_xlfn.MAXIFS(Sets!$H$2:$H$2000,Sets!$A$2:$A$2000,$A28,Sets!$D$2:$D$2000,AE$1,Sets!$J$2:$J$2000,"N"))</f>
        <v/>
      </c>
      <c r="AF28" s="4" t="str">
        <f aca="false">IF(_xlfn.MAXIFS(Sets!$H$2:$H$2000,Sets!$A$2:$A$2000,$A28,Sets!$D$2:$D$2000,AF$1,Sets!$J$2:$J$2000,"N")=0,"",_xlfn.MAXIFS(Sets!$H$2:$H$2000,Sets!$A$2:$A$2000,$A28,Sets!$D$2:$D$2000,AF$1,Sets!$J$2:$J$2000,"N"))</f>
        <v/>
      </c>
      <c r="AG28" s="4" t="str">
        <f aca="false">IF(_xlfn.MAXIFS(Sets!$H$2:$H$2000,Sets!$A$2:$A$2000,$A28,Sets!$D$2:$D$2000,AG$1,Sets!$J$2:$J$2000,"N")=0,"",_xlfn.MAXIFS(Sets!$H$2:$H$2000,Sets!$A$2:$A$2000,$A28,Sets!$D$2:$D$2000,AG$1,Sets!$J$2:$J$2000,"N"))</f>
        <v/>
      </c>
      <c r="AH28" s="4" t="str">
        <f aca="false">IF(_xlfn.MAXIFS(Sets!$H$2:$H$2000,Sets!$A$2:$A$2000,$A28,Sets!$D$2:$D$2000,AH$1,Sets!$J$2:$J$2000,"N")=0,"",_xlfn.MAXIFS(Sets!$H$2:$H$2000,Sets!$A$2:$A$2000,$A28,Sets!$D$2:$D$2000,AH$1,Sets!$J$2:$J$2000,"N"))</f>
        <v/>
      </c>
    </row>
    <row r="29" customFormat="false" ht="15" hidden="false" customHeight="false" outlineLevel="0" collapsed="false">
      <c r="A29" s="16" t="n">
        <v>46151</v>
      </c>
      <c r="B29" s="4" t="str">
        <f aca="false">IF(_xlfn.MAXIFS(Sets!$H$2:$H$2000,Sets!$A$2:$A$2000,$A29,Sets!$D$2:$D$2000,B$1,Sets!$J$2:$J$2000,"N")=0,"",_xlfn.MAXIFS(Sets!$H$2:$H$2000,Sets!$A$2:$A$2000,$A29,Sets!$D$2:$D$2000,B$1,Sets!$J$2:$J$2000,"N"))</f>
        <v/>
      </c>
      <c r="C29" s="4" t="n">
        <f aca="false">IF(_xlfn.MAXIFS(Sets!$H$2:$H$2000,Sets!$A$2:$A$2000,$A29,Sets!$D$2:$D$2000,C$1,Sets!$J$2:$J$2000,"N")=0,"",_xlfn.MAXIFS(Sets!$H$2:$H$2000,Sets!$A$2:$A$2000,$A29,Sets!$D$2:$D$2000,C$1,Sets!$J$2:$J$2000,"N"))</f>
        <v>22.5</v>
      </c>
      <c r="D29" s="4" t="str">
        <f aca="false">IF(_xlfn.MAXIFS(Sets!$H$2:$H$2000,Sets!$A$2:$A$2000,$A29,Sets!$D$2:$D$2000,D$1,Sets!$J$2:$J$2000,"N")=0,"",_xlfn.MAXIFS(Sets!$H$2:$H$2000,Sets!$A$2:$A$2000,$A29,Sets!$D$2:$D$2000,D$1,Sets!$J$2:$J$2000,"N"))</f>
        <v/>
      </c>
      <c r="E29" s="4" t="str">
        <f aca="false">IF(_xlfn.MAXIFS(Sets!$H$2:$H$2000,Sets!$A$2:$A$2000,$A29,Sets!$D$2:$D$2000,E$1,Sets!$J$2:$J$2000,"N")=0,"",_xlfn.MAXIFS(Sets!$H$2:$H$2000,Sets!$A$2:$A$2000,$A29,Sets!$D$2:$D$2000,E$1,Sets!$J$2:$J$2000,"N"))</f>
        <v/>
      </c>
      <c r="F29" s="4" t="n">
        <f aca="false">IF(_xlfn.MAXIFS(Sets!$H$2:$H$2000,Sets!$A$2:$A$2000,$A29,Sets!$D$2:$D$2000,F$1,Sets!$J$2:$J$2000,"N")=0,"",_xlfn.MAXIFS(Sets!$H$2:$H$2000,Sets!$A$2:$A$2000,$A29,Sets!$D$2:$D$2000,F$1,Sets!$J$2:$J$2000,"N"))</f>
        <v>25</v>
      </c>
      <c r="G29" s="4" t="n">
        <f aca="false">IF(_xlfn.MAXIFS(Sets!$H$2:$H$2000,Sets!$A$2:$A$2000,$A29,Sets!$D$2:$D$2000,G$1,Sets!$J$2:$J$2000,"N")=0,"",_xlfn.MAXIFS(Sets!$H$2:$H$2000,Sets!$A$2:$A$2000,$A29,Sets!$D$2:$D$2000,G$1,Sets!$J$2:$J$2000,"N"))</f>
        <v>50</v>
      </c>
      <c r="H29" s="4" t="n">
        <f aca="false">IF(_xlfn.MAXIFS(Sets!$H$2:$H$2000,Sets!$A$2:$A$2000,$A29,Sets!$D$2:$D$2000,H$1,Sets!$J$2:$J$2000,"N")=0,"",_xlfn.MAXIFS(Sets!$H$2:$H$2000,Sets!$A$2:$A$2000,$A29,Sets!$D$2:$D$2000,H$1,Sets!$J$2:$J$2000,"N"))</f>
        <v>65</v>
      </c>
      <c r="I29" s="4" t="str">
        <f aca="false">IF(_xlfn.MAXIFS(Sets!$H$2:$H$2000,Sets!$A$2:$A$2000,$A29,Sets!$D$2:$D$2000,I$1,Sets!$J$2:$J$2000,"N")=0,"",_xlfn.MAXIFS(Sets!$H$2:$H$2000,Sets!$A$2:$A$2000,$A29,Sets!$D$2:$D$2000,I$1,Sets!$J$2:$J$2000,"N"))</f>
        <v/>
      </c>
      <c r="J29" s="4" t="str">
        <f aca="false">IF(_xlfn.MAXIFS(Sets!$H$2:$H$2000,Sets!$A$2:$A$2000,$A29,Sets!$D$2:$D$2000,J$1,Sets!$J$2:$J$2000,"N")=0,"",_xlfn.MAXIFS(Sets!$H$2:$H$2000,Sets!$A$2:$A$2000,$A29,Sets!$D$2:$D$2000,J$1,Sets!$J$2:$J$2000,"N"))</f>
        <v/>
      </c>
      <c r="K29" s="4" t="str">
        <f aca="false">IF(_xlfn.MAXIFS(Sets!$H$2:$H$2000,Sets!$A$2:$A$2000,$A29,Sets!$D$2:$D$2000,K$1,Sets!$J$2:$J$2000,"N")=0,"",_xlfn.MAXIFS(Sets!$H$2:$H$2000,Sets!$A$2:$A$2000,$A29,Sets!$D$2:$D$2000,K$1,Sets!$J$2:$J$2000,"N"))</f>
        <v/>
      </c>
      <c r="L29" s="4" t="str">
        <f aca="false">IF(_xlfn.MAXIFS(Sets!$H$2:$H$2000,Sets!$A$2:$A$2000,$A29,Sets!$D$2:$D$2000,L$1,Sets!$J$2:$J$2000,"N")=0,"",_xlfn.MAXIFS(Sets!$H$2:$H$2000,Sets!$A$2:$A$2000,$A29,Sets!$D$2:$D$2000,L$1,Sets!$J$2:$J$2000,"N"))</f>
        <v/>
      </c>
      <c r="M29" s="4" t="str">
        <f aca="false">IF(_xlfn.MAXIFS(Sets!$H$2:$H$2000,Sets!$A$2:$A$2000,$A29,Sets!$D$2:$D$2000,M$1,Sets!$J$2:$J$2000,"N")=0,"",_xlfn.MAXIFS(Sets!$H$2:$H$2000,Sets!$A$2:$A$2000,$A29,Sets!$D$2:$D$2000,M$1,Sets!$J$2:$J$2000,"N"))</f>
        <v/>
      </c>
      <c r="N29" s="4" t="str">
        <f aca="false">IF(_xlfn.MAXIFS(Sets!$H$2:$H$2000,Sets!$A$2:$A$2000,$A29,Sets!$D$2:$D$2000,N$1,Sets!$J$2:$J$2000,"N")=0,"",_xlfn.MAXIFS(Sets!$H$2:$H$2000,Sets!$A$2:$A$2000,$A29,Sets!$D$2:$D$2000,N$1,Sets!$J$2:$J$2000,"N"))</f>
        <v/>
      </c>
      <c r="O29" s="4" t="str">
        <f aca="false">IF(_xlfn.MAXIFS(Sets!$H$2:$H$2000,Sets!$A$2:$A$2000,$A29,Sets!$D$2:$D$2000,O$1,Sets!$J$2:$J$2000,"N")=0,"",_xlfn.MAXIFS(Sets!$H$2:$H$2000,Sets!$A$2:$A$2000,$A29,Sets!$D$2:$D$2000,O$1,Sets!$J$2:$J$2000,"N"))</f>
        <v/>
      </c>
      <c r="P29" s="4" t="str">
        <f aca="false">IF(_xlfn.MAXIFS(Sets!$H$2:$H$2000,Sets!$A$2:$A$2000,$A29,Sets!$D$2:$D$2000,P$1,Sets!$J$2:$J$2000,"N")=0,"",_xlfn.MAXIFS(Sets!$H$2:$H$2000,Sets!$A$2:$A$2000,$A29,Sets!$D$2:$D$2000,P$1,Sets!$J$2:$J$2000,"N"))</f>
        <v/>
      </c>
      <c r="Q29" s="4" t="str">
        <f aca="false">IF(_xlfn.MAXIFS(Sets!$H$2:$H$2000,Sets!$A$2:$A$2000,$A29,Sets!$D$2:$D$2000,Q$1,Sets!$J$2:$J$2000,"N")=0,"",_xlfn.MAXIFS(Sets!$H$2:$H$2000,Sets!$A$2:$A$2000,$A29,Sets!$D$2:$D$2000,Q$1,Sets!$J$2:$J$2000,"N"))</f>
        <v/>
      </c>
      <c r="R29" s="4" t="str">
        <f aca="false">IF(_xlfn.MAXIFS(Sets!$H$2:$H$2000,Sets!$A$2:$A$2000,$A29,Sets!$D$2:$D$2000,R$1,Sets!$J$2:$J$2000,"N")=0,"",_xlfn.MAXIFS(Sets!$H$2:$H$2000,Sets!$A$2:$A$2000,$A29,Sets!$D$2:$D$2000,R$1,Sets!$J$2:$J$2000,"N"))</f>
        <v/>
      </c>
      <c r="S29" s="4" t="str">
        <f aca="false">IF(_xlfn.MAXIFS(Sets!$H$2:$H$2000,Sets!$A$2:$A$2000,$A29,Sets!$D$2:$D$2000,S$1,Sets!$J$2:$J$2000,"N")=0,"",_xlfn.MAXIFS(Sets!$H$2:$H$2000,Sets!$A$2:$A$2000,$A29,Sets!$D$2:$D$2000,S$1,Sets!$J$2:$J$2000,"N"))</f>
        <v/>
      </c>
      <c r="T29" s="4" t="str">
        <f aca="false">IF(_xlfn.MAXIFS(Sets!$H$2:$H$2000,Sets!$A$2:$A$2000,$A29,Sets!$D$2:$D$2000,T$1,Sets!$J$2:$J$2000,"N")=0,"",_xlfn.MAXIFS(Sets!$H$2:$H$2000,Sets!$A$2:$A$2000,$A29,Sets!$D$2:$D$2000,T$1,Sets!$J$2:$J$2000,"N"))</f>
        <v/>
      </c>
      <c r="U29" s="4" t="str">
        <f aca="false">IF(_xlfn.MAXIFS(Sets!$H$2:$H$2000,Sets!$A$2:$A$2000,$A29,Sets!$D$2:$D$2000,U$1,Sets!$J$2:$J$2000,"N")=0,"",_xlfn.MAXIFS(Sets!$H$2:$H$2000,Sets!$A$2:$A$2000,$A29,Sets!$D$2:$D$2000,U$1,Sets!$J$2:$J$2000,"N"))</f>
        <v/>
      </c>
      <c r="V29" s="4" t="str">
        <f aca="false">IF(_xlfn.MAXIFS(Sets!$H$2:$H$2000,Sets!$A$2:$A$2000,$A29,Sets!$D$2:$D$2000,V$1,Sets!$J$2:$J$2000,"N")=0,"",_xlfn.MAXIFS(Sets!$H$2:$H$2000,Sets!$A$2:$A$2000,$A29,Sets!$D$2:$D$2000,V$1,Sets!$J$2:$J$2000,"N"))</f>
        <v/>
      </c>
      <c r="W29" s="4" t="str">
        <f aca="false">IF(_xlfn.MAXIFS(Sets!$H$2:$H$2000,Sets!$A$2:$A$2000,$A29,Sets!$D$2:$D$2000,W$1,Sets!$J$2:$J$2000,"N")=0,"",_xlfn.MAXIFS(Sets!$H$2:$H$2000,Sets!$A$2:$A$2000,$A29,Sets!$D$2:$D$2000,W$1,Sets!$J$2:$J$2000,"N"))</f>
        <v/>
      </c>
      <c r="X29" s="4" t="str">
        <f aca="false">IF(_xlfn.MAXIFS(Sets!$H$2:$H$2000,Sets!$A$2:$A$2000,$A29,Sets!$D$2:$D$2000,X$1,Sets!$J$2:$J$2000,"N")=0,"",_xlfn.MAXIFS(Sets!$H$2:$H$2000,Sets!$A$2:$A$2000,$A29,Sets!$D$2:$D$2000,X$1,Sets!$J$2:$J$2000,"N"))</f>
        <v/>
      </c>
      <c r="Y29" s="4" t="str">
        <f aca="false">IF(_xlfn.MAXIFS(Sets!$H$2:$H$2000,Sets!$A$2:$A$2000,$A29,Sets!$D$2:$D$2000,Y$1,Sets!$J$2:$J$2000,"N")=0,"",_xlfn.MAXIFS(Sets!$H$2:$H$2000,Sets!$A$2:$A$2000,$A29,Sets!$D$2:$D$2000,Y$1,Sets!$J$2:$J$2000,"N"))</f>
        <v/>
      </c>
      <c r="Z29" s="4" t="str">
        <f aca="false">IF(_xlfn.MAXIFS(Sets!$H$2:$H$2000,Sets!$A$2:$A$2000,$A29,Sets!$D$2:$D$2000,Z$1,Sets!$J$2:$J$2000,"N")=0,"",_xlfn.MAXIFS(Sets!$H$2:$H$2000,Sets!$A$2:$A$2000,$A29,Sets!$D$2:$D$2000,Z$1,Sets!$J$2:$J$2000,"N"))</f>
        <v/>
      </c>
      <c r="AA29" s="4" t="str">
        <f aca="false">IF(_xlfn.MAXIFS(Sets!$H$2:$H$2000,Sets!$A$2:$A$2000,$A29,Sets!$D$2:$D$2000,AA$1,Sets!$J$2:$J$2000,"N")=0,"",_xlfn.MAXIFS(Sets!$H$2:$H$2000,Sets!$A$2:$A$2000,$A29,Sets!$D$2:$D$2000,AA$1,Sets!$J$2:$J$2000,"N"))</f>
        <v/>
      </c>
      <c r="AB29" s="4" t="str">
        <f aca="false">IF(_xlfn.MAXIFS(Sets!$H$2:$H$2000,Sets!$A$2:$A$2000,$A29,Sets!$D$2:$D$2000,AB$1,Sets!$J$2:$J$2000,"N")=0,"",_xlfn.MAXIFS(Sets!$H$2:$H$2000,Sets!$A$2:$A$2000,$A29,Sets!$D$2:$D$2000,AB$1,Sets!$J$2:$J$2000,"N"))</f>
        <v/>
      </c>
      <c r="AC29" s="4" t="str">
        <f aca="false">IF(_xlfn.MAXIFS(Sets!$H$2:$H$2000,Sets!$A$2:$A$2000,$A29,Sets!$D$2:$D$2000,AC$1,Sets!$J$2:$J$2000,"N")=0,"",_xlfn.MAXIFS(Sets!$H$2:$H$2000,Sets!$A$2:$A$2000,$A29,Sets!$D$2:$D$2000,AC$1,Sets!$J$2:$J$2000,"N"))</f>
        <v/>
      </c>
      <c r="AD29" s="4" t="str">
        <f aca="false">IF(_xlfn.MAXIFS(Sets!$H$2:$H$2000,Sets!$A$2:$A$2000,$A29,Sets!$D$2:$D$2000,AD$1,Sets!$J$2:$J$2000,"N")=0,"",_xlfn.MAXIFS(Sets!$H$2:$H$2000,Sets!$A$2:$A$2000,$A29,Sets!$D$2:$D$2000,AD$1,Sets!$J$2:$J$2000,"N"))</f>
        <v/>
      </c>
      <c r="AE29" s="4" t="str">
        <f aca="false">IF(_xlfn.MAXIFS(Sets!$H$2:$H$2000,Sets!$A$2:$A$2000,$A29,Sets!$D$2:$D$2000,AE$1,Sets!$J$2:$J$2000,"N")=0,"",_xlfn.MAXIFS(Sets!$H$2:$H$2000,Sets!$A$2:$A$2000,$A29,Sets!$D$2:$D$2000,AE$1,Sets!$J$2:$J$2000,"N"))</f>
        <v/>
      </c>
      <c r="AF29" s="4" t="str">
        <f aca="false">IF(_xlfn.MAXIFS(Sets!$H$2:$H$2000,Sets!$A$2:$A$2000,$A29,Sets!$D$2:$D$2000,AF$1,Sets!$J$2:$J$2000,"N")=0,"",_xlfn.MAXIFS(Sets!$H$2:$H$2000,Sets!$A$2:$A$2000,$A29,Sets!$D$2:$D$2000,AF$1,Sets!$J$2:$J$2000,"N"))</f>
        <v/>
      </c>
      <c r="AG29" s="4" t="str">
        <f aca="false">IF(_xlfn.MAXIFS(Sets!$H$2:$H$2000,Sets!$A$2:$A$2000,$A29,Sets!$D$2:$D$2000,AG$1,Sets!$J$2:$J$2000,"N")=0,"",_xlfn.MAXIFS(Sets!$H$2:$H$2000,Sets!$A$2:$A$2000,$A29,Sets!$D$2:$D$2000,AG$1,Sets!$J$2:$J$2000,"N"))</f>
        <v/>
      </c>
      <c r="AH29" s="4" t="str">
        <f aca="false">IF(_xlfn.MAXIFS(Sets!$H$2:$H$2000,Sets!$A$2:$A$2000,$A29,Sets!$D$2:$D$2000,AH$1,Sets!$J$2:$J$2000,"N")=0,"",_xlfn.MAXIFS(Sets!$H$2:$H$2000,Sets!$A$2:$A$2000,$A29,Sets!$D$2:$D$2000,AH$1,Sets!$J$2:$J$2000,"N"))</f>
        <v/>
      </c>
    </row>
    <row r="30" customFormat="false" ht="15" hidden="false" customHeight="false" outlineLevel="0" collapsed="false">
      <c r="A30" s="16" t="n">
        <v>46154</v>
      </c>
      <c r="B30" s="4" t="n">
        <f aca="false">IF(_xlfn.MAXIFS(Sets!$H$2:$H$2000,Sets!$A$2:$A$2000,$A30,Sets!$D$2:$D$2000,B$1,Sets!$J$2:$J$2000,"N")=0,"",_xlfn.MAXIFS(Sets!$H$2:$H$2000,Sets!$A$2:$A$2000,$A30,Sets!$D$2:$D$2000,B$1,Sets!$J$2:$J$2000,"N"))</f>
        <v>35</v>
      </c>
      <c r="C30" s="4" t="str">
        <f aca="false">IF(_xlfn.MAXIFS(Sets!$H$2:$H$2000,Sets!$A$2:$A$2000,$A30,Sets!$D$2:$D$2000,C$1,Sets!$J$2:$J$2000,"N")=0,"",_xlfn.MAXIFS(Sets!$H$2:$H$2000,Sets!$A$2:$A$2000,$A30,Sets!$D$2:$D$2000,C$1,Sets!$J$2:$J$2000,"N"))</f>
        <v/>
      </c>
      <c r="D30" s="4" t="n">
        <f aca="false">IF(_xlfn.MAXIFS(Sets!$H$2:$H$2000,Sets!$A$2:$A$2000,$A30,Sets!$D$2:$D$2000,D$1,Sets!$J$2:$J$2000,"N")=0,"",_xlfn.MAXIFS(Sets!$H$2:$H$2000,Sets!$A$2:$A$2000,$A30,Sets!$D$2:$D$2000,D$1,Sets!$J$2:$J$2000,"N"))</f>
        <v>50</v>
      </c>
      <c r="E30" s="4" t="n">
        <f aca="false">IF(_xlfn.MAXIFS(Sets!$H$2:$H$2000,Sets!$A$2:$A$2000,$A30,Sets!$D$2:$D$2000,E$1,Sets!$J$2:$J$2000,"N")=0,"",_xlfn.MAXIFS(Sets!$H$2:$H$2000,Sets!$A$2:$A$2000,$A30,Sets!$D$2:$D$2000,E$1,Sets!$J$2:$J$2000,"N"))</f>
        <v>95</v>
      </c>
      <c r="F30" s="4" t="str">
        <f aca="false">IF(_xlfn.MAXIFS(Sets!$H$2:$H$2000,Sets!$A$2:$A$2000,$A30,Sets!$D$2:$D$2000,F$1,Sets!$J$2:$J$2000,"N")=0,"",_xlfn.MAXIFS(Sets!$H$2:$H$2000,Sets!$A$2:$A$2000,$A30,Sets!$D$2:$D$2000,F$1,Sets!$J$2:$J$2000,"N"))</f>
        <v/>
      </c>
      <c r="G30" s="4" t="str">
        <f aca="false">IF(_xlfn.MAXIFS(Sets!$H$2:$H$2000,Sets!$A$2:$A$2000,$A30,Sets!$D$2:$D$2000,G$1,Sets!$J$2:$J$2000,"N")=0,"",_xlfn.MAXIFS(Sets!$H$2:$H$2000,Sets!$A$2:$A$2000,$A30,Sets!$D$2:$D$2000,G$1,Sets!$J$2:$J$2000,"N"))</f>
        <v/>
      </c>
      <c r="H30" s="4" t="str">
        <f aca="false">IF(_xlfn.MAXIFS(Sets!$H$2:$H$2000,Sets!$A$2:$A$2000,$A30,Sets!$D$2:$D$2000,H$1,Sets!$J$2:$J$2000,"N")=0,"",_xlfn.MAXIFS(Sets!$H$2:$H$2000,Sets!$A$2:$A$2000,$A30,Sets!$D$2:$D$2000,H$1,Sets!$J$2:$J$2000,"N"))</f>
        <v/>
      </c>
      <c r="I30" s="4" t="str">
        <f aca="false">IF(_xlfn.MAXIFS(Sets!$H$2:$H$2000,Sets!$A$2:$A$2000,$A30,Sets!$D$2:$D$2000,I$1,Sets!$J$2:$J$2000,"N")=0,"",_xlfn.MAXIFS(Sets!$H$2:$H$2000,Sets!$A$2:$A$2000,$A30,Sets!$D$2:$D$2000,I$1,Sets!$J$2:$J$2000,"N"))</f>
        <v/>
      </c>
      <c r="J30" s="4" t="str">
        <f aca="false">IF(_xlfn.MAXIFS(Sets!$H$2:$H$2000,Sets!$A$2:$A$2000,$A30,Sets!$D$2:$D$2000,J$1,Sets!$J$2:$J$2000,"N")=0,"",_xlfn.MAXIFS(Sets!$H$2:$H$2000,Sets!$A$2:$A$2000,$A30,Sets!$D$2:$D$2000,J$1,Sets!$J$2:$J$2000,"N"))</f>
        <v/>
      </c>
      <c r="K30" s="4" t="str">
        <f aca="false">IF(_xlfn.MAXIFS(Sets!$H$2:$H$2000,Sets!$A$2:$A$2000,$A30,Sets!$D$2:$D$2000,K$1,Sets!$J$2:$J$2000,"N")=0,"",_xlfn.MAXIFS(Sets!$H$2:$H$2000,Sets!$A$2:$A$2000,$A30,Sets!$D$2:$D$2000,K$1,Sets!$J$2:$J$2000,"N"))</f>
        <v/>
      </c>
      <c r="L30" s="4" t="str">
        <f aca="false">IF(_xlfn.MAXIFS(Sets!$H$2:$H$2000,Sets!$A$2:$A$2000,$A30,Sets!$D$2:$D$2000,L$1,Sets!$J$2:$J$2000,"N")=0,"",_xlfn.MAXIFS(Sets!$H$2:$H$2000,Sets!$A$2:$A$2000,$A30,Sets!$D$2:$D$2000,L$1,Sets!$J$2:$J$2000,"N"))</f>
        <v/>
      </c>
      <c r="M30" s="4" t="str">
        <f aca="false">IF(_xlfn.MAXIFS(Sets!$H$2:$H$2000,Sets!$A$2:$A$2000,$A30,Sets!$D$2:$D$2000,M$1,Sets!$J$2:$J$2000,"N")=0,"",_xlfn.MAXIFS(Sets!$H$2:$H$2000,Sets!$A$2:$A$2000,$A30,Sets!$D$2:$D$2000,M$1,Sets!$J$2:$J$2000,"N"))</f>
        <v/>
      </c>
      <c r="N30" s="4" t="str">
        <f aca="false">IF(_xlfn.MAXIFS(Sets!$H$2:$H$2000,Sets!$A$2:$A$2000,$A30,Sets!$D$2:$D$2000,N$1,Sets!$J$2:$J$2000,"N")=0,"",_xlfn.MAXIFS(Sets!$H$2:$H$2000,Sets!$A$2:$A$2000,$A30,Sets!$D$2:$D$2000,N$1,Sets!$J$2:$J$2000,"N"))</f>
        <v/>
      </c>
      <c r="O30" s="4" t="str">
        <f aca="false">IF(_xlfn.MAXIFS(Sets!$H$2:$H$2000,Sets!$A$2:$A$2000,$A30,Sets!$D$2:$D$2000,O$1,Sets!$J$2:$J$2000,"N")=0,"",_xlfn.MAXIFS(Sets!$H$2:$H$2000,Sets!$A$2:$A$2000,$A30,Sets!$D$2:$D$2000,O$1,Sets!$J$2:$J$2000,"N"))</f>
        <v/>
      </c>
      <c r="P30" s="4" t="str">
        <f aca="false">IF(_xlfn.MAXIFS(Sets!$H$2:$H$2000,Sets!$A$2:$A$2000,$A30,Sets!$D$2:$D$2000,P$1,Sets!$J$2:$J$2000,"N")=0,"",_xlfn.MAXIFS(Sets!$H$2:$H$2000,Sets!$A$2:$A$2000,$A30,Sets!$D$2:$D$2000,P$1,Sets!$J$2:$J$2000,"N"))</f>
        <v/>
      </c>
      <c r="Q30" s="4" t="str">
        <f aca="false">IF(_xlfn.MAXIFS(Sets!$H$2:$H$2000,Sets!$A$2:$A$2000,$A30,Sets!$D$2:$D$2000,Q$1,Sets!$J$2:$J$2000,"N")=0,"",_xlfn.MAXIFS(Sets!$H$2:$H$2000,Sets!$A$2:$A$2000,$A30,Sets!$D$2:$D$2000,Q$1,Sets!$J$2:$J$2000,"N"))</f>
        <v/>
      </c>
      <c r="R30" s="4" t="str">
        <f aca="false">IF(_xlfn.MAXIFS(Sets!$H$2:$H$2000,Sets!$A$2:$A$2000,$A30,Sets!$D$2:$D$2000,R$1,Sets!$J$2:$J$2000,"N")=0,"",_xlfn.MAXIFS(Sets!$H$2:$H$2000,Sets!$A$2:$A$2000,$A30,Sets!$D$2:$D$2000,R$1,Sets!$J$2:$J$2000,"N"))</f>
        <v/>
      </c>
      <c r="S30" s="4" t="str">
        <f aca="false">IF(_xlfn.MAXIFS(Sets!$H$2:$H$2000,Sets!$A$2:$A$2000,$A30,Sets!$D$2:$D$2000,S$1,Sets!$J$2:$J$2000,"N")=0,"",_xlfn.MAXIFS(Sets!$H$2:$H$2000,Sets!$A$2:$A$2000,$A30,Sets!$D$2:$D$2000,S$1,Sets!$J$2:$J$2000,"N"))</f>
        <v/>
      </c>
      <c r="T30" s="4" t="str">
        <f aca="false">IF(_xlfn.MAXIFS(Sets!$H$2:$H$2000,Sets!$A$2:$A$2000,$A30,Sets!$D$2:$D$2000,T$1,Sets!$J$2:$J$2000,"N")=0,"",_xlfn.MAXIFS(Sets!$H$2:$H$2000,Sets!$A$2:$A$2000,$A30,Sets!$D$2:$D$2000,T$1,Sets!$J$2:$J$2000,"N"))</f>
        <v/>
      </c>
      <c r="U30" s="4" t="str">
        <f aca="false">IF(_xlfn.MAXIFS(Sets!$H$2:$H$2000,Sets!$A$2:$A$2000,$A30,Sets!$D$2:$D$2000,U$1,Sets!$J$2:$J$2000,"N")=0,"",_xlfn.MAXIFS(Sets!$H$2:$H$2000,Sets!$A$2:$A$2000,$A30,Sets!$D$2:$D$2000,U$1,Sets!$J$2:$J$2000,"N"))</f>
        <v/>
      </c>
      <c r="V30" s="4" t="str">
        <f aca="false">IF(_xlfn.MAXIFS(Sets!$H$2:$H$2000,Sets!$A$2:$A$2000,$A30,Sets!$D$2:$D$2000,V$1,Sets!$J$2:$J$2000,"N")=0,"",_xlfn.MAXIFS(Sets!$H$2:$H$2000,Sets!$A$2:$A$2000,$A30,Sets!$D$2:$D$2000,V$1,Sets!$J$2:$J$2000,"N"))</f>
        <v/>
      </c>
      <c r="W30" s="4" t="str">
        <f aca="false">IF(_xlfn.MAXIFS(Sets!$H$2:$H$2000,Sets!$A$2:$A$2000,$A30,Sets!$D$2:$D$2000,W$1,Sets!$J$2:$J$2000,"N")=0,"",_xlfn.MAXIFS(Sets!$H$2:$H$2000,Sets!$A$2:$A$2000,$A30,Sets!$D$2:$D$2000,W$1,Sets!$J$2:$J$2000,"N"))</f>
        <v/>
      </c>
      <c r="X30" s="4" t="str">
        <f aca="false">IF(_xlfn.MAXIFS(Sets!$H$2:$H$2000,Sets!$A$2:$A$2000,$A30,Sets!$D$2:$D$2000,X$1,Sets!$J$2:$J$2000,"N")=0,"",_xlfn.MAXIFS(Sets!$H$2:$H$2000,Sets!$A$2:$A$2000,$A30,Sets!$D$2:$D$2000,X$1,Sets!$J$2:$J$2000,"N"))</f>
        <v/>
      </c>
      <c r="Y30" s="4" t="str">
        <f aca="false">IF(_xlfn.MAXIFS(Sets!$H$2:$H$2000,Sets!$A$2:$A$2000,$A30,Sets!$D$2:$D$2000,Y$1,Sets!$J$2:$J$2000,"N")=0,"",_xlfn.MAXIFS(Sets!$H$2:$H$2000,Sets!$A$2:$A$2000,$A30,Sets!$D$2:$D$2000,Y$1,Sets!$J$2:$J$2000,"N"))</f>
        <v/>
      </c>
      <c r="Z30" s="4" t="str">
        <f aca="false">IF(_xlfn.MAXIFS(Sets!$H$2:$H$2000,Sets!$A$2:$A$2000,$A30,Sets!$D$2:$D$2000,Z$1,Sets!$J$2:$J$2000,"N")=0,"",_xlfn.MAXIFS(Sets!$H$2:$H$2000,Sets!$A$2:$A$2000,$A30,Sets!$D$2:$D$2000,Z$1,Sets!$J$2:$J$2000,"N"))</f>
        <v/>
      </c>
      <c r="AA30" s="4" t="str">
        <f aca="false">IF(_xlfn.MAXIFS(Sets!$H$2:$H$2000,Sets!$A$2:$A$2000,$A30,Sets!$D$2:$D$2000,AA$1,Sets!$J$2:$J$2000,"N")=0,"",_xlfn.MAXIFS(Sets!$H$2:$H$2000,Sets!$A$2:$A$2000,$A30,Sets!$D$2:$D$2000,AA$1,Sets!$J$2:$J$2000,"N"))</f>
        <v/>
      </c>
      <c r="AB30" s="4" t="str">
        <f aca="false">IF(_xlfn.MAXIFS(Sets!$H$2:$H$2000,Sets!$A$2:$A$2000,$A30,Sets!$D$2:$D$2000,AB$1,Sets!$J$2:$J$2000,"N")=0,"",_xlfn.MAXIFS(Sets!$H$2:$H$2000,Sets!$A$2:$A$2000,$A30,Sets!$D$2:$D$2000,AB$1,Sets!$J$2:$J$2000,"N"))</f>
        <v/>
      </c>
      <c r="AC30" s="4" t="str">
        <f aca="false">IF(_xlfn.MAXIFS(Sets!$H$2:$H$2000,Sets!$A$2:$A$2000,$A30,Sets!$D$2:$D$2000,AC$1,Sets!$J$2:$J$2000,"N")=0,"",_xlfn.MAXIFS(Sets!$H$2:$H$2000,Sets!$A$2:$A$2000,$A30,Sets!$D$2:$D$2000,AC$1,Sets!$J$2:$J$2000,"N"))</f>
        <v/>
      </c>
      <c r="AD30" s="4" t="n">
        <f aca="false">IF(_xlfn.MAXIFS(Sets!$H$2:$H$2000,Sets!$A$2:$A$2000,$A30,Sets!$D$2:$D$2000,AD$1,Sets!$J$2:$J$2000,"N")=0,"",_xlfn.MAXIFS(Sets!$H$2:$H$2000,Sets!$A$2:$A$2000,$A30,Sets!$D$2:$D$2000,AD$1,Sets!$J$2:$J$2000,"N"))</f>
        <v>70</v>
      </c>
      <c r="AE30" s="4" t="str">
        <f aca="false">IF(_xlfn.MAXIFS(Sets!$H$2:$H$2000,Sets!$A$2:$A$2000,$A30,Sets!$D$2:$D$2000,AE$1,Sets!$J$2:$J$2000,"N")=0,"",_xlfn.MAXIFS(Sets!$H$2:$H$2000,Sets!$A$2:$A$2000,$A30,Sets!$D$2:$D$2000,AE$1,Sets!$J$2:$J$2000,"N"))</f>
        <v/>
      </c>
      <c r="AF30" s="4" t="str">
        <f aca="false">IF(_xlfn.MAXIFS(Sets!$H$2:$H$2000,Sets!$A$2:$A$2000,$A30,Sets!$D$2:$D$2000,AF$1,Sets!$J$2:$J$2000,"N")=0,"",_xlfn.MAXIFS(Sets!$H$2:$H$2000,Sets!$A$2:$A$2000,$A30,Sets!$D$2:$D$2000,AF$1,Sets!$J$2:$J$2000,"N"))</f>
        <v/>
      </c>
      <c r="AG30" s="4" t="str">
        <f aca="false">IF(_xlfn.MAXIFS(Sets!$H$2:$H$2000,Sets!$A$2:$A$2000,$A30,Sets!$D$2:$D$2000,AG$1,Sets!$J$2:$J$2000,"N")=0,"",_xlfn.MAXIFS(Sets!$H$2:$H$2000,Sets!$A$2:$A$2000,$A30,Sets!$D$2:$D$2000,AG$1,Sets!$J$2:$J$2000,"N"))</f>
        <v/>
      </c>
      <c r="AH30" s="4" t="str">
        <f aca="false">IF(_xlfn.MAXIFS(Sets!$H$2:$H$2000,Sets!$A$2:$A$2000,$A30,Sets!$D$2:$D$2000,AH$1,Sets!$J$2:$J$2000,"N")=0,"",_xlfn.MAXIFS(Sets!$H$2:$H$2000,Sets!$A$2:$A$2000,$A30,Sets!$D$2:$D$2000,AH$1,Sets!$J$2:$J$2000,"N"))</f>
        <v/>
      </c>
    </row>
    <row r="31" customFormat="false" ht="15" hidden="false" customHeight="false" outlineLevel="0" collapsed="false">
      <c r="A31" s="16" t="n">
        <v>46156</v>
      </c>
      <c r="B31" s="4" t="str">
        <f aca="false">IF(_xlfn.MAXIFS(Sets!$H$2:$H$2000,Sets!$A$2:$A$2000,$A31,Sets!$D$2:$D$2000,B$1,Sets!$J$2:$J$2000,"N")=0,"",_xlfn.MAXIFS(Sets!$H$2:$H$2000,Sets!$A$2:$A$2000,$A31,Sets!$D$2:$D$2000,B$1,Sets!$J$2:$J$2000,"N"))</f>
        <v/>
      </c>
      <c r="C31" s="4" t="n">
        <f aca="false">IF(_xlfn.MAXIFS(Sets!$H$2:$H$2000,Sets!$A$2:$A$2000,$A31,Sets!$D$2:$D$2000,C$1,Sets!$J$2:$J$2000,"N")=0,"",_xlfn.MAXIFS(Sets!$H$2:$H$2000,Sets!$A$2:$A$2000,$A31,Sets!$D$2:$D$2000,C$1,Sets!$J$2:$J$2000,"N"))</f>
        <v>22.5</v>
      </c>
      <c r="D31" s="4" t="str">
        <f aca="false">IF(_xlfn.MAXIFS(Sets!$H$2:$H$2000,Sets!$A$2:$A$2000,$A31,Sets!$D$2:$D$2000,D$1,Sets!$J$2:$J$2000,"N")=0,"",_xlfn.MAXIFS(Sets!$H$2:$H$2000,Sets!$A$2:$A$2000,$A31,Sets!$D$2:$D$2000,D$1,Sets!$J$2:$J$2000,"N"))</f>
        <v/>
      </c>
      <c r="E31" s="4" t="str">
        <f aca="false">IF(_xlfn.MAXIFS(Sets!$H$2:$H$2000,Sets!$A$2:$A$2000,$A31,Sets!$D$2:$D$2000,E$1,Sets!$J$2:$J$2000,"N")=0,"",_xlfn.MAXIFS(Sets!$H$2:$H$2000,Sets!$A$2:$A$2000,$A31,Sets!$D$2:$D$2000,E$1,Sets!$J$2:$J$2000,"N"))</f>
        <v/>
      </c>
      <c r="F31" s="4" t="str">
        <f aca="false">IF(_xlfn.MAXIFS(Sets!$H$2:$H$2000,Sets!$A$2:$A$2000,$A31,Sets!$D$2:$D$2000,F$1,Sets!$J$2:$J$2000,"N")=0,"",_xlfn.MAXIFS(Sets!$H$2:$H$2000,Sets!$A$2:$A$2000,$A31,Sets!$D$2:$D$2000,F$1,Sets!$J$2:$J$2000,"N"))</f>
        <v/>
      </c>
      <c r="G31" s="4" t="n">
        <f aca="false">IF(_xlfn.MAXIFS(Sets!$H$2:$H$2000,Sets!$A$2:$A$2000,$A31,Sets!$D$2:$D$2000,G$1,Sets!$J$2:$J$2000,"N")=0,"",_xlfn.MAXIFS(Sets!$H$2:$H$2000,Sets!$A$2:$A$2000,$A31,Sets!$D$2:$D$2000,G$1,Sets!$J$2:$J$2000,"N"))</f>
        <v>50</v>
      </c>
      <c r="H31" s="4" t="str">
        <f aca="false">IF(_xlfn.MAXIFS(Sets!$H$2:$H$2000,Sets!$A$2:$A$2000,$A31,Sets!$D$2:$D$2000,H$1,Sets!$J$2:$J$2000,"N")=0,"",_xlfn.MAXIFS(Sets!$H$2:$H$2000,Sets!$A$2:$A$2000,$A31,Sets!$D$2:$D$2000,H$1,Sets!$J$2:$J$2000,"N"))</f>
        <v/>
      </c>
      <c r="I31" s="4" t="str">
        <f aca="false">IF(_xlfn.MAXIFS(Sets!$H$2:$H$2000,Sets!$A$2:$A$2000,$A31,Sets!$D$2:$D$2000,I$1,Sets!$J$2:$J$2000,"N")=0,"",_xlfn.MAXIFS(Sets!$H$2:$H$2000,Sets!$A$2:$A$2000,$A31,Sets!$D$2:$D$2000,I$1,Sets!$J$2:$J$2000,"N"))</f>
        <v/>
      </c>
      <c r="J31" s="4" t="str">
        <f aca="false">IF(_xlfn.MAXIFS(Sets!$H$2:$H$2000,Sets!$A$2:$A$2000,$A31,Sets!$D$2:$D$2000,J$1,Sets!$J$2:$J$2000,"N")=0,"",_xlfn.MAXIFS(Sets!$H$2:$H$2000,Sets!$A$2:$A$2000,$A31,Sets!$D$2:$D$2000,J$1,Sets!$J$2:$J$2000,"N"))</f>
        <v/>
      </c>
      <c r="K31" s="4" t="n">
        <f aca="false">IF(_xlfn.MAXIFS(Sets!$H$2:$H$2000,Sets!$A$2:$A$2000,$A31,Sets!$D$2:$D$2000,K$1,Sets!$J$2:$J$2000,"N")=0,"",_xlfn.MAXIFS(Sets!$H$2:$H$2000,Sets!$A$2:$A$2000,$A31,Sets!$D$2:$D$2000,K$1,Sets!$J$2:$J$2000,"N"))</f>
        <v>30</v>
      </c>
      <c r="L31" s="4" t="str">
        <f aca="false">IF(_xlfn.MAXIFS(Sets!$H$2:$H$2000,Sets!$A$2:$A$2000,$A31,Sets!$D$2:$D$2000,L$1,Sets!$J$2:$J$2000,"N")=0,"",_xlfn.MAXIFS(Sets!$H$2:$H$2000,Sets!$A$2:$A$2000,$A31,Sets!$D$2:$D$2000,L$1,Sets!$J$2:$J$2000,"N"))</f>
        <v/>
      </c>
      <c r="M31" s="4" t="str">
        <f aca="false">IF(_xlfn.MAXIFS(Sets!$H$2:$H$2000,Sets!$A$2:$A$2000,$A31,Sets!$D$2:$D$2000,M$1,Sets!$J$2:$J$2000,"N")=0,"",_xlfn.MAXIFS(Sets!$H$2:$H$2000,Sets!$A$2:$A$2000,$A31,Sets!$D$2:$D$2000,M$1,Sets!$J$2:$J$2000,"N"))</f>
        <v/>
      </c>
      <c r="N31" s="4" t="str">
        <f aca="false">IF(_xlfn.MAXIFS(Sets!$H$2:$H$2000,Sets!$A$2:$A$2000,$A31,Sets!$D$2:$D$2000,N$1,Sets!$J$2:$J$2000,"N")=0,"",_xlfn.MAXIFS(Sets!$H$2:$H$2000,Sets!$A$2:$A$2000,$A31,Sets!$D$2:$D$2000,N$1,Sets!$J$2:$J$2000,"N"))</f>
        <v/>
      </c>
      <c r="O31" s="4" t="str">
        <f aca="false">IF(_xlfn.MAXIFS(Sets!$H$2:$H$2000,Sets!$A$2:$A$2000,$A31,Sets!$D$2:$D$2000,O$1,Sets!$J$2:$J$2000,"N")=0,"",_xlfn.MAXIFS(Sets!$H$2:$H$2000,Sets!$A$2:$A$2000,$A31,Sets!$D$2:$D$2000,O$1,Sets!$J$2:$J$2000,"N"))</f>
        <v/>
      </c>
      <c r="P31" s="4" t="str">
        <f aca="false">IF(_xlfn.MAXIFS(Sets!$H$2:$H$2000,Sets!$A$2:$A$2000,$A31,Sets!$D$2:$D$2000,P$1,Sets!$J$2:$J$2000,"N")=0,"",_xlfn.MAXIFS(Sets!$H$2:$H$2000,Sets!$A$2:$A$2000,$A31,Sets!$D$2:$D$2000,P$1,Sets!$J$2:$J$2000,"N"))</f>
        <v/>
      </c>
      <c r="Q31" s="4" t="str">
        <f aca="false">IF(_xlfn.MAXIFS(Sets!$H$2:$H$2000,Sets!$A$2:$A$2000,$A31,Sets!$D$2:$D$2000,Q$1,Sets!$J$2:$J$2000,"N")=0,"",_xlfn.MAXIFS(Sets!$H$2:$H$2000,Sets!$A$2:$A$2000,$A31,Sets!$D$2:$D$2000,Q$1,Sets!$J$2:$J$2000,"N"))</f>
        <v/>
      </c>
      <c r="R31" s="4" t="str">
        <f aca="false">IF(_xlfn.MAXIFS(Sets!$H$2:$H$2000,Sets!$A$2:$A$2000,$A31,Sets!$D$2:$D$2000,R$1,Sets!$J$2:$J$2000,"N")=0,"",_xlfn.MAXIFS(Sets!$H$2:$H$2000,Sets!$A$2:$A$2000,$A31,Sets!$D$2:$D$2000,R$1,Sets!$J$2:$J$2000,"N"))</f>
        <v/>
      </c>
      <c r="S31" s="4" t="str">
        <f aca="false">IF(_xlfn.MAXIFS(Sets!$H$2:$H$2000,Sets!$A$2:$A$2000,$A31,Sets!$D$2:$D$2000,S$1,Sets!$J$2:$J$2000,"N")=0,"",_xlfn.MAXIFS(Sets!$H$2:$H$2000,Sets!$A$2:$A$2000,$A31,Sets!$D$2:$D$2000,S$1,Sets!$J$2:$J$2000,"N"))</f>
        <v/>
      </c>
      <c r="T31" s="4" t="str">
        <f aca="false">IF(_xlfn.MAXIFS(Sets!$H$2:$H$2000,Sets!$A$2:$A$2000,$A31,Sets!$D$2:$D$2000,T$1,Sets!$J$2:$J$2000,"N")=0,"",_xlfn.MAXIFS(Sets!$H$2:$H$2000,Sets!$A$2:$A$2000,$A31,Sets!$D$2:$D$2000,T$1,Sets!$J$2:$J$2000,"N"))</f>
        <v/>
      </c>
      <c r="U31" s="4" t="str">
        <f aca="false">IF(_xlfn.MAXIFS(Sets!$H$2:$H$2000,Sets!$A$2:$A$2000,$A31,Sets!$D$2:$D$2000,U$1,Sets!$J$2:$J$2000,"N")=0,"",_xlfn.MAXIFS(Sets!$H$2:$H$2000,Sets!$A$2:$A$2000,$A31,Sets!$D$2:$D$2000,U$1,Sets!$J$2:$J$2000,"N"))</f>
        <v/>
      </c>
      <c r="V31" s="4" t="str">
        <f aca="false">IF(_xlfn.MAXIFS(Sets!$H$2:$H$2000,Sets!$A$2:$A$2000,$A31,Sets!$D$2:$D$2000,V$1,Sets!$J$2:$J$2000,"N")=0,"",_xlfn.MAXIFS(Sets!$H$2:$H$2000,Sets!$A$2:$A$2000,$A31,Sets!$D$2:$D$2000,V$1,Sets!$J$2:$J$2000,"N"))</f>
        <v/>
      </c>
      <c r="W31" s="4" t="str">
        <f aca="false">IF(_xlfn.MAXIFS(Sets!$H$2:$H$2000,Sets!$A$2:$A$2000,$A31,Sets!$D$2:$D$2000,W$1,Sets!$J$2:$J$2000,"N")=0,"",_xlfn.MAXIFS(Sets!$H$2:$H$2000,Sets!$A$2:$A$2000,$A31,Sets!$D$2:$D$2000,W$1,Sets!$J$2:$J$2000,"N"))</f>
        <v/>
      </c>
      <c r="X31" s="4" t="str">
        <f aca="false">IF(_xlfn.MAXIFS(Sets!$H$2:$H$2000,Sets!$A$2:$A$2000,$A31,Sets!$D$2:$D$2000,X$1,Sets!$J$2:$J$2000,"N")=0,"",_xlfn.MAXIFS(Sets!$H$2:$H$2000,Sets!$A$2:$A$2000,$A31,Sets!$D$2:$D$2000,X$1,Sets!$J$2:$J$2000,"N"))</f>
        <v/>
      </c>
      <c r="Y31" s="4" t="str">
        <f aca="false">IF(_xlfn.MAXIFS(Sets!$H$2:$H$2000,Sets!$A$2:$A$2000,$A31,Sets!$D$2:$D$2000,Y$1,Sets!$J$2:$J$2000,"N")=0,"",_xlfn.MAXIFS(Sets!$H$2:$H$2000,Sets!$A$2:$A$2000,$A31,Sets!$D$2:$D$2000,Y$1,Sets!$J$2:$J$2000,"N"))</f>
        <v/>
      </c>
      <c r="Z31" s="4" t="str">
        <f aca="false">IF(_xlfn.MAXIFS(Sets!$H$2:$H$2000,Sets!$A$2:$A$2000,$A31,Sets!$D$2:$D$2000,Z$1,Sets!$J$2:$J$2000,"N")=0,"",_xlfn.MAXIFS(Sets!$H$2:$H$2000,Sets!$A$2:$A$2000,$A31,Sets!$D$2:$D$2000,Z$1,Sets!$J$2:$J$2000,"N"))</f>
        <v/>
      </c>
      <c r="AA31" s="4" t="str">
        <f aca="false">IF(_xlfn.MAXIFS(Sets!$H$2:$H$2000,Sets!$A$2:$A$2000,$A31,Sets!$D$2:$D$2000,AA$1,Sets!$J$2:$J$2000,"N")=0,"",_xlfn.MAXIFS(Sets!$H$2:$H$2000,Sets!$A$2:$A$2000,$A31,Sets!$D$2:$D$2000,AA$1,Sets!$J$2:$J$2000,"N"))</f>
        <v/>
      </c>
      <c r="AB31" s="4" t="str">
        <f aca="false">IF(_xlfn.MAXIFS(Sets!$H$2:$H$2000,Sets!$A$2:$A$2000,$A31,Sets!$D$2:$D$2000,AB$1,Sets!$J$2:$J$2000,"N")=0,"",_xlfn.MAXIFS(Sets!$H$2:$H$2000,Sets!$A$2:$A$2000,$A31,Sets!$D$2:$D$2000,AB$1,Sets!$J$2:$J$2000,"N"))</f>
        <v/>
      </c>
      <c r="AC31" s="4" t="str">
        <f aca="false">IF(_xlfn.MAXIFS(Sets!$H$2:$H$2000,Sets!$A$2:$A$2000,$A31,Sets!$D$2:$D$2000,AC$1,Sets!$J$2:$J$2000,"N")=0,"",_xlfn.MAXIFS(Sets!$H$2:$H$2000,Sets!$A$2:$A$2000,$A31,Sets!$D$2:$D$2000,AC$1,Sets!$J$2:$J$2000,"N"))</f>
        <v/>
      </c>
      <c r="AD31" s="4" t="str">
        <f aca="false">IF(_xlfn.MAXIFS(Sets!$H$2:$H$2000,Sets!$A$2:$A$2000,$A31,Sets!$D$2:$D$2000,AD$1,Sets!$J$2:$J$2000,"N")=0,"",_xlfn.MAXIFS(Sets!$H$2:$H$2000,Sets!$A$2:$A$2000,$A31,Sets!$D$2:$D$2000,AD$1,Sets!$J$2:$J$2000,"N"))</f>
        <v/>
      </c>
      <c r="AE31" s="4" t="str">
        <f aca="false">IF(_xlfn.MAXIFS(Sets!$H$2:$H$2000,Sets!$A$2:$A$2000,$A31,Sets!$D$2:$D$2000,AE$1,Sets!$J$2:$J$2000,"N")=0,"",_xlfn.MAXIFS(Sets!$H$2:$H$2000,Sets!$A$2:$A$2000,$A31,Sets!$D$2:$D$2000,AE$1,Sets!$J$2:$J$2000,"N"))</f>
        <v/>
      </c>
      <c r="AF31" s="4" t="str">
        <f aca="false">IF(_xlfn.MAXIFS(Sets!$H$2:$H$2000,Sets!$A$2:$A$2000,$A31,Sets!$D$2:$D$2000,AF$1,Sets!$J$2:$J$2000,"N")=0,"",_xlfn.MAXIFS(Sets!$H$2:$H$2000,Sets!$A$2:$A$2000,$A31,Sets!$D$2:$D$2000,AF$1,Sets!$J$2:$J$2000,"N"))</f>
        <v/>
      </c>
      <c r="AG31" s="4" t="str">
        <f aca="false">IF(_xlfn.MAXIFS(Sets!$H$2:$H$2000,Sets!$A$2:$A$2000,$A31,Sets!$D$2:$D$2000,AG$1,Sets!$J$2:$J$2000,"N")=0,"",_xlfn.MAXIFS(Sets!$H$2:$H$2000,Sets!$A$2:$A$2000,$A31,Sets!$D$2:$D$2000,AG$1,Sets!$J$2:$J$2000,"N"))</f>
        <v/>
      </c>
      <c r="AH31" s="4" t="str">
        <f aca="false">IF(_xlfn.MAXIFS(Sets!$H$2:$H$2000,Sets!$A$2:$A$2000,$A31,Sets!$D$2:$D$2000,AH$1,Sets!$J$2:$J$2000,"N")=0,"",_xlfn.MAXIFS(Sets!$H$2:$H$2000,Sets!$A$2:$A$2000,$A31,Sets!$D$2:$D$2000,AH$1,Sets!$J$2:$J$2000,"N"))</f>
        <v/>
      </c>
    </row>
    <row r="32" customFormat="false" ht="15" hidden="false" customHeight="false" outlineLevel="0" collapsed="false">
      <c r="A32" s="16" t="n">
        <v>46157</v>
      </c>
      <c r="B32" s="4" t="n">
        <f aca="false">IF(_xlfn.MAXIFS(Sets!$H$2:$H$2000,Sets!$A$2:$A$2000,$A32,Sets!$D$2:$D$2000,B$1,Sets!$J$2:$J$2000,"N")=0,"",_xlfn.MAXIFS(Sets!$H$2:$H$2000,Sets!$A$2:$A$2000,$A32,Sets!$D$2:$D$2000,B$1,Sets!$J$2:$J$2000,"N"))</f>
        <v>35</v>
      </c>
      <c r="C32" s="4" t="str">
        <f aca="false">IF(_xlfn.MAXIFS(Sets!$H$2:$H$2000,Sets!$A$2:$A$2000,$A32,Sets!$D$2:$D$2000,C$1,Sets!$J$2:$J$2000,"N")=0,"",_xlfn.MAXIFS(Sets!$H$2:$H$2000,Sets!$A$2:$A$2000,$A32,Sets!$D$2:$D$2000,C$1,Sets!$J$2:$J$2000,"N"))</f>
        <v/>
      </c>
      <c r="D32" s="4" t="n">
        <f aca="false">IF(_xlfn.MAXIFS(Sets!$H$2:$H$2000,Sets!$A$2:$A$2000,$A32,Sets!$D$2:$D$2000,D$1,Sets!$J$2:$J$2000,"N")=0,"",_xlfn.MAXIFS(Sets!$H$2:$H$2000,Sets!$A$2:$A$2000,$A32,Sets!$D$2:$D$2000,D$1,Sets!$J$2:$J$2000,"N"))</f>
        <v>50</v>
      </c>
      <c r="E32" s="4" t="str">
        <f aca="false">IF(_xlfn.MAXIFS(Sets!$H$2:$H$2000,Sets!$A$2:$A$2000,$A32,Sets!$D$2:$D$2000,E$1,Sets!$J$2:$J$2000,"N")=0,"",_xlfn.MAXIFS(Sets!$H$2:$H$2000,Sets!$A$2:$A$2000,$A32,Sets!$D$2:$D$2000,E$1,Sets!$J$2:$J$2000,"N"))</f>
        <v/>
      </c>
      <c r="F32" s="4" t="str">
        <f aca="false">IF(_xlfn.MAXIFS(Sets!$H$2:$H$2000,Sets!$A$2:$A$2000,$A32,Sets!$D$2:$D$2000,F$1,Sets!$J$2:$J$2000,"N")=0,"",_xlfn.MAXIFS(Sets!$H$2:$H$2000,Sets!$A$2:$A$2000,$A32,Sets!$D$2:$D$2000,F$1,Sets!$J$2:$J$2000,"N"))</f>
        <v/>
      </c>
      <c r="G32" s="4" t="str">
        <f aca="false">IF(_xlfn.MAXIFS(Sets!$H$2:$H$2000,Sets!$A$2:$A$2000,$A32,Sets!$D$2:$D$2000,G$1,Sets!$J$2:$J$2000,"N")=0,"",_xlfn.MAXIFS(Sets!$H$2:$H$2000,Sets!$A$2:$A$2000,$A32,Sets!$D$2:$D$2000,G$1,Sets!$J$2:$J$2000,"N"))</f>
        <v/>
      </c>
      <c r="H32" s="4" t="str">
        <f aca="false">IF(_xlfn.MAXIFS(Sets!$H$2:$H$2000,Sets!$A$2:$A$2000,$A32,Sets!$D$2:$D$2000,H$1,Sets!$J$2:$J$2000,"N")=0,"",_xlfn.MAXIFS(Sets!$H$2:$H$2000,Sets!$A$2:$A$2000,$A32,Sets!$D$2:$D$2000,H$1,Sets!$J$2:$J$2000,"N"))</f>
        <v/>
      </c>
      <c r="I32" s="4" t="str">
        <f aca="false">IF(_xlfn.MAXIFS(Sets!$H$2:$H$2000,Sets!$A$2:$A$2000,$A32,Sets!$D$2:$D$2000,I$1,Sets!$J$2:$J$2000,"N")=0,"",_xlfn.MAXIFS(Sets!$H$2:$H$2000,Sets!$A$2:$A$2000,$A32,Sets!$D$2:$D$2000,I$1,Sets!$J$2:$J$2000,"N"))</f>
        <v/>
      </c>
      <c r="J32" s="4" t="str">
        <f aca="false">IF(_xlfn.MAXIFS(Sets!$H$2:$H$2000,Sets!$A$2:$A$2000,$A32,Sets!$D$2:$D$2000,J$1,Sets!$J$2:$J$2000,"N")=0,"",_xlfn.MAXIFS(Sets!$H$2:$H$2000,Sets!$A$2:$A$2000,$A32,Sets!$D$2:$D$2000,J$1,Sets!$J$2:$J$2000,"N"))</f>
        <v/>
      </c>
      <c r="K32" s="4" t="str">
        <f aca="false">IF(_xlfn.MAXIFS(Sets!$H$2:$H$2000,Sets!$A$2:$A$2000,$A32,Sets!$D$2:$D$2000,K$1,Sets!$J$2:$J$2000,"N")=0,"",_xlfn.MAXIFS(Sets!$H$2:$H$2000,Sets!$A$2:$A$2000,$A32,Sets!$D$2:$D$2000,K$1,Sets!$J$2:$J$2000,"N"))</f>
        <v/>
      </c>
      <c r="L32" s="4" t="str">
        <f aca="false">IF(_xlfn.MAXIFS(Sets!$H$2:$H$2000,Sets!$A$2:$A$2000,$A32,Sets!$D$2:$D$2000,L$1,Sets!$J$2:$J$2000,"N")=0,"",_xlfn.MAXIFS(Sets!$H$2:$H$2000,Sets!$A$2:$A$2000,$A32,Sets!$D$2:$D$2000,L$1,Sets!$J$2:$J$2000,"N"))</f>
        <v/>
      </c>
      <c r="M32" s="4" t="str">
        <f aca="false">IF(_xlfn.MAXIFS(Sets!$H$2:$H$2000,Sets!$A$2:$A$2000,$A32,Sets!$D$2:$D$2000,M$1,Sets!$J$2:$J$2000,"N")=0,"",_xlfn.MAXIFS(Sets!$H$2:$H$2000,Sets!$A$2:$A$2000,$A32,Sets!$D$2:$D$2000,M$1,Sets!$J$2:$J$2000,"N"))</f>
        <v/>
      </c>
      <c r="N32" s="4" t="str">
        <f aca="false">IF(_xlfn.MAXIFS(Sets!$H$2:$H$2000,Sets!$A$2:$A$2000,$A32,Sets!$D$2:$D$2000,N$1,Sets!$J$2:$J$2000,"N")=0,"",_xlfn.MAXIFS(Sets!$H$2:$H$2000,Sets!$A$2:$A$2000,$A32,Sets!$D$2:$D$2000,N$1,Sets!$J$2:$J$2000,"N"))</f>
        <v/>
      </c>
      <c r="O32" s="4" t="str">
        <f aca="false">IF(_xlfn.MAXIFS(Sets!$H$2:$H$2000,Sets!$A$2:$A$2000,$A32,Sets!$D$2:$D$2000,O$1,Sets!$J$2:$J$2000,"N")=0,"",_xlfn.MAXIFS(Sets!$H$2:$H$2000,Sets!$A$2:$A$2000,$A32,Sets!$D$2:$D$2000,O$1,Sets!$J$2:$J$2000,"N"))</f>
        <v/>
      </c>
      <c r="P32" s="4" t="str">
        <f aca="false">IF(_xlfn.MAXIFS(Sets!$H$2:$H$2000,Sets!$A$2:$A$2000,$A32,Sets!$D$2:$D$2000,P$1,Sets!$J$2:$J$2000,"N")=0,"",_xlfn.MAXIFS(Sets!$H$2:$H$2000,Sets!$A$2:$A$2000,$A32,Sets!$D$2:$D$2000,P$1,Sets!$J$2:$J$2000,"N"))</f>
        <v/>
      </c>
      <c r="Q32" s="4" t="str">
        <f aca="false">IF(_xlfn.MAXIFS(Sets!$H$2:$H$2000,Sets!$A$2:$A$2000,$A32,Sets!$D$2:$D$2000,Q$1,Sets!$J$2:$J$2000,"N")=0,"",_xlfn.MAXIFS(Sets!$H$2:$H$2000,Sets!$A$2:$A$2000,$A32,Sets!$D$2:$D$2000,Q$1,Sets!$J$2:$J$2000,"N"))</f>
        <v/>
      </c>
      <c r="R32" s="4" t="str">
        <f aca="false">IF(_xlfn.MAXIFS(Sets!$H$2:$H$2000,Sets!$A$2:$A$2000,$A32,Sets!$D$2:$D$2000,R$1,Sets!$J$2:$J$2000,"N")=0,"",_xlfn.MAXIFS(Sets!$H$2:$H$2000,Sets!$A$2:$A$2000,$A32,Sets!$D$2:$D$2000,R$1,Sets!$J$2:$J$2000,"N"))</f>
        <v/>
      </c>
      <c r="S32" s="4" t="str">
        <f aca="false">IF(_xlfn.MAXIFS(Sets!$H$2:$H$2000,Sets!$A$2:$A$2000,$A32,Sets!$D$2:$D$2000,S$1,Sets!$J$2:$J$2000,"N")=0,"",_xlfn.MAXIFS(Sets!$H$2:$H$2000,Sets!$A$2:$A$2000,$A32,Sets!$D$2:$D$2000,S$1,Sets!$J$2:$J$2000,"N"))</f>
        <v/>
      </c>
      <c r="T32" s="4" t="str">
        <f aca="false">IF(_xlfn.MAXIFS(Sets!$H$2:$H$2000,Sets!$A$2:$A$2000,$A32,Sets!$D$2:$D$2000,T$1,Sets!$J$2:$J$2000,"N")=0,"",_xlfn.MAXIFS(Sets!$H$2:$H$2000,Sets!$A$2:$A$2000,$A32,Sets!$D$2:$D$2000,T$1,Sets!$J$2:$J$2000,"N"))</f>
        <v/>
      </c>
      <c r="U32" s="4" t="str">
        <f aca="false">IF(_xlfn.MAXIFS(Sets!$H$2:$H$2000,Sets!$A$2:$A$2000,$A32,Sets!$D$2:$D$2000,U$1,Sets!$J$2:$J$2000,"N")=0,"",_xlfn.MAXIFS(Sets!$H$2:$H$2000,Sets!$A$2:$A$2000,$A32,Sets!$D$2:$D$2000,U$1,Sets!$J$2:$J$2000,"N"))</f>
        <v/>
      </c>
      <c r="V32" s="4" t="str">
        <f aca="false">IF(_xlfn.MAXIFS(Sets!$H$2:$H$2000,Sets!$A$2:$A$2000,$A32,Sets!$D$2:$D$2000,V$1,Sets!$J$2:$J$2000,"N")=0,"",_xlfn.MAXIFS(Sets!$H$2:$H$2000,Sets!$A$2:$A$2000,$A32,Sets!$D$2:$D$2000,V$1,Sets!$J$2:$J$2000,"N"))</f>
        <v/>
      </c>
      <c r="W32" s="4" t="str">
        <f aca="false">IF(_xlfn.MAXIFS(Sets!$H$2:$H$2000,Sets!$A$2:$A$2000,$A32,Sets!$D$2:$D$2000,W$1,Sets!$J$2:$J$2000,"N")=0,"",_xlfn.MAXIFS(Sets!$H$2:$H$2000,Sets!$A$2:$A$2000,$A32,Sets!$D$2:$D$2000,W$1,Sets!$J$2:$J$2000,"N"))</f>
        <v/>
      </c>
      <c r="X32" s="4" t="str">
        <f aca="false">IF(_xlfn.MAXIFS(Sets!$H$2:$H$2000,Sets!$A$2:$A$2000,$A32,Sets!$D$2:$D$2000,X$1,Sets!$J$2:$J$2000,"N")=0,"",_xlfn.MAXIFS(Sets!$H$2:$H$2000,Sets!$A$2:$A$2000,$A32,Sets!$D$2:$D$2000,X$1,Sets!$J$2:$J$2000,"N"))</f>
        <v/>
      </c>
      <c r="Y32" s="4" t="str">
        <f aca="false">IF(_xlfn.MAXIFS(Sets!$H$2:$H$2000,Sets!$A$2:$A$2000,$A32,Sets!$D$2:$D$2000,Y$1,Sets!$J$2:$J$2000,"N")=0,"",_xlfn.MAXIFS(Sets!$H$2:$H$2000,Sets!$A$2:$A$2000,$A32,Sets!$D$2:$D$2000,Y$1,Sets!$J$2:$J$2000,"N"))</f>
        <v/>
      </c>
      <c r="Z32" s="4" t="str">
        <f aca="false">IF(_xlfn.MAXIFS(Sets!$H$2:$H$2000,Sets!$A$2:$A$2000,$A32,Sets!$D$2:$D$2000,Z$1,Sets!$J$2:$J$2000,"N")=0,"",_xlfn.MAXIFS(Sets!$H$2:$H$2000,Sets!$A$2:$A$2000,$A32,Sets!$D$2:$D$2000,Z$1,Sets!$J$2:$J$2000,"N"))</f>
        <v/>
      </c>
      <c r="AA32" s="4" t="str">
        <f aca="false">IF(_xlfn.MAXIFS(Sets!$H$2:$H$2000,Sets!$A$2:$A$2000,$A32,Sets!$D$2:$D$2000,AA$1,Sets!$J$2:$J$2000,"N")=0,"",_xlfn.MAXIFS(Sets!$H$2:$H$2000,Sets!$A$2:$A$2000,$A32,Sets!$D$2:$D$2000,AA$1,Sets!$J$2:$J$2000,"N"))</f>
        <v/>
      </c>
      <c r="AB32" s="4" t="str">
        <f aca="false">IF(_xlfn.MAXIFS(Sets!$H$2:$H$2000,Sets!$A$2:$A$2000,$A32,Sets!$D$2:$D$2000,AB$1,Sets!$J$2:$J$2000,"N")=0,"",_xlfn.MAXIFS(Sets!$H$2:$H$2000,Sets!$A$2:$A$2000,$A32,Sets!$D$2:$D$2000,AB$1,Sets!$J$2:$J$2000,"N"))</f>
        <v/>
      </c>
      <c r="AC32" s="4" t="str">
        <f aca="false">IF(_xlfn.MAXIFS(Sets!$H$2:$H$2000,Sets!$A$2:$A$2000,$A32,Sets!$D$2:$D$2000,AC$1,Sets!$J$2:$J$2000,"N")=0,"",_xlfn.MAXIFS(Sets!$H$2:$H$2000,Sets!$A$2:$A$2000,$A32,Sets!$D$2:$D$2000,AC$1,Sets!$J$2:$J$2000,"N"))</f>
        <v/>
      </c>
      <c r="AD32" s="4" t="str">
        <f aca="false">IF(_xlfn.MAXIFS(Sets!$H$2:$H$2000,Sets!$A$2:$A$2000,$A32,Sets!$D$2:$D$2000,AD$1,Sets!$J$2:$J$2000,"N")=0,"",_xlfn.MAXIFS(Sets!$H$2:$H$2000,Sets!$A$2:$A$2000,$A32,Sets!$D$2:$D$2000,AD$1,Sets!$J$2:$J$2000,"N"))</f>
        <v/>
      </c>
      <c r="AE32" s="4" t="str">
        <f aca="false">IF(_xlfn.MAXIFS(Sets!$H$2:$H$2000,Sets!$A$2:$A$2000,$A32,Sets!$D$2:$D$2000,AE$1,Sets!$J$2:$J$2000,"N")=0,"",_xlfn.MAXIFS(Sets!$H$2:$H$2000,Sets!$A$2:$A$2000,$A32,Sets!$D$2:$D$2000,AE$1,Sets!$J$2:$J$2000,"N"))</f>
        <v/>
      </c>
      <c r="AF32" s="4" t="str">
        <f aca="false">IF(_xlfn.MAXIFS(Sets!$H$2:$H$2000,Sets!$A$2:$A$2000,$A32,Sets!$D$2:$D$2000,AF$1,Sets!$J$2:$J$2000,"N")=0,"",_xlfn.MAXIFS(Sets!$H$2:$H$2000,Sets!$A$2:$A$2000,$A32,Sets!$D$2:$D$2000,AF$1,Sets!$J$2:$J$2000,"N"))</f>
        <v/>
      </c>
      <c r="AG32" s="4" t="n">
        <f aca="false">IF(_xlfn.MAXIFS(Sets!$H$2:$H$2000,Sets!$A$2:$A$2000,$A32,Sets!$D$2:$D$2000,AG$1,Sets!$J$2:$J$2000,"N")=0,"",_xlfn.MAXIFS(Sets!$H$2:$H$2000,Sets!$A$2:$A$2000,$A32,Sets!$D$2:$D$2000,AG$1,Sets!$J$2:$J$2000,"N"))</f>
        <v>7.5</v>
      </c>
      <c r="AH32" s="4" t="str">
        <f aca="false">IF(_xlfn.MAXIFS(Sets!$H$2:$H$2000,Sets!$A$2:$A$2000,$A32,Sets!$D$2:$D$2000,AH$1,Sets!$J$2:$J$2000,"N")=0,"",_xlfn.MAXIFS(Sets!$H$2:$H$2000,Sets!$A$2:$A$2000,$A32,Sets!$D$2:$D$2000,AH$1,Sets!$J$2:$J$2000,"N"))</f>
        <v/>
      </c>
    </row>
    <row r="33" customFormat="false" ht="15" hidden="false" customHeight="false" outlineLevel="0" collapsed="false">
      <c r="A33" s="16" t="n">
        <v>46159</v>
      </c>
      <c r="B33" s="4" t="str">
        <f aca="false">IF(_xlfn.MAXIFS(Sets!$H$2:$H$2000,Sets!$A$2:$A$2000,$A33,Sets!$D$2:$D$2000,B$1,Sets!$J$2:$J$2000,"N")=0,"",_xlfn.MAXIFS(Sets!$H$2:$H$2000,Sets!$A$2:$A$2000,$A33,Sets!$D$2:$D$2000,B$1,Sets!$J$2:$J$2000,"N"))</f>
        <v/>
      </c>
      <c r="C33" s="4" t="n">
        <f aca="false">IF(_xlfn.MAXIFS(Sets!$H$2:$H$2000,Sets!$A$2:$A$2000,$A33,Sets!$D$2:$D$2000,C$1,Sets!$J$2:$J$2000,"N")=0,"",_xlfn.MAXIFS(Sets!$H$2:$H$2000,Sets!$A$2:$A$2000,$A33,Sets!$D$2:$D$2000,C$1,Sets!$J$2:$J$2000,"N"))</f>
        <v>22.5</v>
      </c>
      <c r="D33" s="4" t="str">
        <f aca="false">IF(_xlfn.MAXIFS(Sets!$H$2:$H$2000,Sets!$A$2:$A$2000,$A33,Sets!$D$2:$D$2000,D$1,Sets!$J$2:$J$2000,"N")=0,"",_xlfn.MAXIFS(Sets!$H$2:$H$2000,Sets!$A$2:$A$2000,$A33,Sets!$D$2:$D$2000,D$1,Sets!$J$2:$J$2000,"N"))</f>
        <v/>
      </c>
      <c r="E33" s="4" t="str">
        <f aca="false">IF(_xlfn.MAXIFS(Sets!$H$2:$H$2000,Sets!$A$2:$A$2000,$A33,Sets!$D$2:$D$2000,E$1,Sets!$J$2:$J$2000,"N")=0,"",_xlfn.MAXIFS(Sets!$H$2:$H$2000,Sets!$A$2:$A$2000,$A33,Sets!$D$2:$D$2000,E$1,Sets!$J$2:$J$2000,"N"))</f>
        <v/>
      </c>
      <c r="F33" s="4" t="n">
        <f aca="false">IF(_xlfn.MAXIFS(Sets!$H$2:$H$2000,Sets!$A$2:$A$2000,$A33,Sets!$D$2:$D$2000,F$1,Sets!$J$2:$J$2000,"N")=0,"",_xlfn.MAXIFS(Sets!$H$2:$H$2000,Sets!$A$2:$A$2000,$A33,Sets!$D$2:$D$2000,F$1,Sets!$J$2:$J$2000,"N"))</f>
        <v>30</v>
      </c>
      <c r="G33" s="4" t="n">
        <f aca="false">IF(_xlfn.MAXIFS(Sets!$H$2:$H$2000,Sets!$A$2:$A$2000,$A33,Sets!$D$2:$D$2000,G$1,Sets!$J$2:$J$2000,"N")=0,"",_xlfn.MAXIFS(Sets!$H$2:$H$2000,Sets!$A$2:$A$2000,$A33,Sets!$D$2:$D$2000,G$1,Sets!$J$2:$J$2000,"N"))</f>
        <v>50</v>
      </c>
      <c r="H33" s="4" t="n">
        <f aca="false">IF(_xlfn.MAXIFS(Sets!$H$2:$H$2000,Sets!$A$2:$A$2000,$A33,Sets!$D$2:$D$2000,H$1,Sets!$J$2:$J$2000,"N")=0,"",_xlfn.MAXIFS(Sets!$H$2:$H$2000,Sets!$A$2:$A$2000,$A33,Sets!$D$2:$D$2000,H$1,Sets!$J$2:$J$2000,"N"))</f>
        <v>65</v>
      </c>
      <c r="I33" s="4" t="str">
        <f aca="false">IF(_xlfn.MAXIFS(Sets!$H$2:$H$2000,Sets!$A$2:$A$2000,$A33,Sets!$D$2:$D$2000,I$1,Sets!$J$2:$J$2000,"N")=0,"",_xlfn.MAXIFS(Sets!$H$2:$H$2000,Sets!$A$2:$A$2000,$A33,Sets!$D$2:$D$2000,I$1,Sets!$J$2:$J$2000,"N"))</f>
        <v/>
      </c>
      <c r="J33" s="4" t="str">
        <f aca="false">IF(_xlfn.MAXIFS(Sets!$H$2:$H$2000,Sets!$A$2:$A$2000,$A33,Sets!$D$2:$D$2000,J$1,Sets!$J$2:$J$2000,"N")=0,"",_xlfn.MAXIFS(Sets!$H$2:$H$2000,Sets!$A$2:$A$2000,$A33,Sets!$D$2:$D$2000,J$1,Sets!$J$2:$J$2000,"N"))</f>
        <v/>
      </c>
      <c r="K33" s="4" t="str">
        <f aca="false">IF(_xlfn.MAXIFS(Sets!$H$2:$H$2000,Sets!$A$2:$A$2000,$A33,Sets!$D$2:$D$2000,K$1,Sets!$J$2:$J$2000,"N")=0,"",_xlfn.MAXIFS(Sets!$H$2:$H$2000,Sets!$A$2:$A$2000,$A33,Sets!$D$2:$D$2000,K$1,Sets!$J$2:$J$2000,"N"))</f>
        <v/>
      </c>
      <c r="L33" s="4" t="str">
        <f aca="false">IF(_xlfn.MAXIFS(Sets!$H$2:$H$2000,Sets!$A$2:$A$2000,$A33,Sets!$D$2:$D$2000,L$1,Sets!$J$2:$J$2000,"N")=0,"",_xlfn.MAXIFS(Sets!$H$2:$H$2000,Sets!$A$2:$A$2000,$A33,Sets!$D$2:$D$2000,L$1,Sets!$J$2:$J$2000,"N"))</f>
        <v/>
      </c>
      <c r="M33" s="4" t="str">
        <f aca="false">IF(_xlfn.MAXIFS(Sets!$H$2:$H$2000,Sets!$A$2:$A$2000,$A33,Sets!$D$2:$D$2000,M$1,Sets!$J$2:$J$2000,"N")=0,"",_xlfn.MAXIFS(Sets!$H$2:$H$2000,Sets!$A$2:$A$2000,$A33,Sets!$D$2:$D$2000,M$1,Sets!$J$2:$J$2000,"N"))</f>
        <v/>
      </c>
      <c r="N33" s="4" t="str">
        <f aca="false">IF(_xlfn.MAXIFS(Sets!$H$2:$H$2000,Sets!$A$2:$A$2000,$A33,Sets!$D$2:$D$2000,N$1,Sets!$J$2:$J$2000,"N")=0,"",_xlfn.MAXIFS(Sets!$H$2:$H$2000,Sets!$A$2:$A$2000,$A33,Sets!$D$2:$D$2000,N$1,Sets!$J$2:$J$2000,"N"))</f>
        <v/>
      </c>
      <c r="O33" s="4" t="str">
        <f aca="false">IF(_xlfn.MAXIFS(Sets!$H$2:$H$2000,Sets!$A$2:$A$2000,$A33,Sets!$D$2:$D$2000,O$1,Sets!$J$2:$J$2000,"N")=0,"",_xlfn.MAXIFS(Sets!$H$2:$H$2000,Sets!$A$2:$A$2000,$A33,Sets!$D$2:$D$2000,O$1,Sets!$J$2:$J$2000,"N"))</f>
        <v/>
      </c>
      <c r="P33" s="4" t="str">
        <f aca="false">IF(_xlfn.MAXIFS(Sets!$H$2:$H$2000,Sets!$A$2:$A$2000,$A33,Sets!$D$2:$D$2000,P$1,Sets!$J$2:$J$2000,"N")=0,"",_xlfn.MAXIFS(Sets!$H$2:$H$2000,Sets!$A$2:$A$2000,$A33,Sets!$D$2:$D$2000,P$1,Sets!$J$2:$J$2000,"N"))</f>
        <v/>
      </c>
      <c r="Q33" s="4" t="str">
        <f aca="false">IF(_xlfn.MAXIFS(Sets!$H$2:$H$2000,Sets!$A$2:$A$2000,$A33,Sets!$D$2:$D$2000,Q$1,Sets!$J$2:$J$2000,"N")=0,"",_xlfn.MAXIFS(Sets!$H$2:$H$2000,Sets!$A$2:$A$2000,$A33,Sets!$D$2:$D$2000,Q$1,Sets!$J$2:$J$2000,"N"))</f>
        <v/>
      </c>
      <c r="R33" s="4" t="str">
        <f aca="false">IF(_xlfn.MAXIFS(Sets!$H$2:$H$2000,Sets!$A$2:$A$2000,$A33,Sets!$D$2:$D$2000,R$1,Sets!$J$2:$J$2000,"N")=0,"",_xlfn.MAXIFS(Sets!$H$2:$H$2000,Sets!$A$2:$A$2000,$A33,Sets!$D$2:$D$2000,R$1,Sets!$J$2:$J$2000,"N"))</f>
        <v/>
      </c>
      <c r="S33" s="4" t="str">
        <f aca="false">IF(_xlfn.MAXIFS(Sets!$H$2:$H$2000,Sets!$A$2:$A$2000,$A33,Sets!$D$2:$D$2000,S$1,Sets!$J$2:$J$2000,"N")=0,"",_xlfn.MAXIFS(Sets!$H$2:$H$2000,Sets!$A$2:$A$2000,$A33,Sets!$D$2:$D$2000,S$1,Sets!$J$2:$J$2000,"N"))</f>
        <v/>
      </c>
      <c r="T33" s="4" t="str">
        <f aca="false">IF(_xlfn.MAXIFS(Sets!$H$2:$H$2000,Sets!$A$2:$A$2000,$A33,Sets!$D$2:$D$2000,T$1,Sets!$J$2:$J$2000,"N")=0,"",_xlfn.MAXIFS(Sets!$H$2:$H$2000,Sets!$A$2:$A$2000,$A33,Sets!$D$2:$D$2000,T$1,Sets!$J$2:$J$2000,"N"))</f>
        <v/>
      </c>
      <c r="U33" s="4" t="str">
        <f aca="false">IF(_xlfn.MAXIFS(Sets!$H$2:$H$2000,Sets!$A$2:$A$2000,$A33,Sets!$D$2:$D$2000,U$1,Sets!$J$2:$J$2000,"N")=0,"",_xlfn.MAXIFS(Sets!$H$2:$H$2000,Sets!$A$2:$A$2000,$A33,Sets!$D$2:$D$2000,U$1,Sets!$J$2:$J$2000,"N"))</f>
        <v/>
      </c>
      <c r="V33" s="4" t="str">
        <f aca="false">IF(_xlfn.MAXIFS(Sets!$H$2:$H$2000,Sets!$A$2:$A$2000,$A33,Sets!$D$2:$D$2000,V$1,Sets!$J$2:$J$2000,"N")=0,"",_xlfn.MAXIFS(Sets!$H$2:$H$2000,Sets!$A$2:$A$2000,$A33,Sets!$D$2:$D$2000,V$1,Sets!$J$2:$J$2000,"N"))</f>
        <v/>
      </c>
      <c r="W33" s="4" t="str">
        <f aca="false">IF(_xlfn.MAXIFS(Sets!$H$2:$H$2000,Sets!$A$2:$A$2000,$A33,Sets!$D$2:$D$2000,W$1,Sets!$J$2:$J$2000,"N")=0,"",_xlfn.MAXIFS(Sets!$H$2:$H$2000,Sets!$A$2:$A$2000,$A33,Sets!$D$2:$D$2000,W$1,Sets!$J$2:$J$2000,"N"))</f>
        <v/>
      </c>
      <c r="X33" s="4" t="str">
        <f aca="false">IF(_xlfn.MAXIFS(Sets!$H$2:$H$2000,Sets!$A$2:$A$2000,$A33,Sets!$D$2:$D$2000,X$1,Sets!$J$2:$J$2000,"N")=0,"",_xlfn.MAXIFS(Sets!$H$2:$H$2000,Sets!$A$2:$A$2000,$A33,Sets!$D$2:$D$2000,X$1,Sets!$J$2:$J$2000,"N"))</f>
        <v/>
      </c>
      <c r="Y33" s="4" t="str">
        <f aca="false">IF(_xlfn.MAXIFS(Sets!$H$2:$H$2000,Sets!$A$2:$A$2000,$A33,Sets!$D$2:$D$2000,Y$1,Sets!$J$2:$J$2000,"N")=0,"",_xlfn.MAXIFS(Sets!$H$2:$H$2000,Sets!$A$2:$A$2000,$A33,Sets!$D$2:$D$2000,Y$1,Sets!$J$2:$J$2000,"N"))</f>
        <v/>
      </c>
      <c r="Z33" s="4" t="str">
        <f aca="false">IF(_xlfn.MAXIFS(Sets!$H$2:$H$2000,Sets!$A$2:$A$2000,$A33,Sets!$D$2:$D$2000,Z$1,Sets!$J$2:$J$2000,"N")=0,"",_xlfn.MAXIFS(Sets!$H$2:$H$2000,Sets!$A$2:$A$2000,$A33,Sets!$D$2:$D$2000,Z$1,Sets!$J$2:$J$2000,"N"))</f>
        <v/>
      </c>
      <c r="AA33" s="4" t="str">
        <f aca="false">IF(_xlfn.MAXIFS(Sets!$H$2:$H$2000,Sets!$A$2:$A$2000,$A33,Sets!$D$2:$D$2000,AA$1,Sets!$J$2:$J$2000,"N")=0,"",_xlfn.MAXIFS(Sets!$H$2:$H$2000,Sets!$A$2:$A$2000,$A33,Sets!$D$2:$D$2000,AA$1,Sets!$J$2:$J$2000,"N"))</f>
        <v/>
      </c>
      <c r="AB33" s="4" t="str">
        <f aca="false">IF(_xlfn.MAXIFS(Sets!$H$2:$H$2000,Sets!$A$2:$A$2000,$A33,Sets!$D$2:$D$2000,AB$1,Sets!$J$2:$J$2000,"N")=0,"",_xlfn.MAXIFS(Sets!$H$2:$H$2000,Sets!$A$2:$A$2000,$A33,Sets!$D$2:$D$2000,AB$1,Sets!$J$2:$J$2000,"N"))</f>
        <v/>
      </c>
      <c r="AC33" s="4" t="str">
        <f aca="false">IF(_xlfn.MAXIFS(Sets!$H$2:$H$2000,Sets!$A$2:$A$2000,$A33,Sets!$D$2:$D$2000,AC$1,Sets!$J$2:$J$2000,"N")=0,"",_xlfn.MAXIFS(Sets!$H$2:$H$2000,Sets!$A$2:$A$2000,$A33,Sets!$D$2:$D$2000,AC$1,Sets!$J$2:$J$2000,"N"))</f>
        <v/>
      </c>
      <c r="AD33" s="4" t="str">
        <f aca="false">IF(_xlfn.MAXIFS(Sets!$H$2:$H$2000,Sets!$A$2:$A$2000,$A33,Sets!$D$2:$D$2000,AD$1,Sets!$J$2:$J$2000,"N")=0,"",_xlfn.MAXIFS(Sets!$H$2:$H$2000,Sets!$A$2:$A$2000,$A33,Sets!$D$2:$D$2000,AD$1,Sets!$J$2:$J$2000,"N"))</f>
        <v/>
      </c>
      <c r="AE33" s="4" t="str">
        <f aca="false">IF(_xlfn.MAXIFS(Sets!$H$2:$H$2000,Sets!$A$2:$A$2000,$A33,Sets!$D$2:$D$2000,AE$1,Sets!$J$2:$J$2000,"N")=0,"",_xlfn.MAXIFS(Sets!$H$2:$H$2000,Sets!$A$2:$A$2000,$A33,Sets!$D$2:$D$2000,AE$1,Sets!$J$2:$J$2000,"N"))</f>
        <v/>
      </c>
      <c r="AF33" s="4" t="str">
        <f aca="false">IF(_xlfn.MAXIFS(Sets!$H$2:$H$2000,Sets!$A$2:$A$2000,$A33,Sets!$D$2:$D$2000,AF$1,Sets!$J$2:$J$2000,"N")=0,"",_xlfn.MAXIFS(Sets!$H$2:$H$2000,Sets!$A$2:$A$2000,$A33,Sets!$D$2:$D$2000,AF$1,Sets!$J$2:$J$2000,"N"))</f>
        <v/>
      </c>
      <c r="AG33" s="4" t="str">
        <f aca="false">IF(_xlfn.MAXIFS(Sets!$H$2:$H$2000,Sets!$A$2:$A$2000,$A33,Sets!$D$2:$D$2000,AG$1,Sets!$J$2:$J$2000,"N")=0,"",_xlfn.MAXIFS(Sets!$H$2:$H$2000,Sets!$A$2:$A$2000,$A33,Sets!$D$2:$D$2000,AG$1,Sets!$J$2:$J$2000,"N"))</f>
        <v/>
      </c>
      <c r="AH33" s="4" t="str">
        <f aca="false">IF(_xlfn.MAXIFS(Sets!$H$2:$H$2000,Sets!$A$2:$A$2000,$A33,Sets!$D$2:$D$2000,AH$1,Sets!$J$2:$J$2000,"N")=0,"",_xlfn.MAXIFS(Sets!$H$2:$H$2000,Sets!$A$2:$A$2000,$A33,Sets!$D$2:$D$2000,AH$1,Sets!$J$2:$J$2000,"N"))</f>
        <v/>
      </c>
    </row>
    <row r="34" customFormat="false" ht="15" hidden="false" customHeight="false" outlineLevel="0" collapsed="false">
      <c r="A34" s="16" t="n">
        <v>46164</v>
      </c>
      <c r="B34" s="4" t="n">
        <f aca="false">IF(_xlfn.MAXIFS(Sets!$H$2:$H$2000,Sets!$A$2:$A$2000,$A34,Sets!$D$2:$D$2000,B$1,Sets!$J$2:$J$2000,"N")=0,"",_xlfn.MAXIFS(Sets!$H$2:$H$2000,Sets!$A$2:$A$2000,$A34,Sets!$D$2:$D$2000,B$1,Sets!$J$2:$J$2000,"N"))</f>
        <v>30</v>
      </c>
      <c r="C34" s="4" t="str">
        <f aca="false">IF(_xlfn.MAXIFS(Sets!$H$2:$H$2000,Sets!$A$2:$A$2000,$A34,Sets!$D$2:$D$2000,C$1,Sets!$J$2:$J$2000,"N")=0,"",_xlfn.MAXIFS(Sets!$H$2:$H$2000,Sets!$A$2:$A$2000,$A34,Sets!$D$2:$D$2000,C$1,Sets!$J$2:$J$2000,"N"))</f>
        <v/>
      </c>
      <c r="D34" s="4" t="str">
        <f aca="false">IF(_xlfn.MAXIFS(Sets!$H$2:$H$2000,Sets!$A$2:$A$2000,$A34,Sets!$D$2:$D$2000,D$1,Sets!$J$2:$J$2000,"N")=0,"",_xlfn.MAXIFS(Sets!$H$2:$H$2000,Sets!$A$2:$A$2000,$A34,Sets!$D$2:$D$2000,D$1,Sets!$J$2:$J$2000,"N"))</f>
        <v/>
      </c>
      <c r="E34" s="4" t="n">
        <f aca="false">IF(_xlfn.MAXIFS(Sets!$H$2:$H$2000,Sets!$A$2:$A$2000,$A34,Sets!$D$2:$D$2000,E$1,Sets!$J$2:$J$2000,"N")=0,"",_xlfn.MAXIFS(Sets!$H$2:$H$2000,Sets!$A$2:$A$2000,$A34,Sets!$D$2:$D$2000,E$1,Sets!$J$2:$J$2000,"N"))</f>
        <v>95</v>
      </c>
      <c r="F34" s="4" t="str">
        <f aca="false">IF(_xlfn.MAXIFS(Sets!$H$2:$H$2000,Sets!$A$2:$A$2000,$A34,Sets!$D$2:$D$2000,F$1,Sets!$J$2:$J$2000,"N")=0,"",_xlfn.MAXIFS(Sets!$H$2:$H$2000,Sets!$A$2:$A$2000,$A34,Sets!$D$2:$D$2000,F$1,Sets!$J$2:$J$2000,"N"))</f>
        <v/>
      </c>
      <c r="G34" s="4" t="str">
        <f aca="false">IF(_xlfn.MAXIFS(Sets!$H$2:$H$2000,Sets!$A$2:$A$2000,$A34,Sets!$D$2:$D$2000,G$1,Sets!$J$2:$J$2000,"N")=0,"",_xlfn.MAXIFS(Sets!$H$2:$H$2000,Sets!$A$2:$A$2000,$A34,Sets!$D$2:$D$2000,G$1,Sets!$J$2:$J$2000,"N"))</f>
        <v/>
      </c>
      <c r="H34" s="4" t="str">
        <f aca="false">IF(_xlfn.MAXIFS(Sets!$H$2:$H$2000,Sets!$A$2:$A$2000,$A34,Sets!$D$2:$D$2000,H$1,Sets!$J$2:$J$2000,"N")=0,"",_xlfn.MAXIFS(Sets!$H$2:$H$2000,Sets!$A$2:$A$2000,$A34,Sets!$D$2:$D$2000,H$1,Sets!$J$2:$J$2000,"N"))</f>
        <v/>
      </c>
      <c r="I34" s="4" t="str">
        <f aca="false">IF(_xlfn.MAXIFS(Sets!$H$2:$H$2000,Sets!$A$2:$A$2000,$A34,Sets!$D$2:$D$2000,I$1,Sets!$J$2:$J$2000,"N")=0,"",_xlfn.MAXIFS(Sets!$H$2:$H$2000,Sets!$A$2:$A$2000,$A34,Sets!$D$2:$D$2000,I$1,Sets!$J$2:$J$2000,"N"))</f>
        <v/>
      </c>
      <c r="J34" s="4" t="str">
        <f aca="false">IF(_xlfn.MAXIFS(Sets!$H$2:$H$2000,Sets!$A$2:$A$2000,$A34,Sets!$D$2:$D$2000,J$1,Sets!$J$2:$J$2000,"N")=0,"",_xlfn.MAXIFS(Sets!$H$2:$H$2000,Sets!$A$2:$A$2000,$A34,Sets!$D$2:$D$2000,J$1,Sets!$J$2:$J$2000,"N"))</f>
        <v/>
      </c>
      <c r="K34" s="4" t="str">
        <f aca="false">IF(_xlfn.MAXIFS(Sets!$H$2:$H$2000,Sets!$A$2:$A$2000,$A34,Sets!$D$2:$D$2000,K$1,Sets!$J$2:$J$2000,"N")=0,"",_xlfn.MAXIFS(Sets!$H$2:$H$2000,Sets!$A$2:$A$2000,$A34,Sets!$D$2:$D$2000,K$1,Sets!$J$2:$J$2000,"N"))</f>
        <v/>
      </c>
      <c r="L34" s="4" t="str">
        <f aca="false">IF(_xlfn.MAXIFS(Sets!$H$2:$H$2000,Sets!$A$2:$A$2000,$A34,Sets!$D$2:$D$2000,L$1,Sets!$J$2:$J$2000,"N")=0,"",_xlfn.MAXIFS(Sets!$H$2:$H$2000,Sets!$A$2:$A$2000,$A34,Sets!$D$2:$D$2000,L$1,Sets!$J$2:$J$2000,"N"))</f>
        <v/>
      </c>
      <c r="M34" s="4" t="str">
        <f aca="false">IF(_xlfn.MAXIFS(Sets!$H$2:$H$2000,Sets!$A$2:$A$2000,$A34,Sets!$D$2:$D$2000,M$1,Sets!$J$2:$J$2000,"N")=0,"",_xlfn.MAXIFS(Sets!$H$2:$H$2000,Sets!$A$2:$A$2000,$A34,Sets!$D$2:$D$2000,M$1,Sets!$J$2:$J$2000,"N"))</f>
        <v/>
      </c>
      <c r="N34" s="4" t="str">
        <f aca="false">IF(_xlfn.MAXIFS(Sets!$H$2:$H$2000,Sets!$A$2:$A$2000,$A34,Sets!$D$2:$D$2000,N$1,Sets!$J$2:$J$2000,"N")=0,"",_xlfn.MAXIFS(Sets!$H$2:$H$2000,Sets!$A$2:$A$2000,$A34,Sets!$D$2:$D$2000,N$1,Sets!$J$2:$J$2000,"N"))</f>
        <v/>
      </c>
      <c r="O34" s="4" t="str">
        <f aca="false">IF(_xlfn.MAXIFS(Sets!$H$2:$H$2000,Sets!$A$2:$A$2000,$A34,Sets!$D$2:$D$2000,O$1,Sets!$J$2:$J$2000,"N")=0,"",_xlfn.MAXIFS(Sets!$H$2:$H$2000,Sets!$A$2:$A$2000,$A34,Sets!$D$2:$D$2000,O$1,Sets!$J$2:$J$2000,"N"))</f>
        <v/>
      </c>
      <c r="P34" s="4" t="str">
        <f aca="false">IF(_xlfn.MAXIFS(Sets!$H$2:$H$2000,Sets!$A$2:$A$2000,$A34,Sets!$D$2:$D$2000,P$1,Sets!$J$2:$J$2000,"N")=0,"",_xlfn.MAXIFS(Sets!$H$2:$H$2000,Sets!$A$2:$A$2000,$A34,Sets!$D$2:$D$2000,P$1,Sets!$J$2:$J$2000,"N"))</f>
        <v/>
      </c>
      <c r="Q34" s="4" t="str">
        <f aca="false">IF(_xlfn.MAXIFS(Sets!$H$2:$H$2000,Sets!$A$2:$A$2000,$A34,Sets!$D$2:$D$2000,Q$1,Sets!$J$2:$J$2000,"N")=0,"",_xlfn.MAXIFS(Sets!$H$2:$H$2000,Sets!$A$2:$A$2000,$A34,Sets!$D$2:$D$2000,Q$1,Sets!$J$2:$J$2000,"N"))</f>
        <v/>
      </c>
      <c r="R34" s="4" t="n">
        <f aca="false">IF(_xlfn.MAXIFS(Sets!$H$2:$H$2000,Sets!$A$2:$A$2000,$A34,Sets!$D$2:$D$2000,R$1,Sets!$J$2:$J$2000,"N")=0,"",_xlfn.MAXIFS(Sets!$H$2:$H$2000,Sets!$A$2:$A$2000,$A34,Sets!$D$2:$D$2000,R$1,Sets!$J$2:$J$2000,"N"))</f>
        <v>22.5</v>
      </c>
      <c r="S34" s="4" t="str">
        <f aca="false">IF(_xlfn.MAXIFS(Sets!$H$2:$H$2000,Sets!$A$2:$A$2000,$A34,Sets!$D$2:$D$2000,S$1,Sets!$J$2:$J$2000,"N")=0,"",_xlfn.MAXIFS(Sets!$H$2:$H$2000,Sets!$A$2:$A$2000,$A34,Sets!$D$2:$D$2000,S$1,Sets!$J$2:$J$2000,"N"))</f>
        <v/>
      </c>
      <c r="T34" s="4" t="str">
        <f aca="false">IF(_xlfn.MAXIFS(Sets!$H$2:$H$2000,Sets!$A$2:$A$2000,$A34,Sets!$D$2:$D$2000,T$1,Sets!$J$2:$J$2000,"N")=0,"",_xlfn.MAXIFS(Sets!$H$2:$H$2000,Sets!$A$2:$A$2000,$A34,Sets!$D$2:$D$2000,T$1,Sets!$J$2:$J$2000,"N"))</f>
        <v/>
      </c>
      <c r="U34" s="4" t="str">
        <f aca="false">IF(_xlfn.MAXIFS(Sets!$H$2:$H$2000,Sets!$A$2:$A$2000,$A34,Sets!$D$2:$D$2000,U$1,Sets!$J$2:$J$2000,"N")=0,"",_xlfn.MAXIFS(Sets!$H$2:$H$2000,Sets!$A$2:$A$2000,$A34,Sets!$D$2:$D$2000,U$1,Sets!$J$2:$J$2000,"N"))</f>
        <v/>
      </c>
      <c r="V34" s="4" t="str">
        <f aca="false">IF(_xlfn.MAXIFS(Sets!$H$2:$H$2000,Sets!$A$2:$A$2000,$A34,Sets!$D$2:$D$2000,V$1,Sets!$J$2:$J$2000,"N")=0,"",_xlfn.MAXIFS(Sets!$H$2:$H$2000,Sets!$A$2:$A$2000,$A34,Sets!$D$2:$D$2000,V$1,Sets!$J$2:$J$2000,"N"))</f>
        <v/>
      </c>
      <c r="W34" s="4" t="str">
        <f aca="false">IF(_xlfn.MAXIFS(Sets!$H$2:$H$2000,Sets!$A$2:$A$2000,$A34,Sets!$D$2:$D$2000,W$1,Sets!$J$2:$J$2000,"N")=0,"",_xlfn.MAXIFS(Sets!$H$2:$H$2000,Sets!$A$2:$A$2000,$A34,Sets!$D$2:$D$2000,W$1,Sets!$J$2:$J$2000,"N"))</f>
        <v/>
      </c>
      <c r="X34" s="4" t="str">
        <f aca="false">IF(_xlfn.MAXIFS(Sets!$H$2:$H$2000,Sets!$A$2:$A$2000,$A34,Sets!$D$2:$D$2000,X$1,Sets!$J$2:$J$2000,"N")=0,"",_xlfn.MAXIFS(Sets!$H$2:$H$2000,Sets!$A$2:$A$2000,$A34,Sets!$D$2:$D$2000,X$1,Sets!$J$2:$J$2000,"N"))</f>
        <v/>
      </c>
      <c r="Y34" s="4" t="str">
        <f aca="false">IF(_xlfn.MAXIFS(Sets!$H$2:$H$2000,Sets!$A$2:$A$2000,$A34,Sets!$D$2:$D$2000,Y$1,Sets!$J$2:$J$2000,"N")=0,"",_xlfn.MAXIFS(Sets!$H$2:$H$2000,Sets!$A$2:$A$2000,$A34,Sets!$D$2:$D$2000,Y$1,Sets!$J$2:$J$2000,"N"))</f>
        <v/>
      </c>
      <c r="Z34" s="4" t="str">
        <f aca="false">IF(_xlfn.MAXIFS(Sets!$H$2:$H$2000,Sets!$A$2:$A$2000,$A34,Sets!$D$2:$D$2000,Z$1,Sets!$J$2:$J$2000,"N")=0,"",_xlfn.MAXIFS(Sets!$H$2:$H$2000,Sets!$A$2:$A$2000,$A34,Sets!$D$2:$D$2000,Z$1,Sets!$J$2:$J$2000,"N"))</f>
        <v/>
      </c>
      <c r="AA34" s="4" t="str">
        <f aca="false">IF(_xlfn.MAXIFS(Sets!$H$2:$H$2000,Sets!$A$2:$A$2000,$A34,Sets!$D$2:$D$2000,AA$1,Sets!$J$2:$J$2000,"N")=0,"",_xlfn.MAXIFS(Sets!$H$2:$H$2000,Sets!$A$2:$A$2000,$A34,Sets!$D$2:$D$2000,AA$1,Sets!$J$2:$J$2000,"N"))</f>
        <v/>
      </c>
      <c r="AB34" s="4" t="str">
        <f aca="false">IF(_xlfn.MAXIFS(Sets!$H$2:$H$2000,Sets!$A$2:$A$2000,$A34,Sets!$D$2:$D$2000,AB$1,Sets!$J$2:$J$2000,"N")=0,"",_xlfn.MAXIFS(Sets!$H$2:$H$2000,Sets!$A$2:$A$2000,$A34,Sets!$D$2:$D$2000,AB$1,Sets!$J$2:$J$2000,"N"))</f>
        <v/>
      </c>
      <c r="AC34" s="4" t="str">
        <f aca="false">IF(_xlfn.MAXIFS(Sets!$H$2:$H$2000,Sets!$A$2:$A$2000,$A34,Sets!$D$2:$D$2000,AC$1,Sets!$J$2:$J$2000,"N")=0,"",_xlfn.MAXIFS(Sets!$H$2:$H$2000,Sets!$A$2:$A$2000,$A34,Sets!$D$2:$D$2000,AC$1,Sets!$J$2:$J$2000,"N"))</f>
        <v/>
      </c>
      <c r="AD34" s="4" t="str">
        <f aca="false">IF(_xlfn.MAXIFS(Sets!$H$2:$H$2000,Sets!$A$2:$A$2000,$A34,Sets!$D$2:$D$2000,AD$1,Sets!$J$2:$J$2000,"N")=0,"",_xlfn.MAXIFS(Sets!$H$2:$H$2000,Sets!$A$2:$A$2000,$A34,Sets!$D$2:$D$2000,AD$1,Sets!$J$2:$J$2000,"N"))</f>
        <v/>
      </c>
      <c r="AE34" s="4" t="str">
        <f aca="false">IF(_xlfn.MAXIFS(Sets!$H$2:$H$2000,Sets!$A$2:$A$2000,$A34,Sets!$D$2:$D$2000,AE$1,Sets!$J$2:$J$2000,"N")=0,"",_xlfn.MAXIFS(Sets!$H$2:$H$2000,Sets!$A$2:$A$2000,$A34,Sets!$D$2:$D$2000,AE$1,Sets!$J$2:$J$2000,"N"))</f>
        <v/>
      </c>
      <c r="AF34" s="4" t="str">
        <f aca="false">IF(_xlfn.MAXIFS(Sets!$H$2:$H$2000,Sets!$A$2:$A$2000,$A34,Sets!$D$2:$D$2000,AF$1,Sets!$J$2:$J$2000,"N")=0,"",_xlfn.MAXIFS(Sets!$H$2:$H$2000,Sets!$A$2:$A$2000,$A34,Sets!$D$2:$D$2000,AF$1,Sets!$J$2:$J$2000,"N"))</f>
        <v/>
      </c>
      <c r="AG34" s="4" t="str">
        <f aca="false">IF(_xlfn.MAXIFS(Sets!$H$2:$H$2000,Sets!$A$2:$A$2000,$A34,Sets!$D$2:$D$2000,AG$1,Sets!$J$2:$J$2000,"N")=0,"",_xlfn.MAXIFS(Sets!$H$2:$H$2000,Sets!$A$2:$A$2000,$A34,Sets!$D$2:$D$2000,AG$1,Sets!$J$2:$J$2000,"N"))</f>
        <v/>
      </c>
      <c r="AH34" s="4" t="str">
        <f aca="false">IF(_xlfn.MAXIFS(Sets!$H$2:$H$2000,Sets!$A$2:$A$2000,$A34,Sets!$D$2:$D$2000,AH$1,Sets!$J$2:$J$2000,"N")=0,"",_xlfn.MAXIFS(Sets!$H$2:$H$2000,Sets!$A$2:$A$2000,$A34,Sets!$D$2:$D$2000,AH$1,Sets!$J$2:$J$2000,"N"))</f>
        <v/>
      </c>
    </row>
    <row r="35" customFormat="false" ht="15" hidden="false" customHeight="false" outlineLevel="0" collapsed="false">
      <c r="A35" s="16" t="n">
        <v>46165</v>
      </c>
      <c r="B35" s="4" t="str">
        <f aca="false">IF(_xlfn.MAXIFS(Sets!$H$2:$H$2000,Sets!$A$2:$A$2000,$A35,Sets!$D$2:$D$2000,B$1,Sets!$J$2:$J$2000,"N")=0,"",_xlfn.MAXIFS(Sets!$H$2:$H$2000,Sets!$A$2:$A$2000,$A35,Sets!$D$2:$D$2000,B$1,Sets!$J$2:$J$2000,"N"))</f>
        <v/>
      </c>
      <c r="C35" s="4" t="n">
        <f aca="false">IF(_xlfn.MAXIFS(Sets!$H$2:$H$2000,Sets!$A$2:$A$2000,$A35,Sets!$D$2:$D$2000,C$1,Sets!$J$2:$J$2000,"N")=0,"",_xlfn.MAXIFS(Sets!$H$2:$H$2000,Sets!$A$2:$A$2000,$A35,Sets!$D$2:$D$2000,C$1,Sets!$J$2:$J$2000,"N"))</f>
        <v>22.5</v>
      </c>
      <c r="D35" s="4" t="str">
        <f aca="false">IF(_xlfn.MAXIFS(Sets!$H$2:$H$2000,Sets!$A$2:$A$2000,$A35,Sets!$D$2:$D$2000,D$1,Sets!$J$2:$J$2000,"N")=0,"",_xlfn.MAXIFS(Sets!$H$2:$H$2000,Sets!$A$2:$A$2000,$A35,Sets!$D$2:$D$2000,D$1,Sets!$J$2:$J$2000,"N"))</f>
        <v/>
      </c>
      <c r="E35" s="4" t="str">
        <f aca="false">IF(_xlfn.MAXIFS(Sets!$H$2:$H$2000,Sets!$A$2:$A$2000,$A35,Sets!$D$2:$D$2000,E$1,Sets!$J$2:$J$2000,"N")=0,"",_xlfn.MAXIFS(Sets!$H$2:$H$2000,Sets!$A$2:$A$2000,$A35,Sets!$D$2:$D$2000,E$1,Sets!$J$2:$J$2000,"N"))</f>
        <v/>
      </c>
      <c r="F35" s="4" t="n">
        <f aca="false">IF(_xlfn.MAXIFS(Sets!$H$2:$H$2000,Sets!$A$2:$A$2000,$A35,Sets!$D$2:$D$2000,F$1,Sets!$J$2:$J$2000,"N")=0,"",_xlfn.MAXIFS(Sets!$H$2:$H$2000,Sets!$A$2:$A$2000,$A35,Sets!$D$2:$D$2000,F$1,Sets!$J$2:$J$2000,"N"))</f>
        <v>30</v>
      </c>
      <c r="G35" s="4" t="n">
        <f aca="false">IF(_xlfn.MAXIFS(Sets!$H$2:$H$2000,Sets!$A$2:$A$2000,$A35,Sets!$D$2:$D$2000,G$1,Sets!$J$2:$J$2000,"N")=0,"",_xlfn.MAXIFS(Sets!$H$2:$H$2000,Sets!$A$2:$A$2000,$A35,Sets!$D$2:$D$2000,G$1,Sets!$J$2:$J$2000,"N"))</f>
        <v>50</v>
      </c>
      <c r="H35" s="4" t="str">
        <f aca="false">IF(_xlfn.MAXIFS(Sets!$H$2:$H$2000,Sets!$A$2:$A$2000,$A35,Sets!$D$2:$D$2000,H$1,Sets!$J$2:$J$2000,"N")=0,"",_xlfn.MAXIFS(Sets!$H$2:$H$2000,Sets!$A$2:$A$2000,$A35,Sets!$D$2:$D$2000,H$1,Sets!$J$2:$J$2000,"N"))</f>
        <v/>
      </c>
      <c r="I35" s="4" t="str">
        <f aca="false">IF(_xlfn.MAXIFS(Sets!$H$2:$H$2000,Sets!$A$2:$A$2000,$A35,Sets!$D$2:$D$2000,I$1,Sets!$J$2:$J$2000,"N")=0,"",_xlfn.MAXIFS(Sets!$H$2:$H$2000,Sets!$A$2:$A$2000,$A35,Sets!$D$2:$D$2000,I$1,Sets!$J$2:$J$2000,"N"))</f>
        <v/>
      </c>
      <c r="J35" s="4" t="str">
        <f aca="false">IF(_xlfn.MAXIFS(Sets!$H$2:$H$2000,Sets!$A$2:$A$2000,$A35,Sets!$D$2:$D$2000,J$1,Sets!$J$2:$J$2000,"N")=0,"",_xlfn.MAXIFS(Sets!$H$2:$H$2000,Sets!$A$2:$A$2000,$A35,Sets!$D$2:$D$2000,J$1,Sets!$J$2:$J$2000,"N"))</f>
        <v/>
      </c>
      <c r="K35" s="4" t="str">
        <f aca="false">IF(_xlfn.MAXIFS(Sets!$H$2:$H$2000,Sets!$A$2:$A$2000,$A35,Sets!$D$2:$D$2000,K$1,Sets!$J$2:$J$2000,"N")=0,"",_xlfn.MAXIFS(Sets!$H$2:$H$2000,Sets!$A$2:$A$2000,$A35,Sets!$D$2:$D$2000,K$1,Sets!$J$2:$J$2000,"N"))</f>
        <v/>
      </c>
      <c r="L35" s="4" t="str">
        <f aca="false">IF(_xlfn.MAXIFS(Sets!$H$2:$H$2000,Sets!$A$2:$A$2000,$A35,Sets!$D$2:$D$2000,L$1,Sets!$J$2:$J$2000,"N")=0,"",_xlfn.MAXIFS(Sets!$H$2:$H$2000,Sets!$A$2:$A$2000,$A35,Sets!$D$2:$D$2000,L$1,Sets!$J$2:$J$2000,"N"))</f>
        <v/>
      </c>
      <c r="M35" s="4" t="str">
        <f aca="false">IF(_xlfn.MAXIFS(Sets!$H$2:$H$2000,Sets!$A$2:$A$2000,$A35,Sets!$D$2:$D$2000,M$1,Sets!$J$2:$J$2000,"N")=0,"",_xlfn.MAXIFS(Sets!$H$2:$H$2000,Sets!$A$2:$A$2000,$A35,Sets!$D$2:$D$2000,M$1,Sets!$J$2:$J$2000,"N"))</f>
        <v/>
      </c>
      <c r="N35" s="4" t="str">
        <f aca="false">IF(_xlfn.MAXIFS(Sets!$H$2:$H$2000,Sets!$A$2:$A$2000,$A35,Sets!$D$2:$D$2000,N$1,Sets!$J$2:$J$2000,"N")=0,"",_xlfn.MAXIFS(Sets!$H$2:$H$2000,Sets!$A$2:$A$2000,$A35,Sets!$D$2:$D$2000,N$1,Sets!$J$2:$J$2000,"N"))</f>
        <v/>
      </c>
      <c r="O35" s="4" t="str">
        <f aca="false">IF(_xlfn.MAXIFS(Sets!$H$2:$H$2000,Sets!$A$2:$A$2000,$A35,Sets!$D$2:$D$2000,O$1,Sets!$J$2:$J$2000,"N")=0,"",_xlfn.MAXIFS(Sets!$H$2:$H$2000,Sets!$A$2:$A$2000,$A35,Sets!$D$2:$D$2000,O$1,Sets!$J$2:$J$2000,"N"))</f>
        <v/>
      </c>
      <c r="P35" s="4" t="str">
        <f aca="false">IF(_xlfn.MAXIFS(Sets!$H$2:$H$2000,Sets!$A$2:$A$2000,$A35,Sets!$D$2:$D$2000,P$1,Sets!$J$2:$J$2000,"N")=0,"",_xlfn.MAXIFS(Sets!$H$2:$H$2000,Sets!$A$2:$A$2000,$A35,Sets!$D$2:$D$2000,P$1,Sets!$J$2:$J$2000,"N"))</f>
        <v/>
      </c>
      <c r="Q35" s="4" t="str">
        <f aca="false">IF(_xlfn.MAXIFS(Sets!$H$2:$H$2000,Sets!$A$2:$A$2000,$A35,Sets!$D$2:$D$2000,Q$1,Sets!$J$2:$J$2000,"N")=0,"",_xlfn.MAXIFS(Sets!$H$2:$H$2000,Sets!$A$2:$A$2000,$A35,Sets!$D$2:$D$2000,Q$1,Sets!$J$2:$J$2000,"N"))</f>
        <v/>
      </c>
      <c r="R35" s="4" t="str">
        <f aca="false">IF(_xlfn.MAXIFS(Sets!$H$2:$H$2000,Sets!$A$2:$A$2000,$A35,Sets!$D$2:$D$2000,R$1,Sets!$J$2:$J$2000,"N")=0,"",_xlfn.MAXIFS(Sets!$H$2:$H$2000,Sets!$A$2:$A$2000,$A35,Sets!$D$2:$D$2000,R$1,Sets!$J$2:$J$2000,"N"))</f>
        <v/>
      </c>
      <c r="S35" s="4" t="str">
        <f aca="false">IF(_xlfn.MAXIFS(Sets!$H$2:$H$2000,Sets!$A$2:$A$2000,$A35,Sets!$D$2:$D$2000,S$1,Sets!$J$2:$J$2000,"N")=0,"",_xlfn.MAXIFS(Sets!$H$2:$H$2000,Sets!$A$2:$A$2000,$A35,Sets!$D$2:$D$2000,S$1,Sets!$J$2:$J$2000,"N"))</f>
        <v/>
      </c>
      <c r="T35" s="4" t="str">
        <f aca="false">IF(_xlfn.MAXIFS(Sets!$H$2:$H$2000,Sets!$A$2:$A$2000,$A35,Sets!$D$2:$D$2000,T$1,Sets!$J$2:$J$2000,"N")=0,"",_xlfn.MAXIFS(Sets!$H$2:$H$2000,Sets!$A$2:$A$2000,$A35,Sets!$D$2:$D$2000,T$1,Sets!$J$2:$J$2000,"N"))</f>
        <v/>
      </c>
      <c r="U35" s="4" t="str">
        <f aca="false">IF(_xlfn.MAXIFS(Sets!$H$2:$H$2000,Sets!$A$2:$A$2000,$A35,Sets!$D$2:$D$2000,U$1,Sets!$J$2:$J$2000,"N")=0,"",_xlfn.MAXIFS(Sets!$H$2:$H$2000,Sets!$A$2:$A$2000,$A35,Sets!$D$2:$D$2000,U$1,Sets!$J$2:$J$2000,"N"))</f>
        <v/>
      </c>
      <c r="V35" s="4" t="str">
        <f aca="false">IF(_xlfn.MAXIFS(Sets!$H$2:$H$2000,Sets!$A$2:$A$2000,$A35,Sets!$D$2:$D$2000,V$1,Sets!$J$2:$J$2000,"N")=0,"",_xlfn.MAXIFS(Sets!$H$2:$H$2000,Sets!$A$2:$A$2000,$A35,Sets!$D$2:$D$2000,V$1,Sets!$J$2:$J$2000,"N"))</f>
        <v/>
      </c>
      <c r="W35" s="4" t="str">
        <f aca="false">IF(_xlfn.MAXIFS(Sets!$H$2:$H$2000,Sets!$A$2:$A$2000,$A35,Sets!$D$2:$D$2000,W$1,Sets!$J$2:$J$2000,"N")=0,"",_xlfn.MAXIFS(Sets!$H$2:$H$2000,Sets!$A$2:$A$2000,$A35,Sets!$D$2:$D$2000,W$1,Sets!$J$2:$J$2000,"N"))</f>
        <v/>
      </c>
      <c r="X35" s="4" t="str">
        <f aca="false">IF(_xlfn.MAXIFS(Sets!$H$2:$H$2000,Sets!$A$2:$A$2000,$A35,Sets!$D$2:$D$2000,X$1,Sets!$J$2:$J$2000,"N")=0,"",_xlfn.MAXIFS(Sets!$H$2:$H$2000,Sets!$A$2:$A$2000,$A35,Sets!$D$2:$D$2000,X$1,Sets!$J$2:$J$2000,"N"))</f>
        <v/>
      </c>
      <c r="Y35" s="4" t="str">
        <f aca="false">IF(_xlfn.MAXIFS(Sets!$H$2:$H$2000,Sets!$A$2:$A$2000,$A35,Sets!$D$2:$D$2000,Y$1,Sets!$J$2:$J$2000,"N")=0,"",_xlfn.MAXIFS(Sets!$H$2:$H$2000,Sets!$A$2:$A$2000,$A35,Sets!$D$2:$D$2000,Y$1,Sets!$J$2:$J$2000,"N"))</f>
        <v/>
      </c>
      <c r="Z35" s="4" t="str">
        <f aca="false">IF(_xlfn.MAXIFS(Sets!$H$2:$H$2000,Sets!$A$2:$A$2000,$A35,Sets!$D$2:$D$2000,Z$1,Sets!$J$2:$J$2000,"N")=0,"",_xlfn.MAXIFS(Sets!$H$2:$H$2000,Sets!$A$2:$A$2000,$A35,Sets!$D$2:$D$2000,Z$1,Sets!$J$2:$J$2000,"N"))</f>
        <v/>
      </c>
      <c r="AA35" s="4" t="str">
        <f aca="false">IF(_xlfn.MAXIFS(Sets!$H$2:$H$2000,Sets!$A$2:$A$2000,$A35,Sets!$D$2:$D$2000,AA$1,Sets!$J$2:$J$2000,"N")=0,"",_xlfn.MAXIFS(Sets!$H$2:$H$2000,Sets!$A$2:$A$2000,$A35,Sets!$D$2:$D$2000,AA$1,Sets!$J$2:$J$2000,"N"))</f>
        <v/>
      </c>
      <c r="AB35" s="4" t="str">
        <f aca="false">IF(_xlfn.MAXIFS(Sets!$H$2:$H$2000,Sets!$A$2:$A$2000,$A35,Sets!$D$2:$D$2000,AB$1,Sets!$J$2:$J$2000,"N")=0,"",_xlfn.MAXIFS(Sets!$H$2:$H$2000,Sets!$A$2:$A$2000,$A35,Sets!$D$2:$D$2000,AB$1,Sets!$J$2:$J$2000,"N"))</f>
        <v/>
      </c>
      <c r="AC35" s="4" t="str">
        <f aca="false">IF(_xlfn.MAXIFS(Sets!$H$2:$H$2000,Sets!$A$2:$A$2000,$A35,Sets!$D$2:$D$2000,AC$1,Sets!$J$2:$J$2000,"N")=0,"",_xlfn.MAXIFS(Sets!$H$2:$H$2000,Sets!$A$2:$A$2000,$A35,Sets!$D$2:$D$2000,AC$1,Sets!$J$2:$J$2000,"N"))</f>
        <v/>
      </c>
      <c r="AD35" s="4" t="str">
        <f aca="false">IF(_xlfn.MAXIFS(Sets!$H$2:$H$2000,Sets!$A$2:$A$2000,$A35,Sets!$D$2:$D$2000,AD$1,Sets!$J$2:$J$2000,"N")=0,"",_xlfn.MAXIFS(Sets!$H$2:$H$2000,Sets!$A$2:$A$2000,$A35,Sets!$D$2:$D$2000,AD$1,Sets!$J$2:$J$2000,"N"))</f>
        <v/>
      </c>
      <c r="AE35" s="4" t="str">
        <f aca="false">IF(_xlfn.MAXIFS(Sets!$H$2:$H$2000,Sets!$A$2:$A$2000,$A35,Sets!$D$2:$D$2000,AE$1,Sets!$J$2:$J$2000,"N")=0,"",_xlfn.MAXIFS(Sets!$H$2:$H$2000,Sets!$A$2:$A$2000,$A35,Sets!$D$2:$D$2000,AE$1,Sets!$J$2:$J$2000,"N"))</f>
        <v/>
      </c>
      <c r="AF35" s="4" t="str">
        <f aca="false">IF(_xlfn.MAXIFS(Sets!$H$2:$H$2000,Sets!$A$2:$A$2000,$A35,Sets!$D$2:$D$2000,AF$1,Sets!$J$2:$J$2000,"N")=0,"",_xlfn.MAXIFS(Sets!$H$2:$H$2000,Sets!$A$2:$A$2000,$A35,Sets!$D$2:$D$2000,AF$1,Sets!$J$2:$J$2000,"N"))</f>
        <v/>
      </c>
      <c r="AG35" s="4" t="str">
        <f aca="false">IF(_xlfn.MAXIFS(Sets!$H$2:$H$2000,Sets!$A$2:$A$2000,$A35,Sets!$D$2:$D$2000,AG$1,Sets!$J$2:$J$2000,"N")=0,"",_xlfn.MAXIFS(Sets!$H$2:$H$2000,Sets!$A$2:$A$2000,$A35,Sets!$D$2:$D$2000,AG$1,Sets!$J$2:$J$2000,"N"))</f>
        <v/>
      </c>
      <c r="AH35" s="4" t="n">
        <f aca="false">IF(_xlfn.MAXIFS(Sets!$H$2:$H$2000,Sets!$A$2:$A$2000,$A35,Sets!$D$2:$D$2000,AH$1,Sets!$J$2:$J$2000,"N")=0,"",_xlfn.MAXIFS(Sets!$H$2:$H$2000,Sets!$A$2:$A$2000,$A35,Sets!$D$2:$D$2000,AH$1,Sets!$J$2:$J$2000,"N"))</f>
        <v>7.5</v>
      </c>
    </row>
    <row r="36" customFormat="false" ht="15" hidden="false" customHeight="false" outlineLevel="0" collapsed="false">
      <c r="A36" s="16" t="n">
        <v>46172</v>
      </c>
      <c r="B36" s="4" t="str">
        <f aca="false">IF(_xlfn.MAXIFS(Sets!$H$2:$H$2000,Sets!$A$2:$A$2000,$A36,Sets!$D$2:$D$2000,B$1,Sets!$J$2:$J$2000,"N")=0,"",_xlfn.MAXIFS(Sets!$H$2:$H$2000,Sets!$A$2:$A$2000,$A36,Sets!$D$2:$D$2000,B$1,Sets!$J$2:$J$2000,"N"))</f>
        <v/>
      </c>
      <c r="C36" s="4" t="str">
        <f aca="false">IF(_xlfn.MAXIFS(Sets!$H$2:$H$2000,Sets!$A$2:$A$2000,$A36,Sets!$D$2:$D$2000,C$1,Sets!$J$2:$J$2000,"N")=0,"",_xlfn.MAXIFS(Sets!$H$2:$H$2000,Sets!$A$2:$A$2000,$A36,Sets!$D$2:$D$2000,C$1,Sets!$J$2:$J$2000,"N"))</f>
        <v/>
      </c>
      <c r="D36" s="4" t="str">
        <f aca="false">IF(_xlfn.MAXIFS(Sets!$H$2:$H$2000,Sets!$A$2:$A$2000,$A36,Sets!$D$2:$D$2000,D$1,Sets!$J$2:$J$2000,"N")=0,"",_xlfn.MAXIFS(Sets!$H$2:$H$2000,Sets!$A$2:$A$2000,$A36,Sets!$D$2:$D$2000,D$1,Sets!$J$2:$J$2000,"N"))</f>
        <v/>
      </c>
      <c r="E36" s="4" t="str">
        <f aca="false">IF(_xlfn.MAXIFS(Sets!$H$2:$H$2000,Sets!$A$2:$A$2000,$A36,Sets!$D$2:$D$2000,E$1,Sets!$J$2:$J$2000,"N")=0,"",_xlfn.MAXIFS(Sets!$H$2:$H$2000,Sets!$A$2:$A$2000,$A36,Sets!$D$2:$D$2000,E$1,Sets!$J$2:$J$2000,"N"))</f>
        <v/>
      </c>
      <c r="F36" s="4" t="str">
        <f aca="false">IF(_xlfn.MAXIFS(Sets!$H$2:$H$2000,Sets!$A$2:$A$2000,$A36,Sets!$D$2:$D$2000,F$1,Sets!$J$2:$J$2000,"N")=0,"",_xlfn.MAXIFS(Sets!$H$2:$H$2000,Sets!$A$2:$A$2000,$A36,Sets!$D$2:$D$2000,F$1,Sets!$J$2:$J$2000,"N"))</f>
        <v/>
      </c>
      <c r="G36" s="4" t="str">
        <f aca="false">IF(_xlfn.MAXIFS(Sets!$H$2:$H$2000,Sets!$A$2:$A$2000,$A36,Sets!$D$2:$D$2000,G$1,Sets!$J$2:$J$2000,"N")=0,"",_xlfn.MAXIFS(Sets!$H$2:$H$2000,Sets!$A$2:$A$2000,$A36,Sets!$D$2:$D$2000,G$1,Sets!$J$2:$J$2000,"N"))</f>
        <v/>
      </c>
      <c r="H36" s="4" t="str">
        <f aca="false">IF(_xlfn.MAXIFS(Sets!$H$2:$H$2000,Sets!$A$2:$A$2000,$A36,Sets!$D$2:$D$2000,H$1,Sets!$J$2:$J$2000,"N")=0,"",_xlfn.MAXIFS(Sets!$H$2:$H$2000,Sets!$A$2:$A$2000,$A36,Sets!$D$2:$D$2000,H$1,Sets!$J$2:$J$2000,"N"))</f>
        <v/>
      </c>
      <c r="I36" s="4" t="str">
        <f aca="false">IF(_xlfn.MAXIFS(Sets!$H$2:$H$2000,Sets!$A$2:$A$2000,$A36,Sets!$D$2:$D$2000,I$1,Sets!$J$2:$J$2000,"N")=0,"",_xlfn.MAXIFS(Sets!$H$2:$H$2000,Sets!$A$2:$A$2000,$A36,Sets!$D$2:$D$2000,I$1,Sets!$J$2:$J$2000,"N"))</f>
        <v/>
      </c>
      <c r="J36" s="4" t="str">
        <f aca="false">IF(_xlfn.MAXIFS(Sets!$H$2:$H$2000,Sets!$A$2:$A$2000,$A36,Sets!$D$2:$D$2000,J$1,Sets!$J$2:$J$2000,"N")=0,"",_xlfn.MAXIFS(Sets!$H$2:$H$2000,Sets!$A$2:$A$2000,$A36,Sets!$D$2:$D$2000,J$1,Sets!$J$2:$J$2000,"N"))</f>
        <v/>
      </c>
      <c r="K36" s="4" t="str">
        <f aca="false">IF(_xlfn.MAXIFS(Sets!$H$2:$H$2000,Sets!$A$2:$A$2000,$A36,Sets!$D$2:$D$2000,K$1,Sets!$J$2:$J$2000,"N")=0,"",_xlfn.MAXIFS(Sets!$H$2:$H$2000,Sets!$A$2:$A$2000,$A36,Sets!$D$2:$D$2000,K$1,Sets!$J$2:$J$2000,"N"))</f>
        <v/>
      </c>
      <c r="L36" s="4" t="str">
        <f aca="false">IF(_xlfn.MAXIFS(Sets!$H$2:$H$2000,Sets!$A$2:$A$2000,$A36,Sets!$D$2:$D$2000,L$1,Sets!$J$2:$J$2000,"N")=0,"",_xlfn.MAXIFS(Sets!$H$2:$H$2000,Sets!$A$2:$A$2000,$A36,Sets!$D$2:$D$2000,L$1,Sets!$J$2:$J$2000,"N"))</f>
        <v/>
      </c>
      <c r="M36" s="4" t="str">
        <f aca="false">IF(_xlfn.MAXIFS(Sets!$H$2:$H$2000,Sets!$A$2:$A$2000,$A36,Sets!$D$2:$D$2000,M$1,Sets!$J$2:$J$2000,"N")=0,"",_xlfn.MAXIFS(Sets!$H$2:$H$2000,Sets!$A$2:$A$2000,$A36,Sets!$D$2:$D$2000,M$1,Sets!$J$2:$J$2000,"N"))</f>
        <v/>
      </c>
      <c r="N36" s="4" t="str">
        <f aca="false">IF(_xlfn.MAXIFS(Sets!$H$2:$H$2000,Sets!$A$2:$A$2000,$A36,Sets!$D$2:$D$2000,N$1,Sets!$J$2:$J$2000,"N")=0,"",_xlfn.MAXIFS(Sets!$H$2:$H$2000,Sets!$A$2:$A$2000,$A36,Sets!$D$2:$D$2000,N$1,Sets!$J$2:$J$2000,"N"))</f>
        <v/>
      </c>
      <c r="O36" s="4" t="str">
        <f aca="false">IF(_xlfn.MAXIFS(Sets!$H$2:$H$2000,Sets!$A$2:$A$2000,$A36,Sets!$D$2:$D$2000,O$1,Sets!$J$2:$J$2000,"N")=0,"",_xlfn.MAXIFS(Sets!$H$2:$H$2000,Sets!$A$2:$A$2000,$A36,Sets!$D$2:$D$2000,O$1,Sets!$J$2:$J$2000,"N"))</f>
        <v/>
      </c>
      <c r="P36" s="4" t="str">
        <f aca="false">IF(_xlfn.MAXIFS(Sets!$H$2:$H$2000,Sets!$A$2:$A$2000,$A36,Sets!$D$2:$D$2000,P$1,Sets!$J$2:$J$2000,"N")=0,"",_xlfn.MAXIFS(Sets!$H$2:$H$2000,Sets!$A$2:$A$2000,$A36,Sets!$D$2:$D$2000,P$1,Sets!$J$2:$J$2000,"N"))</f>
        <v/>
      </c>
      <c r="Q36" s="4" t="str">
        <f aca="false">IF(_xlfn.MAXIFS(Sets!$H$2:$H$2000,Sets!$A$2:$A$2000,$A36,Sets!$D$2:$D$2000,Q$1,Sets!$J$2:$J$2000,"N")=0,"",_xlfn.MAXIFS(Sets!$H$2:$H$2000,Sets!$A$2:$A$2000,$A36,Sets!$D$2:$D$2000,Q$1,Sets!$J$2:$J$2000,"N"))</f>
        <v/>
      </c>
      <c r="R36" s="4" t="n">
        <f aca="false">IF(_xlfn.MAXIFS(Sets!$H$2:$H$2000,Sets!$A$2:$A$2000,$A36,Sets!$D$2:$D$2000,R$1,Sets!$J$2:$J$2000,"N")=0,"",_xlfn.MAXIFS(Sets!$H$2:$H$2000,Sets!$A$2:$A$2000,$A36,Sets!$D$2:$D$2000,R$1,Sets!$J$2:$J$2000,"N"))</f>
        <v>22.5</v>
      </c>
      <c r="S36" s="4" t="str">
        <f aca="false">IF(_xlfn.MAXIFS(Sets!$H$2:$H$2000,Sets!$A$2:$A$2000,$A36,Sets!$D$2:$D$2000,S$1,Sets!$J$2:$J$2000,"N")=0,"",_xlfn.MAXIFS(Sets!$H$2:$H$2000,Sets!$A$2:$A$2000,$A36,Sets!$D$2:$D$2000,S$1,Sets!$J$2:$J$2000,"N"))</f>
        <v/>
      </c>
      <c r="T36" s="4" t="str">
        <f aca="false">IF(_xlfn.MAXIFS(Sets!$H$2:$H$2000,Sets!$A$2:$A$2000,$A36,Sets!$D$2:$D$2000,T$1,Sets!$J$2:$J$2000,"N")=0,"",_xlfn.MAXIFS(Sets!$H$2:$H$2000,Sets!$A$2:$A$2000,$A36,Sets!$D$2:$D$2000,T$1,Sets!$J$2:$J$2000,"N"))</f>
        <v/>
      </c>
      <c r="U36" s="4" t="str">
        <f aca="false">IF(_xlfn.MAXIFS(Sets!$H$2:$H$2000,Sets!$A$2:$A$2000,$A36,Sets!$D$2:$D$2000,U$1,Sets!$J$2:$J$2000,"N")=0,"",_xlfn.MAXIFS(Sets!$H$2:$H$2000,Sets!$A$2:$A$2000,$A36,Sets!$D$2:$D$2000,U$1,Sets!$J$2:$J$2000,"N"))</f>
        <v/>
      </c>
      <c r="V36" s="4" t="str">
        <f aca="false">IF(_xlfn.MAXIFS(Sets!$H$2:$H$2000,Sets!$A$2:$A$2000,$A36,Sets!$D$2:$D$2000,V$1,Sets!$J$2:$J$2000,"N")=0,"",_xlfn.MAXIFS(Sets!$H$2:$H$2000,Sets!$A$2:$A$2000,$A36,Sets!$D$2:$D$2000,V$1,Sets!$J$2:$J$2000,"N"))</f>
        <v/>
      </c>
      <c r="W36" s="4" t="n">
        <f aca="false">IF(_xlfn.MAXIFS(Sets!$H$2:$H$2000,Sets!$A$2:$A$2000,$A36,Sets!$D$2:$D$2000,W$1,Sets!$J$2:$J$2000,"N")=0,"",_xlfn.MAXIFS(Sets!$H$2:$H$2000,Sets!$A$2:$A$2000,$A36,Sets!$D$2:$D$2000,W$1,Sets!$J$2:$J$2000,"N"))</f>
        <v>10</v>
      </c>
      <c r="X36" s="4" t="str">
        <f aca="false">IF(_xlfn.MAXIFS(Sets!$H$2:$H$2000,Sets!$A$2:$A$2000,$A36,Sets!$D$2:$D$2000,X$1,Sets!$J$2:$J$2000,"N")=0,"",_xlfn.MAXIFS(Sets!$H$2:$H$2000,Sets!$A$2:$A$2000,$A36,Sets!$D$2:$D$2000,X$1,Sets!$J$2:$J$2000,"N"))</f>
        <v/>
      </c>
      <c r="Y36" s="4" t="str">
        <f aca="false">IF(_xlfn.MAXIFS(Sets!$H$2:$H$2000,Sets!$A$2:$A$2000,$A36,Sets!$D$2:$D$2000,Y$1,Sets!$J$2:$J$2000,"N")=0,"",_xlfn.MAXIFS(Sets!$H$2:$H$2000,Sets!$A$2:$A$2000,$A36,Sets!$D$2:$D$2000,Y$1,Sets!$J$2:$J$2000,"N"))</f>
        <v/>
      </c>
      <c r="Z36" s="4" t="str">
        <f aca="false">IF(_xlfn.MAXIFS(Sets!$H$2:$H$2000,Sets!$A$2:$A$2000,$A36,Sets!$D$2:$D$2000,Z$1,Sets!$J$2:$J$2000,"N")=0,"",_xlfn.MAXIFS(Sets!$H$2:$H$2000,Sets!$A$2:$A$2000,$A36,Sets!$D$2:$D$2000,Z$1,Sets!$J$2:$J$2000,"N"))</f>
        <v/>
      </c>
      <c r="AA36" s="4" t="str">
        <f aca="false">IF(_xlfn.MAXIFS(Sets!$H$2:$H$2000,Sets!$A$2:$A$2000,$A36,Sets!$D$2:$D$2000,AA$1,Sets!$J$2:$J$2000,"N")=0,"",_xlfn.MAXIFS(Sets!$H$2:$H$2000,Sets!$A$2:$A$2000,$A36,Sets!$D$2:$D$2000,AA$1,Sets!$J$2:$J$2000,"N"))</f>
        <v/>
      </c>
      <c r="AB36" s="4" t="str">
        <f aca="false">IF(_xlfn.MAXIFS(Sets!$H$2:$H$2000,Sets!$A$2:$A$2000,$A36,Sets!$D$2:$D$2000,AB$1,Sets!$J$2:$J$2000,"N")=0,"",_xlfn.MAXIFS(Sets!$H$2:$H$2000,Sets!$A$2:$A$2000,$A36,Sets!$D$2:$D$2000,AB$1,Sets!$J$2:$J$2000,"N"))</f>
        <v/>
      </c>
      <c r="AC36" s="4" t="str">
        <f aca="false">IF(_xlfn.MAXIFS(Sets!$H$2:$H$2000,Sets!$A$2:$A$2000,$A36,Sets!$D$2:$D$2000,AC$1,Sets!$J$2:$J$2000,"N")=0,"",_xlfn.MAXIFS(Sets!$H$2:$H$2000,Sets!$A$2:$A$2000,$A36,Sets!$D$2:$D$2000,AC$1,Sets!$J$2:$J$2000,"N"))</f>
        <v/>
      </c>
      <c r="AD36" s="4" t="str">
        <f aca="false">IF(_xlfn.MAXIFS(Sets!$H$2:$H$2000,Sets!$A$2:$A$2000,$A36,Sets!$D$2:$D$2000,AD$1,Sets!$J$2:$J$2000,"N")=0,"",_xlfn.MAXIFS(Sets!$H$2:$H$2000,Sets!$A$2:$A$2000,$A36,Sets!$D$2:$D$2000,AD$1,Sets!$J$2:$J$2000,"N"))</f>
        <v/>
      </c>
      <c r="AE36" s="4" t="str">
        <f aca="false">IF(_xlfn.MAXIFS(Sets!$H$2:$H$2000,Sets!$A$2:$A$2000,$A36,Sets!$D$2:$D$2000,AE$1,Sets!$J$2:$J$2000,"N")=0,"",_xlfn.MAXIFS(Sets!$H$2:$H$2000,Sets!$A$2:$A$2000,$A36,Sets!$D$2:$D$2000,AE$1,Sets!$J$2:$J$2000,"N"))</f>
        <v/>
      </c>
      <c r="AF36" s="4" t="str">
        <f aca="false">IF(_xlfn.MAXIFS(Sets!$H$2:$H$2000,Sets!$A$2:$A$2000,$A36,Sets!$D$2:$D$2000,AF$1,Sets!$J$2:$J$2000,"N")=0,"",_xlfn.MAXIFS(Sets!$H$2:$H$2000,Sets!$A$2:$A$2000,$A36,Sets!$D$2:$D$2000,AF$1,Sets!$J$2:$J$2000,"N"))</f>
        <v/>
      </c>
      <c r="AG36" s="4" t="str">
        <f aca="false">IF(_xlfn.MAXIFS(Sets!$H$2:$H$2000,Sets!$A$2:$A$2000,$A36,Sets!$D$2:$D$2000,AG$1,Sets!$J$2:$J$2000,"N")=0,"",_xlfn.MAXIFS(Sets!$H$2:$H$2000,Sets!$A$2:$A$2000,$A36,Sets!$D$2:$D$2000,AG$1,Sets!$J$2:$J$2000,"N"))</f>
        <v/>
      </c>
      <c r="AH36" s="4" t="str">
        <f aca="false">IF(_xlfn.MAXIFS(Sets!$H$2:$H$2000,Sets!$A$2:$A$2000,$A36,Sets!$D$2:$D$2000,AH$1,Sets!$J$2:$J$2000,"N")=0,"",_xlfn.MAXIFS(Sets!$H$2:$H$2000,Sets!$A$2:$A$2000,$A36,Sets!$D$2:$D$2000,AH$1,Sets!$J$2:$J$2000,"N"))</f>
        <v/>
      </c>
    </row>
    <row r="37" customFormat="false" ht="15" hidden="false" customHeight="false" outlineLevel="0" collapsed="false">
      <c r="A37" s="16" t="n">
        <v>46177</v>
      </c>
      <c r="B37" s="4" t="n">
        <f aca="false">IF(_xlfn.MAXIFS(Sets!$H$2:$H$2000,Sets!$A$2:$A$2000,$A37,Sets!$D$2:$D$2000,B$1,Sets!$J$2:$J$2000,"N")=0,"",_xlfn.MAXIFS(Sets!$H$2:$H$2000,Sets!$A$2:$A$2000,$A37,Sets!$D$2:$D$2000,B$1,Sets!$J$2:$J$2000,"N"))</f>
        <v>30</v>
      </c>
      <c r="C37" s="4" t="str">
        <f aca="false">IF(_xlfn.MAXIFS(Sets!$H$2:$H$2000,Sets!$A$2:$A$2000,$A37,Sets!$D$2:$D$2000,C$1,Sets!$J$2:$J$2000,"N")=0,"",_xlfn.MAXIFS(Sets!$H$2:$H$2000,Sets!$A$2:$A$2000,$A37,Sets!$D$2:$D$2000,C$1,Sets!$J$2:$J$2000,"N"))</f>
        <v/>
      </c>
      <c r="D37" s="4" t="str">
        <f aca="false">IF(_xlfn.MAXIFS(Sets!$H$2:$H$2000,Sets!$A$2:$A$2000,$A37,Sets!$D$2:$D$2000,D$1,Sets!$J$2:$J$2000,"N")=0,"",_xlfn.MAXIFS(Sets!$H$2:$H$2000,Sets!$A$2:$A$2000,$A37,Sets!$D$2:$D$2000,D$1,Sets!$J$2:$J$2000,"N"))</f>
        <v/>
      </c>
      <c r="E37" s="4" t="n">
        <f aca="false">IF(_xlfn.MAXIFS(Sets!$H$2:$H$2000,Sets!$A$2:$A$2000,$A37,Sets!$D$2:$D$2000,E$1,Sets!$J$2:$J$2000,"N")=0,"",_xlfn.MAXIFS(Sets!$H$2:$H$2000,Sets!$A$2:$A$2000,$A37,Sets!$D$2:$D$2000,E$1,Sets!$J$2:$J$2000,"N"))</f>
        <v>100</v>
      </c>
      <c r="F37" s="4" t="str">
        <f aca="false">IF(_xlfn.MAXIFS(Sets!$H$2:$H$2000,Sets!$A$2:$A$2000,$A37,Sets!$D$2:$D$2000,F$1,Sets!$J$2:$J$2000,"N")=0,"",_xlfn.MAXIFS(Sets!$H$2:$H$2000,Sets!$A$2:$A$2000,$A37,Sets!$D$2:$D$2000,F$1,Sets!$J$2:$J$2000,"N"))</f>
        <v/>
      </c>
      <c r="G37" s="4" t="str">
        <f aca="false">IF(_xlfn.MAXIFS(Sets!$H$2:$H$2000,Sets!$A$2:$A$2000,$A37,Sets!$D$2:$D$2000,G$1,Sets!$J$2:$J$2000,"N")=0,"",_xlfn.MAXIFS(Sets!$H$2:$H$2000,Sets!$A$2:$A$2000,$A37,Sets!$D$2:$D$2000,G$1,Sets!$J$2:$J$2000,"N"))</f>
        <v/>
      </c>
      <c r="H37" s="4" t="str">
        <f aca="false">IF(_xlfn.MAXIFS(Sets!$H$2:$H$2000,Sets!$A$2:$A$2000,$A37,Sets!$D$2:$D$2000,H$1,Sets!$J$2:$J$2000,"N")=0,"",_xlfn.MAXIFS(Sets!$H$2:$H$2000,Sets!$A$2:$A$2000,$A37,Sets!$D$2:$D$2000,H$1,Sets!$J$2:$J$2000,"N"))</f>
        <v/>
      </c>
      <c r="I37" s="4" t="str">
        <f aca="false">IF(_xlfn.MAXIFS(Sets!$H$2:$H$2000,Sets!$A$2:$A$2000,$A37,Sets!$D$2:$D$2000,I$1,Sets!$J$2:$J$2000,"N")=0,"",_xlfn.MAXIFS(Sets!$H$2:$H$2000,Sets!$A$2:$A$2000,$A37,Sets!$D$2:$D$2000,I$1,Sets!$J$2:$J$2000,"N"))</f>
        <v/>
      </c>
      <c r="J37" s="4" t="str">
        <f aca="false">IF(_xlfn.MAXIFS(Sets!$H$2:$H$2000,Sets!$A$2:$A$2000,$A37,Sets!$D$2:$D$2000,J$1,Sets!$J$2:$J$2000,"N")=0,"",_xlfn.MAXIFS(Sets!$H$2:$H$2000,Sets!$A$2:$A$2000,$A37,Sets!$D$2:$D$2000,J$1,Sets!$J$2:$J$2000,"N"))</f>
        <v/>
      </c>
      <c r="K37" s="4" t="str">
        <f aca="false">IF(_xlfn.MAXIFS(Sets!$H$2:$H$2000,Sets!$A$2:$A$2000,$A37,Sets!$D$2:$D$2000,K$1,Sets!$J$2:$J$2000,"N")=0,"",_xlfn.MAXIFS(Sets!$H$2:$H$2000,Sets!$A$2:$A$2000,$A37,Sets!$D$2:$D$2000,K$1,Sets!$J$2:$J$2000,"N"))</f>
        <v/>
      </c>
      <c r="L37" s="4" t="n">
        <f aca="false">IF(_xlfn.MAXIFS(Sets!$H$2:$H$2000,Sets!$A$2:$A$2000,$A37,Sets!$D$2:$D$2000,L$1,Sets!$J$2:$J$2000,"N")=0,"",_xlfn.MAXIFS(Sets!$H$2:$H$2000,Sets!$A$2:$A$2000,$A37,Sets!$D$2:$D$2000,L$1,Sets!$J$2:$J$2000,"N"))</f>
        <v>10</v>
      </c>
      <c r="M37" s="4" t="str">
        <f aca="false">IF(_xlfn.MAXIFS(Sets!$H$2:$H$2000,Sets!$A$2:$A$2000,$A37,Sets!$D$2:$D$2000,M$1,Sets!$J$2:$J$2000,"N")=0,"",_xlfn.MAXIFS(Sets!$H$2:$H$2000,Sets!$A$2:$A$2000,$A37,Sets!$D$2:$D$2000,M$1,Sets!$J$2:$J$2000,"N"))</f>
        <v/>
      </c>
      <c r="N37" s="4" t="str">
        <f aca="false">IF(_xlfn.MAXIFS(Sets!$H$2:$H$2000,Sets!$A$2:$A$2000,$A37,Sets!$D$2:$D$2000,N$1,Sets!$J$2:$J$2000,"N")=0,"",_xlfn.MAXIFS(Sets!$H$2:$H$2000,Sets!$A$2:$A$2000,$A37,Sets!$D$2:$D$2000,N$1,Sets!$J$2:$J$2000,"N"))</f>
        <v/>
      </c>
      <c r="O37" s="4" t="str">
        <f aca="false">IF(_xlfn.MAXIFS(Sets!$H$2:$H$2000,Sets!$A$2:$A$2000,$A37,Sets!$D$2:$D$2000,O$1,Sets!$J$2:$J$2000,"N")=0,"",_xlfn.MAXIFS(Sets!$H$2:$H$2000,Sets!$A$2:$A$2000,$A37,Sets!$D$2:$D$2000,O$1,Sets!$J$2:$J$2000,"N"))</f>
        <v/>
      </c>
      <c r="P37" s="4" t="str">
        <f aca="false">IF(_xlfn.MAXIFS(Sets!$H$2:$H$2000,Sets!$A$2:$A$2000,$A37,Sets!$D$2:$D$2000,P$1,Sets!$J$2:$J$2000,"N")=0,"",_xlfn.MAXIFS(Sets!$H$2:$H$2000,Sets!$A$2:$A$2000,$A37,Sets!$D$2:$D$2000,P$1,Sets!$J$2:$J$2000,"N"))</f>
        <v/>
      </c>
      <c r="Q37" s="4" t="str">
        <f aca="false">IF(_xlfn.MAXIFS(Sets!$H$2:$H$2000,Sets!$A$2:$A$2000,$A37,Sets!$D$2:$D$2000,Q$1,Sets!$J$2:$J$2000,"N")=0,"",_xlfn.MAXIFS(Sets!$H$2:$H$2000,Sets!$A$2:$A$2000,$A37,Sets!$D$2:$D$2000,Q$1,Sets!$J$2:$J$2000,"N"))</f>
        <v/>
      </c>
      <c r="R37" s="4" t="n">
        <f aca="false">IF(_xlfn.MAXIFS(Sets!$H$2:$H$2000,Sets!$A$2:$A$2000,$A37,Sets!$D$2:$D$2000,R$1,Sets!$J$2:$J$2000,"N")=0,"",_xlfn.MAXIFS(Sets!$H$2:$H$2000,Sets!$A$2:$A$2000,$A37,Sets!$D$2:$D$2000,R$1,Sets!$J$2:$J$2000,"N"))</f>
        <v>22.5</v>
      </c>
      <c r="S37" s="4" t="str">
        <f aca="false">IF(_xlfn.MAXIFS(Sets!$H$2:$H$2000,Sets!$A$2:$A$2000,$A37,Sets!$D$2:$D$2000,S$1,Sets!$J$2:$J$2000,"N")=0,"",_xlfn.MAXIFS(Sets!$H$2:$H$2000,Sets!$A$2:$A$2000,$A37,Sets!$D$2:$D$2000,S$1,Sets!$J$2:$J$2000,"N"))</f>
        <v/>
      </c>
      <c r="T37" s="4" t="str">
        <f aca="false">IF(_xlfn.MAXIFS(Sets!$H$2:$H$2000,Sets!$A$2:$A$2000,$A37,Sets!$D$2:$D$2000,T$1,Sets!$J$2:$J$2000,"N")=0,"",_xlfn.MAXIFS(Sets!$H$2:$H$2000,Sets!$A$2:$A$2000,$A37,Sets!$D$2:$D$2000,T$1,Sets!$J$2:$J$2000,"N"))</f>
        <v/>
      </c>
      <c r="U37" s="4" t="str">
        <f aca="false">IF(_xlfn.MAXIFS(Sets!$H$2:$H$2000,Sets!$A$2:$A$2000,$A37,Sets!$D$2:$D$2000,U$1,Sets!$J$2:$J$2000,"N")=0,"",_xlfn.MAXIFS(Sets!$H$2:$H$2000,Sets!$A$2:$A$2000,$A37,Sets!$D$2:$D$2000,U$1,Sets!$J$2:$J$2000,"N"))</f>
        <v/>
      </c>
      <c r="V37" s="4" t="str">
        <f aca="false">IF(_xlfn.MAXIFS(Sets!$H$2:$H$2000,Sets!$A$2:$A$2000,$A37,Sets!$D$2:$D$2000,V$1,Sets!$J$2:$J$2000,"N")=0,"",_xlfn.MAXIFS(Sets!$H$2:$H$2000,Sets!$A$2:$A$2000,$A37,Sets!$D$2:$D$2000,V$1,Sets!$J$2:$J$2000,"N"))</f>
        <v/>
      </c>
      <c r="W37" s="4" t="str">
        <f aca="false">IF(_xlfn.MAXIFS(Sets!$H$2:$H$2000,Sets!$A$2:$A$2000,$A37,Sets!$D$2:$D$2000,W$1,Sets!$J$2:$J$2000,"N")=0,"",_xlfn.MAXIFS(Sets!$H$2:$H$2000,Sets!$A$2:$A$2000,$A37,Sets!$D$2:$D$2000,W$1,Sets!$J$2:$J$2000,"N"))</f>
        <v/>
      </c>
      <c r="X37" s="4" t="str">
        <f aca="false">IF(_xlfn.MAXIFS(Sets!$H$2:$H$2000,Sets!$A$2:$A$2000,$A37,Sets!$D$2:$D$2000,X$1,Sets!$J$2:$J$2000,"N")=0,"",_xlfn.MAXIFS(Sets!$H$2:$H$2000,Sets!$A$2:$A$2000,$A37,Sets!$D$2:$D$2000,X$1,Sets!$J$2:$J$2000,"N"))</f>
        <v/>
      </c>
      <c r="Y37" s="4" t="str">
        <f aca="false">IF(_xlfn.MAXIFS(Sets!$H$2:$H$2000,Sets!$A$2:$A$2000,$A37,Sets!$D$2:$D$2000,Y$1,Sets!$J$2:$J$2000,"N")=0,"",_xlfn.MAXIFS(Sets!$H$2:$H$2000,Sets!$A$2:$A$2000,$A37,Sets!$D$2:$D$2000,Y$1,Sets!$J$2:$J$2000,"N"))</f>
        <v/>
      </c>
      <c r="Z37" s="4" t="str">
        <f aca="false">IF(_xlfn.MAXIFS(Sets!$H$2:$H$2000,Sets!$A$2:$A$2000,$A37,Sets!$D$2:$D$2000,Z$1,Sets!$J$2:$J$2000,"N")=0,"",_xlfn.MAXIFS(Sets!$H$2:$H$2000,Sets!$A$2:$A$2000,$A37,Sets!$D$2:$D$2000,Z$1,Sets!$J$2:$J$2000,"N"))</f>
        <v/>
      </c>
      <c r="AA37" s="4" t="str">
        <f aca="false">IF(_xlfn.MAXIFS(Sets!$H$2:$H$2000,Sets!$A$2:$A$2000,$A37,Sets!$D$2:$D$2000,AA$1,Sets!$J$2:$J$2000,"N")=0,"",_xlfn.MAXIFS(Sets!$H$2:$H$2000,Sets!$A$2:$A$2000,$A37,Sets!$D$2:$D$2000,AA$1,Sets!$J$2:$J$2000,"N"))</f>
        <v/>
      </c>
      <c r="AB37" s="4" t="str">
        <f aca="false">IF(_xlfn.MAXIFS(Sets!$H$2:$H$2000,Sets!$A$2:$A$2000,$A37,Sets!$D$2:$D$2000,AB$1,Sets!$J$2:$J$2000,"N")=0,"",_xlfn.MAXIFS(Sets!$H$2:$H$2000,Sets!$A$2:$A$2000,$A37,Sets!$D$2:$D$2000,AB$1,Sets!$J$2:$J$2000,"N"))</f>
        <v/>
      </c>
      <c r="AC37" s="4" t="str">
        <f aca="false">IF(_xlfn.MAXIFS(Sets!$H$2:$H$2000,Sets!$A$2:$A$2000,$A37,Sets!$D$2:$D$2000,AC$1,Sets!$J$2:$J$2000,"N")=0,"",_xlfn.MAXIFS(Sets!$H$2:$H$2000,Sets!$A$2:$A$2000,$A37,Sets!$D$2:$D$2000,AC$1,Sets!$J$2:$J$2000,"N"))</f>
        <v/>
      </c>
      <c r="AD37" s="4" t="str">
        <f aca="false">IF(_xlfn.MAXIFS(Sets!$H$2:$H$2000,Sets!$A$2:$A$2000,$A37,Sets!$D$2:$D$2000,AD$1,Sets!$J$2:$J$2000,"N")=0,"",_xlfn.MAXIFS(Sets!$H$2:$H$2000,Sets!$A$2:$A$2000,$A37,Sets!$D$2:$D$2000,AD$1,Sets!$J$2:$J$2000,"N"))</f>
        <v/>
      </c>
      <c r="AE37" s="4" t="str">
        <f aca="false">IF(_xlfn.MAXIFS(Sets!$H$2:$H$2000,Sets!$A$2:$A$2000,$A37,Sets!$D$2:$D$2000,AE$1,Sets!$J$2:$J$2000,"N")=0,"",_xlfn.MAXIFS(Sets!$H$2:$H$2000,Sets!$A$2:$A$2000,$A37,Sets!$D$2:$D$2000,AE$1,Sets!$J$2:$J$2000,"N"))</f>
        <v/>
      </c>
      <c r="AF37" s="4" t="str">
        <f aca="false">IF(_xlfn.MAXIFS(Sets!$H$2:$H$2000,Sets!$A$2:$A$2000,$A37,Sets!$D$2:$D$2000,AF$1,Sets!$J$2:$J$2000,"N")=0,"",_xlfn.MAXIFS(Sets!$H$2:$H$2000,Sets!$A$2:$A$2000,$A37,Sets!$D$2:$D$2000,AF$1,Sets!$J$2:$J$2000,"N"))</f>
        <v/>
      </c>
      <c r="AG37" s="4" t="str">
        <f aca="false">IF(_xlfn.MAXIFS(Sets!$H$2:$H$2000,Sets!$A$2:$A$2000,$A37,Sets!$D$2:$D$2000,AG$1,Sets!$J$2:$J$2000,"N")=0,"",_xlfn.MAXIFS(Sets!$H$2:$H$2000,Sets!$A$2:$A$2000,$A37,Sets!$D$2:$D$2000,AG$1,Sets!$J$2:$J$2000,"N"))</f>
        <v/>
      </c>
      <c r="AH37" s="4" t="str">
        <f aca="false">IF(_xlfn.MAXIFS(Sets!$H$2:$H$2000,Sets!$A$2:$A$2000,$A37,Sets!$D$2:$D$2000,AH$1,Sets!$J$2:$J$2000,"N")=0,"",_xlfn.MAXIFS(Sets!$H$2:$H$2000,Sets!$A$2:$A$2000,$A37,Sets!$D$2:$D$2000,AH$1,Sets!$J$2:$J$2000,"N"))</f>
        <v/>
      </c>
    </row>
    <row r="38" customFormat="false" ht="15" hidden="false" customHeight="false" outlineLevel="0" collapsed="false">
      <c r="A38" s="16" t="n">
        <v>46180</v>
      </c>
      <c r="B38" s="4" t="str">
        <f aca="false">IF(_xlfn.MAXIFS(Sets!$H$2:$H$2000,Sets!$A$2:$A$2000,$A38,Sets!$D$2:$D$2000,B$1,Sets!$J$2:$J$2000,"N")=0,"",_xlfn.MAXIFS(Sets!$H$2:$H$2000,Sets!$A$2:$A$2000,$A38,Sets!$D$2:$D$2000,B$1,Sets!$J$2:$J$2000,"N"))</f>
        <v/>
      </c>
      <c r="C38" s="4" t="str">
        <f aca="false">IF(_xlfn.MAXIFS(Sets!$H$2:$H$2000,Sets!$A$2:$A$2000,$A38,Sets!$D$2:$D$2000,C$1,Sets!$J$2:$J$2000,"N")=0,"",_xlfn.MAXIFS(Sets!$H$2:$H$2000,Sets!$A$2:$A$2000,$A38,Sets!$D$2:$D$2000,C$1,Sets!$J$2:$J$2000,"N"))</f>
        <v/>
      </c>
      <c r="D38" s="4" t="str">
        <f aca="false">IF(_xlfn.MAXIFS(Sets!$H$2:$H$2000,Sets!$A$2:$A$2000,$A38,Sets!$D$2:$D$2000,D$1,Sets!$J$2:$J$2000,"N")=0,"",_xlfn.MAXIFS(Sets!$H$2:$H$2000,Sets!$A$2:$A$2000,$A38,Sets!$D$2:$D$2000,D$1,Sets!$J$2:$J$2000,"N"))</f>
        <v/>
      </c>
      <c r="E38" s="4" t="str">
        <f aca="false">IF(_xlfn.MAXIFS(Sets!$H$2:$H$2000,Sets!$A$2:$A$2000,$A38,Sets!$D$2:$D$2000,E$1,Sets!$J$2:$J$2000,"N")=0,"",_xlfn.MAXIFS(Sets!$H$2:$H$2000,Sets!$A$2:$A$2000,$A38,Sets!$D$2:$D$2000,E$1,Sets!$J$2:$J$2000,"N"))</f>
        <v/>
      </c>
      <c r="F38" s="4" t="str">
        <f aca="false">IF(_xlfn.MAXIFS(Sets!$H$2:$H$2000,Sets!$A$2:$A$2000,$A38,Sets!$D$2:$D$2000,F$1,Sets!$J$2:$J$2000,"N")=0,"",_xlfn.MAXIFS(Sets!$H$2:$H$2000,Sets!$A$2:$A$2000,$A38,Sets!$D$2:$D$2000,F$1,Sets!$J$2:$J$2000,"N"))</f>
        <v/>
      </c>
      <c r="G38" s="4" t="str">
        <f aca="false">IF(_xlfn.MAXIFS(Sets!$H$2:$H$2000,Sets!$A$2:$A$2000,$A38,Sets!$D$2:$D$2000,G$1,Sets!$J$2:$J$2000,"N")=0,"",_xlfn.MAXIFS(Sets!$H$2:$H$2000,Sets!$A$2:$A$2000,$A38,Sets!$D$2:$D$2000,G$1,Sets!$J$2:$J$2000,"N"))</f>
        <v/>
      </c>
      <c r="H38" s="4" t="str">
        <f aca="false">IF(_xlfn.MAXIFS(Sets!$H$2:$H$2000,Sets!$A$2:$A$2000,$A38,Sets!$D$2:$D$2000,H$1,Sets!$J$2:$J$2000,"N")=0,"",_xlfn.MAXIFS(Sets!$H$2:$H$2000,Sets!$A$2:$A$2000,$A38,Sets!$D$2:$D$2000,H$1,Sets!$J$2:$J$2000,"N"))</f>
        <v/>
      </c>
      <c r="I38" s="4" t="str">
        <f aca="false">IF(_xlfn.MAXIFS(Sets!$H$2:$H$2000,Sets!$A$2:$A$2000,$A38,Sets!$D$2:$D$2000,I$1,Sets!$J$2:$J$2000,"N")=0,"",_xlfn.MAXIFS(Sets!$H$2:$H$2000,Sets!$A$2:$A$2000,$A38,Sets!$D$2:$D$2000,I$1,Sets!$J$2:$J$2000,"N"))</f>
        <v/>
      </c>
      <c r="J38" s="4" t="str">
        <f aca="false">IF(_xlfn.MAXIFS(Sets!$H$2:$H$2000,Sets!$A$2:$A$2000,$A38,Sets!$D$2:$D$2000,J$1,Sets!$J$2:$J$2000,"N")=0,"",_xlfn.MAXIFS(Sets!$H$2:$H$2000,Sets!$A$2:$A$2000,$A38,Sets!$D$2:$D$2000,J$1,Sets!$J$2:$J$2000,"N"))</f>
        <v/>
      </c>
      <c r="K38" s="4" t="str">
        <f aca="false">IF(_xlfn.MAXIFS(Sets!$H$2:$H$2000,Sets!$A$2:$A$2000,$A38,Sets!$D$2:$D$2000,K$1,Sets!$J$2:$J$2000,"N")=0,"",_xlfn.MAXIFS(Sets!$H$2:$H$2000,Sets!$A$2:$A$2000,$A38,Sets!$D$2:$D$2000,K$1,Sets!$J$2:$J$2000,"N"))</f>
        <v/>
      </c>
      <c r="L38" s="4" t="str">
        <f aca="false">IF(_xlfn.MAXIFS(Sets!$H$2:$H$2000,Sets!$A$2:$A$2000,$A38,Sets!$D$2:$D$2000,L$1,Sets!$J$2:$J$2000,"N")=0,"",_xlfn.MAXIFS(Sets!$H$2:$H$2000,Sets!$A$2:$A$2000,$A38,Sets!$D$2:$D$2000,L$1,Sets!$J$2:$J$2000,"N"))</f>
        <v/>
      </c>
      <c r="M38" s="4" t="str">
        <f aca="false">IF(_xlfn.MAXIFS(Sets!$H$2:$H$2000,Sets!$A$2:$A$2000,$A38,Sets!$D$2:$D$2000,M$1,Sets!$J$2:$J$2000,"N")=0,"",_xlfn.MAXIFS(Sets!$H$2:$H$2000,Sets!$A$2:$A$2000,$A38,Sets!$D$2:$D$2000,M$1,Sets!$J$2:$J$2000,"N"))</f>
        <v/>
      </c>
      <c r="N38" s="4" t="str">
        <f aca="false">IF(_xlfn.MAXIFS(Sets!$H$2:$H$2000,Sets!$A$2:$A$2000,$A38,Sets!$D$2:$D$2000,N$1,Sets!$J$2:$J$2000,"N")=0,"",_xlfn.MAXIFS(Sets!$H$2:$H$2000,Sets!$A$2:$A$2000,$A38,Sets!$D$2:$D$2000,N$1,Sets!$J$2:$J$2000,"N"))</f>
        <v/>
      </c>
      <c r="O38" s="4" t="str">
        <f aca="false">IF(_xlfn.MAXIFS(Sets!$H$2:$H$2000,Sets!$A$2:$A$2000,$A38,Sets!$D$2:$D$2000,O$1,Sets!$J$2:$J$2000,"N")=0,"",_xlfn.MAXIFS(Sets!$H$2:$H$2000,Sets!$A$2:$A$2000,$A38,Sets!$D$2:$D$2000,O$1,Sets!$J$2:$J$2000,"N"))</f>
        <v/>
      </c>
      <c r="P38" s="4" t="str">
        <f aca="false">IF(_xlfn.MAXIFS(Sets!$H$2:$H$2000,Sets!$A$2:$A$2000,$A38,Sets!$D$2:$D$2000,P$1,Sets!$J$2:$J$2000,"N")=0,"",_xlfn.MAXIFS(Sets!$H$2:$H$2000,Sets!$A$2:$A$2000,$A38,Sets!$D$2:$D$2000,P$1,Sets!$J$2:$J$2000,"N"))</f>
        <v/>
      </c>
      <c r="Q38" s="4" t="str">
        <f aca="false">IF(_xlfn.MAXIFS(Sets!$H$2:$H$2000,Sets!$A$2:$A$2000,$A38,Sets!$D$2:$D$2000,Q$1,Sets!$J$2:$J$2000,"N")=0,"",_xlfn.MAXIFS(Sets!$H$2:$H$2000,Sets!$A$2:$A$2000,$A38,Sets!$D$2:$D$2000,Q$1,Sets!$J$2:$J$2000,"N"))</f>
        <v/>
      </c>
      <c r="R38" s="4" t="str">
        <f aca="false">IF(_xlfn.MAXIFS(Sets!$H$2:$H$2000,Sets!$A$2:$A$2000,$A38,Sets!$D$2:$D$2000,R$1,Sets!$J$2:$J$2000,"N")=0,"",_xlfn.MAXIFS(Sets!$H$2:$H$2000,Sets!$A$2:$A$2000,$A38,Sets!$D$2:$D$2000,R$1,Sets!$J$2:$J$2000,"N"))</f>
        <v/>
      </c>
      <c r="S38" s="4" t="str">
        <f aca="false">IF(_xlfn.MAXIFS(Sets!$H$2:$H$2000,Sets!$A$2:$A$2000,$A38,Sets!$D$2:$D$2000,S$1,Sets!$J$2:$J$2000,"N")=0,"",_xlfn.MAXIFS(Sets!$H$2:$H$2000,Sets!$A$2:$A$2000,$A38,Sets!$D$2:$D$2000,S$1,Sets!$J$2:$J$2000,"N"))</f>
        <v/>
      </c>
      <c r="T38" s="4" t="str">
        <f aca="false">IF(_xlfn.MAXIFS(Sets!$H$2:$H$2000,Sets!$A$2:$A$2000,$A38,Sets!$D$2:$D$2000,T$1,Sets!$J$2:$J$2000,"N")=0,"",_xlfn.MAXIFS(Sets!$H$2:$H$2000,Sets!$A$2:$A$2000,$A38,Sets!$D$2:$D$2000,T$1,Sets!$J$2:$J$2000,"N"))</f>
        <v/>
      </c>
      <c r="U38" s="4" t="str">
        <f aca="false">IF(_xlfn.MAXIFS(Sets!$H$2:$H$2000,Sets!$A$2:$A$2000,$A38,Sets!$D$2:$D$2000,U$1,Sets!$J$2:$J$2000,"N")=0,"",_xlfn.MAXIFS(Sets!$H$2:$H$2000,Sets!$A$2:$A$2000,$A38,Sets!$D$2:$D$2000,U$1,Sets!$J$2:$J$2000,"N"))</f>
        <v/>
      </c>
      <c r="V38" s="4" t="str">
        <f aca="false">IF(_xlfn.MAXIFS(Sets!$H$2:$H$2000,Sets!$A$2:$A$2000,$A38,Sets!$D$2:$D$2000,V$1,Sets!$J$2:$J$2000,"N")=0,"",_xlfn.MAXIFS(Sets!$H$2:$H$2000,Sets!$A$2:$A$2000,$A38,Sets!$D$2:$D$2000,V$1,Sets!$J$2:$J$2000,"N"))</f>
        <v/>
      </c>
      <c r="W38" s="4" t="str">
        <f aca="false">IF(_xlfn.MAXIFS(Sets!$H$2:$H$2000,Sets!$A$2:$A$2000,$A38,Sets!$D$2:$D$2000,W$1,Sets!$J$2:$J$2000,"N")=0,"",_xlfn.MAXIFS(Sets!$H$2:$H$2000,Sets!$A$2:$A$2000,$A38,Sets!$D$2:$D$2000,W$1,Sets!$J$2:$J$2000,"N"))</f>
        <v/>
      </c>
      <c r="X38" s="4" t="str">
        <f aca="false">IF(_xlfn.MAXIFS(Sets!$H$2:$H$2000,Sets!$A$2:$A$2000,$A38,Sets!$D$2:$D$2000,X$1,Sets!$J$2:$J$2000,"N")=0,"",_xlfn.MAXIFS(Sets!$H$2:$H$2000,Sets!$A$2:$A$2000,$A38,Sets!$D$2:$D$2000,X$1,Sets!$J$2:$J$2000,"N"))</f>
        <v/>
      </c>
      <c r="Y38" s="4" t="str">
        <f aca="false">IF(_xlfn.MAXIFS(Sets!$H$2:$H$2000,Sets!$A$2:$A$2000,$A38,Sets!$D$2:$D$2000,Y$1,Sets!$J$2:$J$2000,"N")=0,"",_xlfn.MAXIFS(Sets!$H$2:$H$2000,Sets!$A$2:$A$2000,$A38,Sets!$D$2:$D$2000,Y$1,Sets!$J$2:$J$2000,"N"))</f>
        <v/>
      </c>
      <c r="Z38" s="4" t="str">
        <f aca="false">IF(_xlfn.MAXIFS(Sets!$H$2:$H$2000,Sets!$A$2:$A$2000,$A38,Sets!$D$2:$D$2000,Z$1,Sets!$J$2:$J$2000,"N")=0,"",_xlfn.MAXIFS(Sets!$H$2:$H$2000,Sets!$A$2:$A$2000,$A38,Sets!$D$2:$D$2000,Z$1,Sets!$J$2:$J$2000,"N"))</f>
        <v/>
      </c>
      <c r="AA38" s="4" t="str">
        <f aca="false">IF(_xlfn.MAXIFS(Sets!$H$2:$H$2000,Sets!$A$2:$A$2000,$A38,Sets!$D$2:$D$2000,AA$1,Sets!$J$2:$J$2000,"N")=0,"",_xlfn.MAXIFS(Sets!$H$2:$H$2000,Sets!$A$2:$A$2000,$A38,Sets!$D$2:$D$2000,AA$1,Sets!$J$2:$J$2000,"N"))</f>
        <v/>
      </c>
      <c r="AB38" s="4" t="str">
        <f aca="false">IF(_xlfn.MAXIFS(Sets!$H$2:$H$2000,Sets!$A$2:$A$2000,$A38,Sets!$D$2:$D$2000,AB$1,Sets!$J$2:$J$2000,"N")=0,"",_xlfn.MAXIFS(Sets!$H$2:$H$2000,Sets!$A$2:$A$2000,$A38,Sets!$D$2:$D$2000,AB$1,Sets!$J$2:$J$2000,"N"))</f>
        <v/>
      </c>
      <c r="AC38" s="4" t="str">
        <f aca="false">IF(_xlfn.MAXIFS(Sets!$H$2:$H$2000,Sets!$A$2:$A$2000,$A38,Sets!$D$2:$D$2000,AC$1,Sets!$J$2:$J$2000,"N")=0,"",_xlfn.MAXIFS(Sets!$H$2:$H$2000,Sets!$A$2:$A$2000,$A38,Sets!$D$2:$D$2000,AC$1,Sets!$J$2:$J$2000,"N"))</f>
        <v/>
      </c>
      <c r="AD38" s="4" t="str">
        <f aca="false">IF(_xlfn.MAXIFS(Sets!$H$2:$H$2000,Sets!$A$2:$A$2000,$A38,Sets!$D$2:$D$2000,AD$1,Sets!$J$2:$J$2000,"N")=0,"",_xlfn.MAXIFS(Sets!$H$2:$H$2000,Sets!$A$2:$A$2000,$A38,Sets!$D$2:$D$2000,AD$1,Sets!$J$2:$J$2000,"N"))</f>
        <v/>
      </c>
      <c r="AE38" s="4" t="str">
        <f aca="false">IF(_xlfn.MAXIFS(Sets!$H$2:$H$2000,Sets!$A$2:$A$2000,$A38,Sets!$D$2:$D$2000,AE$1,Sets!$J$2:$J$2000,"N")=0,"",_xlfn.MAXIFS(Sets!$H$2:$H$2000,Sets!$A$2:$A$2000,$A38,Sets!$D$2:$D$2000,AE$1,Sets!$J$2:$J$2000,"N"))</f>
        <v/>
      </c>
      <c r="AF38" s="4" t="str">
        <f aca="false">IF(_xlfn.MAXIFS(Sets!$H$2:$H$2000,Sets!$A$2:$A$2000,$A38,Sets!$D$2:$D$2000,AF$1,Sets!$J$2:$J$2000,"N")=0,"",_xlfn.MAXIFS(Sets!$H$2:$H$2000,Sets!$A$2:$A$2000,$A38,Sets!$D$2:$D$2000,AF$1,Sets!$J$2:$J$2000,"N"))</f>
        <v/>
      </c>
      <c r="AG38" s="4" t="str">
        <f aca="false">IF(_xlfn.MAXIFS(Sets!$H$2:$H$2000,Sets!$A$2:$A$2000,$A38,Sets!$D$2:$D$2000,AG$1,Sets!$J$2:$J$2000,"N")=0,"",_xlfn.MAXIFS(Sets!$H$2:$H$2000,Sets!$A$2:$A$2000,$A38,Sets!$D$2:$D$2000,AG$1,Sets!$J$2:$J$2000,"N"))</f>
        <v/>
      </c>
      <c r="AH38" s="4" t="str">
        <f aca="false">IF(_xlfn.MAXIFS(Sets!$H$2:$H$2000,Sets!$A$2:$A$2000,$A38,Sets!$D$2:$D$2000,AH$1,Sets!$J$2:$J$2000,"N")=0,"",_xlfn.MAXIFS(Sets!$H$2:$H$2000,Sets!$A$2:$A$2000,$A38,Sets!$D$2:$D$2000,AH$1,Sets!$J$2:$J$2000,"N"))</f>
        <v/>
      </c>
    </row>
    <row r="39" customFormat="false" ht="15" hidden="false" customHeight="false" outlineLevel="0" collapsed="false">
      <c r="A39" s="16" t="n">
        <v>46184</v>
      </c>
      <c r="B39" s="4" t="str">
        <f aca="false">IF(_xlfn.MAXIFS(Sets!$H$2:$H$2000,Sets!$A$2:$A$2000,$A39,Sets!$D$2:$D$2000,B$1,Sets!$J$2:$J$2000,"N")=0,"",_xlfn.MAXIFS(Sets!$H$2:$H$2000,Sets!$A$2:$A$2000,$A39,Sets!$D$2:$D$2000,B$1,Sets!$J$2:$J$2000,"N"))</f>
        <v/>
      </c>
      <c r="C39" s="4" t="n">
        <f aca="false">IF(_xlfn.MAXIFS(Sets!$H$2:$H$2000,Sets!$A$2:$A$2000,$A39,Sets!$D$2:$D$2000,C$1,Sets!$J$2:$J$2000,"N")=0,"",_xlfn.MAXIFS(Sets!$H$2:$H$2000,Sets!$A$2:$A$2000,$A39,Sets!$D$2:$D$2000,C$1,Sets!$J$2:$J$2000,"N"))</f>
        <v>22.5</v>
      </c>
      <c r="D39" s="4" t="str">
        <f aca="false">IF(_xlfn.MAXIFS(Sets!$H$2:$H$2000,Sets!$A$2:$A$2000,$A39,Sets!$D$2:$D$2000,D$1,Sets!$J$2:$J$2000,"N")=0,"",_xlfn.MAXIFS(Sets!$H$2:$H$2000,Sets!$A$2:$A$2000,$A39,Sets!$D$2:$D$2000,D$1,Sets!$J$2:$J$2000,"N"))</f>
        <v/>
      </c>
      <c r="E39" s="4" t="str">
        <f aca="false">IF(_xlfn.MAXIFS(Sets!$H$2:$H$2000,Sets!$A$2:$A$2000,$A39,Sets!$D$2:$D$2000,E$1,Sets!$J$2:$J$2000,"N")=0,"",_xlfn.MAXIFS(Sets!$H$2:$H$2000,Sets!$A$2:$A$2000,$A39,Sets!$D$2:$D$2000,E$1,Sets!$J$2:$J$2000,"N"))</f>
        <v/>
      </c>
      <c r="F39" s="4" t="str">
        <f aca="false">IF(_xlfn.MAXIFS(Sets!$H$2:$H$2000,Sets!$A$2:$A$2000,$A39,Sets!$D$2:$D$2000,F$1,Sets!$J$2:$J$2000,"N")=0,"",_xlfn.MAXIFS(Sets!$H$2:$H$2000,Sets!$A$2:$A$2000,$A39,Sets!$D$2:$D$2000,F$1,Sets!$J$2:$J$2000,"N"))</f>
        <v/>
      </c>
      <c r="G39" s="4" t="n">
        <f aca="false">IF(_xlfn.MAXIFS(Sets!$H$2:$H$2000,Sets!$A$2:$A$2000,$A39,Sets!$D$2:$D$2000,G$1,Sets!$J$2:$J$2000,"N")=0,"",_xlfn.MAXIFS(Sets!$H$2:$H$2000,Sets!$A$2:$A$2000,$A39,Sets!$D$2:$D$2000,G$1,Sets!$J$2:$J$2000,"N"))</f>
        <v>50</v>
      </c>
      <c r="H39" s="4" t="n">
        <f aca="false">IF(_xlfn.MAXIFS(Sets!$H$2:$H$2000,Sets!$A$2:$A$2000,$A39,Sets!$D$2:$D$2000,H$1,Sets!$J$2:$J$2000,"N")=0,"",_xlfn.MAXIFS(Sets!$H$2:$H$2000,Sets!$A$2:$A$2000,$A39,Sets!$D$2:$D$2000,H$1,Sets!$J$2:$J$2000,"N"))</f>
        <v>65</v>
      </c>
      <c r="I39" s="4" t="str">
        <f aca="false">IF(_xlfn.MAXIFS(Sets!$H$2:$H$2000,Sets!$A$2:$A$2000,$A39,Sets!$D$2:$D$2000,I$1,Sets!$J$2:$J$2000,"N")=0,"",_xlfn.MAXIFS(Sets!$H$2:$H$2000,Sets!$A$2:$A$2000,$A39,Sets!$D$2:$D$2000,I$1,Sets!$J$2:$J$2000,"N"))</f>
        <v/>
      </c>
      <c r="J39" s="4" t="str">
        <f aca="false">IF(_xlfn.MAXIFS(Sets!$H$2:$H$2000,Sets!$A$2:$A$2000,$A39,Sets!$D$2:$D$2000,J$1,Sets!$J$2:$J$2000,"N")=0,"",_xlfn.MAXIFS(Sets!$H$2:$H$2000,Sets!$A$2:$A$2000,$A39,Sets!$D$2:$D$2000,J$1,Sets!$J$2:$J$2000,"N"))</f>
        <v/>
      </c>
      <c r="K39" s="4" t="str">
        <f aca="false">IF(_xlfn.MAXIFS(Sets!$H$2:$H$2000,Sets!$A$2:$A$2000,$A39,Sets!$D$2:$D$2000,K$1,Sets!$J$2:$J$2000,"N")=0,"",_xlfn.MAXIFS(Sets!$H$2:$H$2000,Sets!$A$2:$A$2000,$A39,Sets!$D$2:$D$2000,K$1,Sets!$J$2:$J$2000,"N"))</f>
        <v/>
      </c>
      <c r="L39" s="4" t="str">
        <f aca="false">IF(_xlfn.MAXIFS(Sets!$H$2:$H$2000,Sets!$A$2:$A$2000,$A39,Sets!$D$2:$D$2000,L$1,Sets!$J$2:$J$2000,"N")=0,"",_xlfn.MAXIFS(Sets!$H$2:$H$2000,Sets!$A$2:$A$2000,$A39,Sets!$D$2:$D$2000,L$1,Sets!$J$2:$J$2000,"N"))</f>
        <v/>
      </c>
      <c r="M39" s="4" t="str">
        <f aca="false">IF(_xlfn.MAXIFS(Sets!$H$2:$H$2000,Sets!$A$2:$A$2000,$A39,Sets!$D$2:$D$2000,M$1,Sets!$J$2:$J$2000,"N")=0,"",_xlfn.MAXIFS(Sets!$H$2:$H$2000,Sets!$A$2:$A$2000,$A39,Sets!$D$2:$D$2000,M$1,Sets!$J$2:$J$2000,"N"))</f>
        <v/>
      </c>
      <c r="N39" s="4" t="str">
        <f aca="false">IF(_xlfn.MAXIFS(Sets!$H$2:$H$2000,Sets!$A$2:$A$2000,$A39,Sets!$D$2:$D$2000,N$1,Sets!$J$2:$J$2000,"N")=0,"",_xlfn.MAXIFS(Sets!$H$2:$H$2000,Sets!$A$2:$A$2000,$A39,Sets!$D$2:$D$2000,N$1,Sets!$J$2:$J$2000,"N"))</f>
        <v/>
      </c>
      <c r="O39" s="4" t="str">
        <f aca="false">IF(_xlfn.MAXIFS(Sets!$H$2:$H$2000,Sets!$A$2:$A$2000,$A39,Sets!$D$2:$D$2000,O$1,Sets!$J$2:$J$2000,"N")=0,"",_xlfn.MAXIFS(Sets!$H$2:$H$2000,Sets!$A$2:$A$2000,$A39,Sets!$D$2:$D$2000,O$1,Sets!$J$2:$J$2000,"N"))</f>
        <v/>
      </c>
      <c r="P39" s="4" t="str">
        <f aca="false">IF(_xlfn.MAXIFS(Sets!$H$2:$H$2000,Sets!$A$2:$A$2000,$A39,Sets!$D$2:$D$2000,P$1,Sets!$J$2:$J$2000,"N")=0,"",_xlfn.MAXIFS(Sets!$H$2:$H$2000,Sets!$A$2:$A$2000,$A39,Sets!$D$2:$D$2000,P$1,Sets!$J$2:$J$2000,"N"))</f>
        <v/>
      </c>
      <c r="Q39" s="4" t="str">
        <f aca="false">IF(_xlfn.MAXIFS(Sets!$H$2:$H$2000,Sets!$A$2:$A$2000,$A39,Sets!$D$2:$D$2000,Q$1,Sets!$J$2:$J$2000,"N")=0,"",_xlfn.MAXIFS(Sets!$H$2:$H$2000,Sets!$A$2:$A$2000,$A39,Sets!$D$2:$D$2000,Q$1,Sets!$J$2:$J$2000,"N"))</f>
        <v/>
      </c>
      <c r="R39" s="4" t="str">
        <f aca="false">IF(_xlfn.MAXIFS(Sets!$H$2:$H$2000,Sets!$A$2:$A$2000,$A39,Sets!$D$2:$D$2000,R$1,Sets!$J$2:$J$2000,"N")=0,"",_xlfn.MAXIFS(Sets!$H$2:$H$2000,Sets!$A$2:$A$2000,$A39,Sets!$D$2:$D$2000,R$1,Sets!$J$2:$J$2000,"N"))</f>
        <v/>
      </c>
      <c r="S39" s="4" t="str">
        <f aca="false">IF(_xlfn.MAXIFS(Sets!$H$2:$H$2000,Sets!$A$2:$A$2000,$A39,Sets!$D$2:$D$2000,S$1,Sets!$J$2:$J$2000,"N")=0,"",_xlfn.MAXIFS(Sets!$H$2:$H$2000,Sets!$A$2:$A$2000,$A39,Sets!$D$2:$D$2000,S$1,Sets!$J$2:$J$2000,"N"))</f>
        <v/>
      </c>
      <c r="T39" s="4" t="str">
        <f aca="false">IF(_xlfn.MAXIFS(Sets!$H$2:$H$2000,Sets!$A$2:$A$2000,$A39,Sets!$D$2:$D$2000,T$1,Sets!$J$2:$J$2000,"N")=0,"",_xlfn.MAXIFS(Sets!$H$2:$H$2000,Sets!$A$2:$A$2000,$A39,Sets!$D$2:$D$2000,T$1,Sets!$J$2:$J$2000,"N"))</f>
        <v/>
      </c>
      <c r="U39" s="4" t="str">
        <f aca="false">IF(_xlfn.MAXIFS(Sets!$H$2:$H$2000,Sets!$A$2:$A$2000,$A39,Sets!$D$2:$D$2000,U$1,Sets!$J$2:$J$2000,"N")=0,"",_xlfn.MAXIFS(Sets!$H$2:$H$2000,Sets!$A$2:$A$2000,$A39,Sets!$D$2:$D$2000,U$1,Sets!$J$2:$J$2000,"N"))</f>
        <v/>
      </c>
      <c r="V39" s="4" t="str">
        <f aca="false">IF(_xlfn.MAXIFS(Sets!$H$2:$H$2000,Sets!$A$2:$A$2000,$A39,Sets!$D$2:$D$2000,V$1,Sets!$J$2:$J$2000,"N")=0,"",_xlfn.MAXIFS(Sets!$H$2:$H$2000,Sets!$A$2:$A$2000,$A39,Sets!$D$2:$D$2000,V$1,Sets!$J$2:$J$2000,"N"))</f>
        <v/>
      </c>
      <c r="W39" s="4" t="str">
        <f aca="false">IF(_xlfn.MAXIFS(Sets!$H$2:$H$2000,Sets!$A$2:$A$2000,$A39,Sets!$D$2:$D$2000,W$1,Sets!$J$2:$J$2000,"N")=0,"",_xlfn.MAXIFS(Sets!$H$2:$H$2000,Sets!$A$2:$A$2000,$A39,Sets!$D$2:$D$2000,W$1,Sets!$J$2:$J$2000,"N"))</f>
        <v/>
      </c>
      <c r="X39" s="4" t="str">
        <f aca="false">IF(_xlfn.MAXIFS(Sets!$H$2:$H$2000,Sets!$A$2:$A$2000,$A39,Sets!$D$2:$D$2000,X$1,Sets!$J$2:$J$2000,"N")=0,"",_xlfn.MAXIFS(Sets!$H$2:$H$2000,Sets!$A$2:$A$2000,$A39,Sets!$D$2:$D$2000,X$1,Sets!$J$2:$J$2000,"N"))</f>
        <v/>
      </c>
      <c r="Y39" s="4" t="str">
        <f aca="false">IF(_xlfn.MAXIFS(Sets!$H$2:$H$2000,Sets!$A$2:$A$2000,$A39,Sets!$D$2:$D$2000,Y$1,Sets!$J$2:$J$2000,"N")=0,"",_xlfn.MAXIFS(Sets!$H$2:$H$2000,Sets!$A$2:$A$2000,$A39,Sets!$D$2:$D$2000,Y$1,Sets!$J$2:$J$2000,"N"))</f>
        <v/>
      </c>
      <c r="Z39" s="4" t="str">
        <f aca="false">IF(_xlfn.MAXIFS(Sets!$H$2:$H$2000,Sets!$A$2:$A$2000,$A39,Sets!$D$2:$D$2000,Z$1,Sets!$J$2:$J$2000,"N")=0,"",_xlfn.MAXIFS(Sets!$H$2:$H$2000,Sets!$A$2:$A$2000,$A39,Sets!$D$2:$D$2000,Z$1,Sets!$J$2:$J$2000,"N"))</f>
        <v/>
      </c>
      <c r="AA39" s="4" t="str">
        <f aca="false">IF(_xlfn.MAXIFS(Sets!$H$2:$H$2000,Sets!$A$2:$A$2000,$A39,Sets!$D$2:$D$2000,AA$1,Sets!$J$2:$J$2000,"N")=0,"",_xlfn.MAXIFS(Sets!$H$2:$H$2000,Sets!$A$2:$A$2000,$A39,Sets!$D$2:$D$2000,AA$1,Sets!$J$2:$J$2000,"N"))</f>
        <v/>
      </c>
      <c r="AB39" s="4" t="str">
        <f aca="false">IF(_xlfn.MAXIFS(Sets!$H$2:$H$2000,Sets!$A$2:$A$2000,$A39,Sets!$D$2:$D$2000,AB$1,Sets!$J$2:$J$2000,"N")=0,"",_xlfn.MAXIFS(Sets!$H$2:$H$2000,Sets!$A$2:$A$2000,$A39,Sets!$D$2:$D$2000,AB$1,Sets!$J$2:$J$2000,"N"))</f>
        <v/>
      </c>
      <c r="AC39" s="4" t="str">
        <f aca="false">IF(_xlfn.MAXIFS(Sets!$H$2:$H$2000,Sets!$A$2:$A$2000,$A39,Sets!$D$2:$D$2000,AC$1,Sets!$J$2:$J$2000,"N")=0,"",_xlfn.MAXIFS(Sets!$H$2:$H$2000,Sets!$A$2:$A$2000,$A39,Sets!$D$2:$D$2000,AC$1,Sets!$J$2:$J$2000,"N"))</f>
        <v/>
      </c>
      <c r="AD39" s="4" t="str">
        <f aca="false">IF(_xlfn.MAXIFS(Sets!$H$2:$H$2000,Sets!$A$2:$A$2000,$A39,Sets!$D$2:$D$2000,AD$1,Sets!$J$2:$J$2000,"N")=0,"",_xlfn.MAXIFS(Sets!$H$2:$H$2000,Sets!$A$2:$A$2000,$A39,Sets!$D$2:$D$2000,AD$1,Sets!$J$2:$J$2000,"N"))</f>
        <v/>
      </c>
      <c r="AE39" s="4" t="str">
        <f aca="false">IF(_xlfn.MAXIFS(Sets!$H$2:$H$2000,Sets!$A$2:$A$2000,$A39,Sets!$D$2:$D$2000,AE$1,Sets!$J$2:$J$2000,"N")=0,"",_xlfn.MAXIFS(Sets!$H$2:$H$2000,Sets!$A$2:$A$2000,$A39,Sets!$D$2:$D$2000,AE$1,Sets!$J$2:$J$2000,"N"))</f>
        <v/>
      </c>
      <c r="AF39" s="4" t="str">
        <f aca="false">IF(_xlfn.MAXIFS(Sets!$H$2:$H$2000,Sets!$A$2:$A$2000,$A39,Sets!$D$2:$D$2000,AF$1,Sets!$J$2:$J$2000,"N")=0,"",_xlfn.MAXIFS(Sets!$H$2:$H$2000,Sets!$A$2:$A$2000,$A39,Sets!$D$2:$D$2000,AF$1,Sets!$J$2:$J$2000,"N"))</f>
        <v/>
      </c>
      <c r="AG39" s="4" t="str">
        <f aca="false">IF(_xlfn.MAXIFS(Sets!$H$2:$H$2000,Sets!$A$2:$A$2000,$A39,Sets!$D$2:$D$2000,AG$1,Sets!$J$2:$J$2000,"N")=0,"",_xlfn.MAXIFS(Sets!$H$2:$H$2000,Sets!$A$2:$A$2000,$A39,Sets!$D$2:$D$2000,AG$1,Sets!$J$2:$J$2000,"N"))</f>
        <v/>
      </c>
      <c r="AH39" s="4" t="str">
        <f aca="false">IF(_xlfn.MAXIFS(Sets!$H$2:$H$2000,Sets!$A$2:$A$2000,$A39,Sets!$D$2:$D$2000,AH$1,Sets!$J$2:$J$2000,"N")=0,"",_xlfn.MAXIFS(Sets!$H$2:$H$2000,Sets!$A$2:$A$2000,$A39,Sets!$D$2:$D$2000,AH$1,Sets!$J$2:$J$2000,"N"))</f>
        <v/>
      </c>
    </row>
    <row r="40" customFormat="false" ht="15" hidden="false" customHeight="false" outlineLevel="0" collapsed="false">
      <c r="A40" s="16" t="n">
        <v>46185</v>
      </c>
      <c r="B40" s="4" t="n">
        <f aca="false">IF(_xlfn.MAXIFS(Sets!$H$2:$H$2000,Sets!$A$2:$A$2000,$A40,Sets!$D$2:$D$2000,B$1,Sets!$J$2:$J$2000,"N")=0,"",_xlfn.MAXIFS(Sets!$H$2:$H$2000,Sets!$A$2:$A$2000,$A40,Sets!$D$2:$D$2000,B$1,Sets!$J$2:$J$2000,"N"))</f>
        <v>35</v>
      </c>
      <c r="C40" s="4" t="str">
        <f aca="false">IF(_xlfn.MAXIFS(Sets!$H$2:$H$2000,Sets!$A$2:$A$2000,$A40,Sets!$D$2:$D$2000,C$1,Sets!$J$2:$J$2000,"N")=0,"",_xlfn.MAXIFS(Sets!$H$2:$H$2000,Sets!$A$2:$A$2000,$A40,Sets!$D$2:$D$2000,C$1,Sets!$J$2:$J$2000,"N"))</f>
        <v/>
      </c>
      <c r="D40" s="4" t="n">
        <f aca="false">IF(_xlfn.MAXIFS(Sets!$H$2:$H$2000,Sets!$A$2:$A$2000,$A40,Sets!$D$2:$D$2000,D$1,Sets!$J$2:$J$2000,"N")=0,"",_xlfn.MAXIFS(Sets!$H$2:$H$2000,Sets!$A$2:$A$2000,$A40,Sets!$D$2:$D$2000,D$1,Sets!$J$2:$J$2000,"N"))</f>
        <v>50</v>
      </c>
      <c r="E40" s="4" t="n">
        <f aca="false">IF(_xlfn.MAXIFS(Sets!$H$2:$H$2000,Sets!$A$2:$A$2000,$A40,Sets!$D$2:$D$2000,E$1,Sets!$J$2:$J$2000,"N")=0,"",_xlfn.MAXIFS(Sets!$H$2:$H$2000,Sets!$A$2:$A$2000,$A40,Sets!$D$2:$D$2000,E$1,Sets!$J$2:$J$2000,"N"))</f>
        <v>100</v>
      </c>
      <c r="F40" s="4" t="str">
        <f aca="false">IF(_xlfn.MAXIFS(Sets!$H$2:$H$2000,Sets!$A$2:$A$2000,$A40,Sets!$D$2:$D$2000,F$1,Sets!$J$2:$J$2000,"N")=0,"",_xlfn.MAXIFS(Sets!$H$2:$H$2000,Sets!$A$2:$A$2000,$A40,Sets!$D$2:$D$2000,F$1,Sets!$J$2:$J$2000,"N"))</f>
        <v/>
      </c>
      <c r="G40" s="4" t="str">
        <f aca="false">IF(_xlfn.MAXIFS(Sets!$H$2:$H$2000,Sets!$A$2:$A$2000,$A40,Sets!$D$2:$D$2000,G$1,Sets!$J$2:$J$2000,"N")=0,"",_xlfn.MAXIFS(Sets!$H$2:$H$2000,Sets!$A$2:$A$2000,$A40,Sets!$D$2:$D$2000,G$1,Sets!$J$2:$J$2000,"N"))</f>
        <v/>
      </c>
      <c r="H40" s="4" t="str">
        <f aca="false">IF(_xlfn.MAXIFS(Sets!$H$2:$H$2000,Sets!$A$2:$A$2000,$A40,Sets!$D$2:$D$2000,H$1,Sets!$J$2:$J$2000,"N")=0,"",_xlfn.MAXIFS(Sets!$H$2:$H$2000,Sets!$A$2:$A$2000,$A40,Sets!$D$2:$D$2000,H$1,Sets!$J$2:$J$2000,"N"))</f>
        <v/>
      </c>
      <c r="I40" s="4" t="n">
        <f aca="false">IF(_xlfn.MAXIFS(Sets!$H$2:$H$2000,Sets!$A$2:$A$2000,$A40,Sets!$D$2:$D$2000,I$1,Sets!$J$2:$J$2000,"N")=0,"",_xlfn.MAXIFS(Sets!$H$2:$H$2000,Sets!$A$2:$A$2000,$A40,Sets!$D$2:$D$2000,I$1,Sets!$J$2:$J$2000,"N"))</f>
        <v>40</v>
      </c>
      <c r="J40" s="4" t="str">
        <f aca="false">IF(_xlfn.MAXIFS(Sets!$H$2:$H$2000,Sets!$A$2:$A$2000,$A40,Sets!$D$2:$D$2000,J$1,Sets!$J$2:$J$2000,"N")=0,"",_xlfn.MAXIFS(Sets!$H$2:$H$2000,Sets!$A$2:$A$2000,$A40,Sets!$D$2:$D$2000,J$1,Sets!$J$2:$J$2000,"N"))</f>
        <v/>
      </c>
      <c r="K40" s="4" t="str">
        <f aca="false">IF(_xlfn.MAXIFS(Sets!$H$2:$H$2000,Sets!$A$2:$A$2000,$A40,Sets!$D$2:$D$2000,K$1,Sets!$J$2:$J$2000,"N")=0,"",_xlfn.MAXIFS(Sets!$H$2:$H$2000,Sets!$A$2:$A$2000,$A40,Sets!$D$2:$D$2000,K$1,Sets!$J$2:$J$2000,"N"))</f>
        <v/>
      </c>
      <c r="L40" s="4" t="str">
        <f aca="false">IF(_xlfn.MAXIFS(Sets!$H$2:$H$2000,Sets!$A$2:$A$2000,$A40,Sets!$D$2:$D$2000,L$1,Sets!$J$2:$J$2000,"N")=0,"",_xlfn.MAXIFS(Sets!$H$2:$H$2000,Sets!$A$2:$A$2000,$A40,Sets!$D$2:$D$2000,L$1,Sets!$J$2:$J$2000,"N"))</f>
        <v/>
      </c>
      <c r="M40" s="4" t="str">
        <f aca="false">IF(_xlfn.MAXIFS(Sets!$H$2:$H$2000,Sets!$A$2:$A$2000,$A40,Sets!$D$2:$D$2000,M$1,Sets!$J$2:$J$2000,"N")=0,"",_xlfn.MAXIFS(Sets!$H$2:$H$2000,Sets!$A$2:$A$2000,$A40,Sets!$D$2:$D$2000,M$1,Sets!$J$2:$J$2000,"N"))</f>
        <v/>
      </c>
      <c r="N40" s="4" t="str">
        <f aca="false">IF(_xlfn.MAXIFS(Sets!$H$2:$H$2000,Sets!$A$2:$A$2000,$A40,Sets!$D$2:$D$2000,N$1,Sets!$J$2:$J$2000,"N")=0,"",_xlfn.MAXIFS(Sets!$H$2:$H$2000,Sets!$A$2:$A$2000,$A40,Sets!$D$2:$D$2000,N$1,Sets!$J$2:$J$2000,"N"))</f>
        <v/>
      </c>
      <c r="O40" s="4" t="str">
        <f aca="false">IF(_xlfn.MAXIFS(Sets!$H$2:$H$2000,Sets!$A$2:$A$2000,$A40,Sets!$D$2:$D$2000,O$1,Sets!$J$2:$J$2000,"N")=0,"",_xlfn.MAXIFS(Sets!$H$2:$H$2000,Sets!$A$2:$A$2000,$A40,Sets!$D$2:$D$2000,O$1,Sets!$J$2:$J$2000,"N"))</f>
        <v/>
      </c>
      <c r="P40" s="4" t="str">
        <f aca="false">IF(_xlfn.MAXIFS(Sets!$H$2:$H$2000,Sets!$A$2:$A$2000,$A40,Sets!$D$2:$D$2000,P$1,Sets!$J$2:$J$2000,"N")=0,"",_xlfn.MAXIFS(Sets!$H$2:$H$2000,Sets!$A$2:$A$2000,$A40,Sets!$D$2:$D$2000,P$1,Sets!$J$2:$J$2000,"N"))</f>
        <v/>
      </c>
      <c r="Q40" s="4" t="str">
        <f aca="false">IF(_xlfn.MAXIFS(Sets!$H$2:$H$2000,Sets!$A$2:$A$2000,$A40,Sets!$D$2:$D$2000,Q$1,Sets!$J$2:$J$2000,"N")=0,"",_xlfn.MAXIFS(Sets!$H$2:$H$2000,Sets!$A$2:$A$2000,$A40,Sets!$D$2:$D$2000,Q$1,Sets!$J$2:$J$2000,"N"))</f>
        <v/>
      </c>
      <c r="R40" s="4" t="str">
        <f aca="false">IF(_xlfn.MAXIFS(Sets!$H$2:$H$2000,Sets!$A$2:$A$2000,$A40,Sets!$D$2:$D$2000,R$1,Sets!$J$2:$J$2000,"N")=0,"",_xlfn.MAXIFS(Sets!$H$2:$H$2000,Sets!$A$2:$A$2000,$A40,Sets!$D$2:$D$2000,R$1,Sets!$J$2:$J$2000,"N"))</f>
        <v/>
      </c>
      <c r="S40" s="4" t="str">
        <f aca="false">IF(_xlfn.MAXIFS(Sets!$H$2:$H$2000,Sets!$A$2:$A$2000,$A40,Sets!$D$2:$D$2000,S$1,Sets!$J$2:$J$2000,"N")=0,"",_xlfn.MAXIFS(Sets!$H$2:$H$2000,Sets!$A$2:$A$2000,$A40,Sets!$D$2:$D$2000,S$1,Sets!$J$2:$J$2000,"N"))</f>
        <v/>
      </c>
      <c r="T40" s="4" t="str">
        <f aca="false">IF(_xlfn.MAXIFS(Sets!$H$2:$H$2000,Sets!$A$2:$A$2000,$A40,Sets!$D$2:$D$2000,T$1,Sets!$J$2:$J$2000,"N")=0,"",_xlfn.MAXIFS(Sets!$H$2:$H$2000,Sets!$A$2:$A$2000,$A40,Sets!$D$2:$D$2000,T$1,Sets!$J$2:$J$2000,"N"))</f>
        <v/>
      </c>
      <c r="U40" s="4" t="str">
        <f aca="false">IF(_xlfn.MAXIFS(Sets!$H$2:$H$2000,Sets!$A$2:$A$2000,$A40,Sets!$D$2:$D$2000,U$1,Sets!$J$2:$J$2000,"N")=0,"",_xlfn.MAXIFS(Sets!$H$2:$H$2000,Sets!$A$2:$A$2000,$A40,Sets!$D$2:$D$2000,U$1,Sets!$J$2:$J$2000,"N"))</f>
        <v/>
      </c>
      <c r="V40" s="4" t="str">
        <f aca="false">IF(_xlfn.MAXIFS(Sets!$H$2:$H$2000,Sets!$A$2:$A$2000,$A40,Sets!$D$2:$D$2000,V$1,Sets!$J$2:$J$2000,"N")=0,"",_xlfn.MAXIFS(Sets!$H$2:$H$2000,Sets!$A$2:$A$2000,$A40,Sets!$D$2:$D$2000,V$1,Sets!$J$2:$J$2000,"N"))</f>
        <v/>
      </c>
      <c r="W40" s="4" t="str">
        <f aca="false">IF(_xlfn.MAXIFS(Sets!$H$2:$H$2000,Sets!$A$2:$A$2000,$A40,Sets!$D$2:$D$2000,W$1,Sets!$J$2:$J$2000,"N")=0,"",_xlfn.MAXIFS(Sets!$H$2:$H$2000,Sets!$A$2:$A$2000,$A40,Sets!$D$2:$D$2000,W$1,Sets!$J$2:$J$2000,"N"))</f>
        <v/>
      </c>
      <c r="X40" s="4" t="str">
        <f aca="false">IF(_xlfn.MAXIFS(Sets!$H$2:$H$2000,Sets!$A$2:$A$2000,$A40,Sets!$D$2:$D$2000,X$1,Sets!$J$2:$J$2000,"N")=0,"",_xlfn.MAXIFS(Sets!$H$2:$H$2000,Sets!$A$2:$A$2000,$A40,Sets!$D$2:$D$2000,X$1,Sets!$J$2:$J$2000,"N"))</f>
        <v/>
      </c>
      <c r="Y40" s="4" t="str">
        <f aca="false">IF(_xlfn.MAXIFS(Sets!$H$2:$H$2000,Sets!$A$2:$A$2000,$A40,Sets!$D$2:$D$2000,Y$1,Sets!$J$2:$J$2000,"N")=0,"",_xlfn.MAXIFS(Sets!$H$2:$H$2000,Sets!$A$2:$A$2000,$A40,Sets!$D$2:$D$2000,Y$1,Sets!$J$2:$J$2000,"N"))</f>
        <v/>
      </c>
      <c r="Z40" s="4" t="str">
        <f aca="false">IF(_xlfn.MAXIFS(Sets!$H$2:$H$2000,Sets!$A$2:$A$2000,$A40,Sets!$D$2:$D$2000,Z$1,Sets!$J$2:$J$2000,"N")=0,"",_xlfn.MAXIFS(Sets!$H$2:$H$2000,Sets!$A$2:$A$2000,$A40,Sets!$D$2:$D$2000,Z$1,Sets!$J$2:$J$2000,"N"))</f>
        <v/>
      </c>
      <c r="AA40" s="4" t="str">
        <f aca="false">IF(_xlfn.MAXIFS(Sets!$H$2:$H$2000,Sets!$A$2:$A$2000,$A40,Sets!$D$2:$D$2000,AA$1,Sets!$J$2:$J$2000,"N")=0,"",_xlfn.MAXIFS(Sets!$H$2:$H$2000,Sets!$A$2:$A$2000,$A40,Sets!$D$2:$D$2000,AA$1,Sets!$J$2:$J$2000,"N"))</f>
        <v/>
      </c>
      <c r="AB40" s="4" t="str">
        <f aca="false">IF(_xlfn.MAXIFS(Sets!$H$2:$H$2000,Sets!$A$2:$A$2000,$A40,Sets!$D$2:$D$2000,AB$1,Sets!$J$2:$J$2000,"N")=0,"",_xlfn.MAXIFS(Sets!$H$2:$H$2000,Sets!$A$2:$A$2000,$A40,Sets!$D$2:$D$2000,AB$1,Sets!$J$2:$J$2000,"N"))</f>
        <v/>
      </c>
      <c r="AC40" s="4" t="str">
        <f aca="false">IF(_xlfn.MAXIFS(Sets!$H$2:$H$2000,Sets!$A$2:$A$2000,$A40,Sets!$D$2:$D$2000,AC$1,Sets!$J$2:$J$2000,"N")=0,"",_xlfn.MAXIFS(Sets!$H$2:$H$2000,Sets!$A$2:$A$2000,$A40,Sets!$D$2:$D$2000,AC$1,Sets!$J$2:$J$2000,"N"))</f>
        <v/>
      </c>
      <c r="AD40" s="4" t="str">
        <f aca="false">IF(_xlfn.MAXIFS(Sets!$H$2:$H$2000,Sets!$A$2:$A$2000,$A40,Sets!$D$2:$D$2000,AD$1,Sets!$J$2:$J$2000,"N")=0,"",_xlfn.MAXIFS(Sets!$H$2:$H$2000,Sets!$A$2:$A$2000,$A40,Sets!$D$2:$D$2000,AD$1,Sets!$J$2:$J$2000,"N"))</f>
        <v/>
      </c>
      <c r="AE40" s="4" t="str">
        <f aca="false">IF(_xlfn.MAXIFS(Sets!$H$2:$H$2000,Sets!$A$2:$A$2000,$A40,Sets!$D$2:$D$2000,AE$1,Sets!$J$2:$J$2000,"N")=0,"",_xlfn.MAXIFS(Sets!$H$2:$H$2000,Sets!$A$2:$A$2000,$A40,Sets!$D$2:$D$2000,AE$1,Sets!$J$2:$J$2000,"N"))</f>
        <v/>
      </c>
      <c r="AF40" s="4" t="str">
        <f aca="false">IF(_xlfn.MAXIFS(Sets!$H$2:$H$2000,Sets!$A$2:$A$2000,$A40,Sets!$D$2:$D$2000,AF$1,Sets!$J$2:$J$2000,"N")=0,"",_xlfn.MAXIFS(Sets!$H$2:$H$2000,Sets!$A$2:$A$2000,$A40,Sets!$D$2:$D$2000,AF$1,Sets!$J$2:$J$2000,"N"))</f>
        <v/>
      </c>
      <c r="AG40" s="4" t="str">
        <f aca="false">IF(_xlfn.MAXIFS(Sets!$H$2:$H$2000,Sets!$A$2:$A$2000,$A40,Sets!$D$2:$D$2000,AG$1,Sets!$J$2:$J$2000,"N")=0,"",_xlfn.MAXIFS(Sets!$H$2:$H$2000,Sets!$A$2:$A$2000,$A40,Sets!$D$2:$D$2000,AG$1,Sets!$J$2:$J$2000,"N"))</f>
        <v/>
      </c>
      <c r="AH40" s="4" t="str">
        <f aca="false">IF(_xlfn.MAXIFS(Sets!$H$2:$H$2000,Sets!$A$2:$A$2000,$A40,Sets!$D$2:$D$2000,AH$1,Sets!$J$2:$J$2000,"N")=0,"",_xlfn.MAXIFS(Sets!$H$2:$H$2000,Sets!$A$2:$A$2000,$A40,Sets!$D$2:$D$2000,AH$1,Sets!$J$2:$J$2000,"N"))</f>
        <v/>
      </c>
    </row>
    <row r="41" customFormat="false" ht="15" hidden="false" customHeight="false" outlineLevel="0" collapsed="false">
      <c r="A41" s="16" t="n">
        <v>46189</v>
      </c>
      <c r="B41" s="4" t="n">
        <f aca="false">IF(_xlfn.MAXIFS(Sets!$H$2:$H$2000,Sets!$A$2:$A$2000,$A41,Sets!$D$2:$D$2000,B$1,Sets!$J$2:$J$2000,"N")=0,"",_xlfn.MAXIFS(Sets!$H$2:$H$2000,Sets!$A$2:$A$2000,$A41,Sets!$D$2:$D$2000,B$1,Sets!$J$2:$J$2000,"N"))</f>
        <v>25</v>
      </c>
      <c r="C41" s="4" t="str">
        <f aca="false">IF(_xlfn.MAXIFS(Sets!$H$2:$H$2000,Sets!$A$2:$A$2000,$A41,Sets!$D$2:$D$2000,C$1,Sets!$J$2:$J$2000,"N")=0,"",_xlfn.MAXIFS(Sets!$H$2:$H$2000,Sets!$A$2:$A$2000,$A41,Sets!$D$2:$D$2000,C$1,Sets!$J$2:$J$2000,"N"))</f>
        <v/>
      </c>
      <c r="D41" s="4" t="n">
        <f aca="false">IF(_xlfn.MAXIFS(Sets!$H$2:$H$2000,Sets!$A$2:$A$2000,$A41,Sets!$D$2:$D$2000,D$1,Sets!$J$2:$J$2000,"N")=0,"",_xlfn.MAXIFS(Sets!$H$2:$H$2000,Sets!$A$2:$A$2000,$A41,Sets!$D$2:$D$2000,D$1,Sets!$J$2:$J$2000,"N"))</f>
        <v>50</v>
      </c>
      <c r="E41" s="4" t="n">
        <f aca="false">IF(_xlfn.MAXIFS(Sets!$H$2:$H$2000,Sets!$A$2:$A$2000,$A41,Sets!$D$2:$D$2000,E$1,Sets!$J$2:$J$2000,"N")=0,"",_xlfn.MAXIFS(Sets!$H$2:$H$2000,Sets!$A$2:$A$2000,$A41,Sets!$D$2:$D$2000,E$1,Sets!$J$2:$J$2000,"N"))</f>
        <v>105</v>
      </c>
      <c r="F41" s="4" t="str">
        <f aca="false">IF(_xlfn.MAXIFS(Sets!$H$2:$H$2000,Sets!$A$2:$A$2000,$A41,Sets!$D$2:$D$2000,F$1,Sets!$J$2:$J$2000,"N")=0,"",_xlfn.MAXIFS(Sets!$H$2:$H$2000,Sets!$A$2:$A$2000,$A41,Sets!$D$2:$D$2000,F$1,Sets!$J$2:$J$2000,"N"))</f>
        <v/>
      </c>
      <c r="G41" s="4" t="str">
        <f aca="false">IF(_xlfn.MAXIFS(Sets!$H$2:$H$2000,Sets!$A$2:$A$2000,$A41,Sets!$D$2:$D$2000,G$1,Sets!$J$2:$J$2000,"N")=0,"",_xlfn.MAXIFS(Sets!$H$2:$H$2000,Sets!$A$2:$A$2000,$A41,Sets!$D$2:$D$2000,G$1,Sets!$J$2:$J$2000,"N"))</f>
        <v/>
      </c>
      <c r="H41" s="4" t="str">
        <f aca="false">IF(_xlfn.MAXIFS(Sets!$H$2:$H$2000,Sets!$A$2:$A$2000,$A41,Sets!$D$2:$D$2000,H$1,Sets!$J$2:$J$2000,"N")=0,"",_xlfn.MAXIFS(Sets!$H$2:$H$2000,Sets!$A$2:$A$2000,$A41,Sets!$D$2:$D$2000,H$1,Sets!$J$2:$J$2000,"N"))</f>
        <v/>
      </c>
      <c r="I41" s="4" t="str">
        <f aca="false">IF(_xlfn.MAXIFS(Sets!$H$2:$H$2000,Sets!$A$2:$A$2000,$A41,Sets!$D$2:$D$2000,I$1,Sets!$J$2:$J$2000,"N")=0,"",_xlfn.MAXIFS(Sets!$H$2:$H$2000,Sets!$A$2:$A$2000,$A41,Sets!$D$2:$D$2000,I$1,Sets!$J$2:$J$2000,"N"))</f>
        <v/>
      </c>
      <c r="J41" s="4" t="str">
        <f aca="false">IF(_xlfn.MAXIFS(Sets!$H$2:$H$2000,Sets!$A$2:$A$2000,$A41,Sets!$D$2:$D$2000,J$1,Sets!$J$2:$J$2000,"N")=0,"",_xlfn.MAXIFS(Sets!$H$2:$H$2000,Sets!$A$2:$A$2000,$A41,Sets!$D$2:$D$2000,J$1,Sets!$J$2:$J$2000,"N"))</f>
        <v/>
      </c>
      <c r="K41" s="4" t="str">
        <f aca="false">IF(_xlfn.MAXIFS(Sets!$H$2:$H$2000,Sets!$A$2:$A$2000,$A41,Sets!$D$2:$D$2000,K$1,Sets!$J$2:$J$2000,"N")=0,"",_xlfn.MAXIFS(Sets!$H$2:$H$2000,Sets!$A$2:$A$2000,$A41,Sets!$D$2:$D$2000,K$1,Sets!$J$2:$J$2000,"N"))</f>
        <v/>
      </c>
      <c r="L41" s="4" t="str">
        <f aca="false">IF(_xlfn.MAXIFS(Sets!$H$2:$H$2000,Sets!$A$2:$A$2000,$A41,Sets!$D$2:$D$2000,L$1,Sets!$J$2:$J$2000,"N")=0,"",_xlfn.MAXIFS(Sets!$H$2:$H$2000,Sets!$A$2:$A$2000,$A41,Sets!$D$2:$D$2000,L$1,Sets!$J$2:$J$2000,"N"))</f>
        <v/>
      </c>
      <c r="M41" s="4" t="str">
        <f aca="false">IF(_xlfn.MAXIFS(Sets!$H$2:$H$2000,Sets!$A$2:$A$2000,$A41,Sets!$D$2:$D$2000,M$1,Sets!$J$2:$J$2000,"N")=0,"",_xlfn.MAXIFS(Sets!$H$2:$H$2000,Sets!$A$2:$A$2000,$A41,Sets!$D$2:$D$2000,M$1,Sets!$J$2:$J$2000,"N"))</f>
        <v/>
      </c>
      <c r="N41" s="4" t="str">
        <f aca="false">IF(_xlfn.MAXIFS(Sets!$H$2:$H$2000,Sets!$A$2:$A$2000,$A41,Sets!$D$2:$D$2000,N$1,Sets!$J$2:$J$2000,"N")=0,"",_xlfn.MAXIFS(Sets!$H$2:$H$2000,Sets!$A$2:$A$2000,$A41,Sets!$D$2:$D$2000,N$1,Sets!$J$2:$J$2000,"N"))</f>
        <v/>
      </c>
      <c r="O41" s="4" t="str">
        <f aca="false">IF(_xlfn.MAXIFS(Sets!$H$2:$H$2000,Sets!$A$2:$A$2000,$A41,Sets!$D$2:$D$2000,O$1,Sets!$J$2:$J$2000,"N")=0,"",_xlfn.MAXIFS(Sets!$H$2:$H$2000,Sets!$A$2:$A$2000,$A41,Sets!$D$2:$D$2000,O$1,Sets!$J$2:$J$2000,"N"))</f>
        <v/>
      </c>
      <c r="P41" s="4" t="str">
        <f aca="false">IF(_xlfn.MAXIFS(Sets!$H$2:$H$2000,Sets!$A$2:$A$2000,$A41,Sets!$D$2:$D$2000,P$1,Sets!$J$2:$J$2000,"N")=0,"",_xlfn.MAXIFS(Sets!$H$2:$H$2000,Sets!$A$2:$A$2000,$A41,Sets!$D$2:$D$2000,P$1,Sets!$J$2:$J$2000,"N"))</f>
        <v/>
      </c>
      <c r="Q41" s="4" t="str">
        <f aca="false">IF(_xlfn.MAXIFS(Sets!$H$2:$H$2000,Sets!$A$2:$A$2000,$A41,Sets!$D$2:$D$2000,Q$1,Sets!$J$2:$J$2000,"N")=0,"",_xlfn.MAXIFS(Sets!$H$2:$H$2000,Sets!$A$2:$A$2000,$A41,Sets!$D$2:$D$2000,Q$1,Sets!$J$2:$J$2000,"N"))</f>
        <v/>
      </c>
      <c r="R41" s="4" t="str">
        <f aca="false">IF(_xlfn.MAXIFS(Sets!$H$2:$H$2000,Sets!$A$2:$A$2000,$A41,Sets!$D$2:$D$2000,R$1,Sets!$J$2:$J$2000,"N")=0,"",_xlfn.MAXIFS(Sets!$H$2:$H$2000,Sets!$A$2:$A$2000,$A41,Sets!$D$2:$D$2000,R$1,Sets!$J$2:$J$2000,"N"))</f>
        <v/>
      </c>
      <c r="S41" s="4" t="str">
        <f aca="false">IF(_xlfn.MAXIFS(Sets!$H$2:$H$2000,Sets!$A$2:$A$2000,$A41,Sets!$D$2:$D$2000,S$1,Sets!$J$2:$J$2000,"N")=0,"",_xlfn.MAXIFS(Sets!$H$2:$H$2000,Sets!$A$2:$A$2000,$A41,Sets!$D$2:$D$2000,S$1,Sets!$J$2:$J$2000,"N"))</f>
        <v/>
      </c>
      <c r="T41" s="4" t="str">
        <f aca="false">IF(_xlfn.MAXIFS(Sets!$H$2:$H$2000,Sets!$A$2:$A$2000,$A41,Sets!$D$2:$D$2000,T$1,Sets!$J$2:$J$2000,"N")=0,"",_xlfn.MAXIFS(Sets!$H$2:$H$2000,Sets!$A$2:$A$2000,$A41,Sets!$D$2:$D$2000,T$1,Sets!$J$2:$J$2000,"N"))</f>
        <v/>
      </c>
      <c r="U41" s="4" t="str">
        <f aca="false">IF(_xlfn.MAXIFS(Sets!$H$2:$H$2000,Sets!$A$2:$A$2000,$A41,Sets!$D$2:$D$2000,U$1,Sets!$J$2:$J$2000,"N")=0,"",_xlfn.MAXIFS(Sets!$H$2:$H$2000,Sets!$A$2:$A$2000,$A41,Sets!$D$2:$D$2000,U$1,Sets!$J$2:$J$2000,"N"))</f>
        <v/>
      </c>
      <c r="V41" s="4" t="str">
        <f aca="false">IF(_xlfn.MAXIFS(Sets!$H$2:$H$2000,Sets!$A$2:$A$2000,$A41,Sets!$D$2:$D$2000,V$1,Sets!$J$2:$J$2000,"N")=0,"",_xlfn.MAXIFS(Sets!$H$2:$H$2000,Sets!$A$2:$A$2000,$A41,Sets!$D$2:$D$2000,V$1,Sets!$J$2:$J$2000,"N"))</f>
        <v/>
      </c>
      <c r="W41" s="4" t="str">
        <f aca="false">IF(_xlfn.MAXIFS(Sets!$H$2:$H$2000,Sets!$A$2:$A$2000,$A41,Sets!$D$2:$D$2000,W$1,Sets!$J$2:$J$2000,"N")=0,"",_xlfn.MAXIFS(Sets!$H$2:$H$2000,Sets!$A$2:$A$2000,$A41,Sets!$D$2:$D$2000,W$1,Sets!$J$2:$J$2000,"N"))</f>
        <v/>
      </c>
      <c r="X41" s="4" t="str">
        <f aca="false">IF(_xlfn.MAXIFS(Sets!$H$2:$H$2000,Sets!$A$2:$A$2000,$A41,Sets!$D$2:$D$2000,X$1,Sets!$J$2:$J$2000,"N")=0,"",_xlfn.MAXIFS(Sets!$H$2:$H$2000,Sets!$A$2:$A$2000,$A41,Sets!$D$2:$D$2000,X$1,Sets!$J$2:$J$2000,"N"))</f>
        <v/>
      </c>
      <c r="Y41" s="4" t="str">
        <f aca="false">IF(_xlfn.MAXIFS(Sets!$H$2:$H$2000,Sets!$A$2:$A$2000,$A41,Sets!$D$2:$D$2000,Y$1,Sets!$J$2:$J$2000,"N")=0,"",_xlfn.MAXIFS(Sets!$H$2:$H$2000,Sets!$A$2:$A$2000,$A41,Sets!$D$2:$D$2000,Y$1,Sets!$J$2:$J$2000,"N"))</f>
        <v/>
      </c>
      <c r="Z41" s="4" t="str">
        <f aca="false">IF(_xlfn.MAXIFS(Sets!$H$2:$H$2000,Sets!$A$2:$A$2000,$A41,Sets!$D$2:$D$2000,Z$1,Sets!$J$2:$J$2000,"N")=0,"",_xlfn.MAXIFS(Sets!$H$2:$H$2000,Sets!$A$2:$A$2000,$A41,Sets!$D$2:$D$2000,Z$1,Sets!$J$2:$J$2000,"N"))</f>
        <v/>
      </c>
      <c r="AA41" s="4" t="str">
        <f aca="false">IF(_xlfn.MAXIFS(Sets!$H$2:$H$2000,Sets!$A$2:$A$2000,$A41,Sets!$D$2:$D$2000,AA$1,Sets!$J$2:$J$2000,"N")=0,"",_xlfn.MAXIFS(Sets!$H$2:$H$2000,Sets!$A$2:$A$2000,$A41,Sets!$D$2:$D$2000,AA$1,Sets!$J$2:$J$2000,"N"))</f>
        <v/>
      </c>
      <c r="AB41" s="4" t="str">
        <f aca="false">IF(_xlfn.MAXIFS(Sets!$H$2:$H$2000,Sets!$A$2:$A$2000,$A41,Sets!$D$2:$D$2000,AB$1,Sets!$J$2:$J$2000,"N")=0,"",_xlfn.MAXIFS(Sets!$H$2:$H$2000,Sets!$A$2:$A$2000,$A41,Sets!$D$2:$D$2000,AB$1,Sets!$J$2:$J$2000,"N"))</f>
        <v/>
      </c>
      <c r="AC41" s="4" t="str">
        <f aca="false">IF(_xlfn.MAXIFS(Sets!$H$2:$H$2000,Sets!$A$2:$A$2000,$A41,Sets!$D$2:$D$2000,AC$1,Sets!$J$2:$J$2000,"N")=0,"",_xlfn.MAXIFS(Sets!$H$2:$H$2000,Sets!$A$2:$A$2000,$A41,Sets!$D$2:$D$2000,AC$1,Sets!$J$2:$J$2000,"N"))</f>
        <v/>
      </c>
      <c r="AD41" s="4" t="str">
        <f aca="false">IF(_xlfn.MAXIFS(Sets!$H$2:$H$2000,Sets!$A$2:$A$2000,$A41,Sets!$D$2:$D$2000,AD$1,Sets!$J$2:$J$2000,"N")=0,"",_xlfn.MAXIFS(Sets!$H$2:$H$2000,Sets!$A$2:$A$2000,$A41,Sets!$D$2:$D$2000,AD$1,Sets!$J$2:$J$2000,"N"))</f>
        <v/>
      </c>
      <c r="AE41" s="4" t="str">
        <f aca="false">IF(_xlfn.MAXIFS(Sets!$H$2:$H$2000,Sets!$A$2:$A$2000,$A41,Sets!$D$2:$D$2000,AE$1,Sets!$J$2:$J$2000,"N")=0,"",_xlfn.MAXIFS(Sets!$H$2:$H$2000,Sets!$A$2:$A$2000,$A41,Sets!$D$2:$D$2000,AE$1,Sets!$J$2:$J$2000,"N"))</f>
        <v/>
      </c>
      <c r="AF41" s="4" t="str">
        <f aca="false">IF(_xlfn.MAXIFS(Sets!$H$2:$H$2000,Sets!$A$2:$A$2000,$A41,Sets!$D$2:$D$2000,AF$1,Sets!$J$2:$J$2000,"N")=0,"",_xlfn.MAXIFS(Sets!$H$2:$H$2000,Sets!$A$2:$A$2000,$A41,Sets!$D$2:$D$2000,AF$1,Sets!$J$2:$J$2000,"N"))</f>
        <v/>
      </c>
      <c r="AG41" s="4" t="str">
        <f aca="false">IF(_xlfn.MAXIFS(Sets!$H$2:$H$2000,Sets!$A$2:$A$2000,$A41,Sets!$D$2:$D$2000,AG$1,Sets!$J$2:$J$2000,"N")=0,"",_xlfn.MAXIFS(Sets!$H$2:$H$2000,Sets!$A$2:$A$2000,$A41,Sets!$D$2:$D$2000,AG$1,Sets!$J$2:$J$2000,"N"))</f>
        <v/>
      </c>
      <c r="AH41" s="4" t="str">
        <f aca="false">IF(_xlfn.MAXIFS(Sets!$H$2:$H$2000,Sets!$A$2:$A$2000,$A41,Sets!$D$2:$D$2000,AH$1,Sets!$J$2:$J$2000,"N")=0,"",_xlfn.MAXIFS(Sets!$H$2:$H$2000,Sets!$A$2:$A$2000,$A41,Sets!$D$2:$D$2000,AH$1,Sets!$J$2:$J$2000,"N"))</f>
        <v/>
      </c>
    </row>
    <row r="42" customFormat="false" ht="15" hidden="false" customHeight="false" outlineLevel="0" collapsed="false">
      <c r="A42" s="16" t="n">
        <v>46191</v>
      </c>
      <c r="B42" s="4" t="str">
        <f aca="false">IF(_xlfn.MAXIFS(Sets!$H$2:$H$2000,Sets!$A$2:$A$2000,$A42,Sets!$D$2:$D$2000,B$1,Sets!$J$2:$J$2000,"N")=0,"",_xlfn.MAXIFS(Sets!$H$2:$H$2000,Sets!$A$2:$A$2000,$A42,Sets!$D$2:$D$2000,B$1,Sets!$J$2:$J$2000,"N"))</f>
        <v/>
      </c>
      <c r="C42" s="4" t="n">
        <f aca="false">IF(_xlfn.MAXIFS(Sets!$H$2:$H$2000,Sets!$A$2:$A$2000,$A42,Sets!$D$2:$D$2000,C$1,Sets!$J$2:$J$2000,"N")=0,"",_xlfn.MAXIFS(Sets!$H$2:$H$2000,Sets!$A$2:$A$2000,$A42,Sets!$D$2:$D$2000,C$1,Sets!$J$2:$J$2000,"N"))</f>
        <v>22.5</v>
      </c>
      <c r="D42" s="4" t="str">
        <f aca="false">IF(_xlfn.MAXIFS(Sets!$H$2:$H$2000,Sets!$A$2:$A$2000,$A42,Sets!$D$2:$D$2000,D$1,Sets!$J$2:$J$2000,"N")=0,"",_xlfn.MAXIFS(Sets!$H$2:$H$2000,Sets!$A$2:$A$2000,$A42,Sets!$D$2:$D$2000,D$1,Sets!$J$2:$J$2000,"N"))</f>
        <v/>
      </c>
      <c r="E42" s="4" t="str">
        <f aca="false">IF(_xlfn.MAXIFS(Sets!$H$2:$H$2000,Sets!$A$2:$A$2000,$A42,Sets!$D$2:$D$2000,E$1,Sets!$J$2:$J$2000,"N")=0,"",_xlfn.MAXIFS(Sets!$H$2:$H$2000,Sets!$A$2:$A$2000,$A42,Sets!$D$2:$D$2000,E$1,Sets!$J$2:$J$2000,"N"))</f>
        <v/>
      </c>
      <c r="F42" s="4" t="str">
        <f aca="false">IF(_xlfn.MAXIFS(Sets!$H$2:$H$2000,Sets!$A$2:$A$2000,$A42,Sets!$D$2:$D$2000,F$1,Sets!$J$2:$J$2000,"N")=0,"",_xlfn.MAXIFS(Sets!$H$2:$H$2000,Sets!$A$2:$A$2000,$A42,Sets!$D$2:$D$2000,F$1,Sets!$J$2:$J$2000,"N"))</f>
        <v/>
      </c>
      <c r="G42" s="4" t="n">
        <f aca="false">IF(_xlfn.MAXIFS(Sets!$H$2:$H$2000,Sets!$A$2:$A$2000,$A42,Sets!$D$2:$D$2000,G$1,Sets!$J$2:$J$2000,"N")=0,"",_xlfn.MAXIFS(Sets!$H$2:$H$2000,Sets!$A$2:$A$2000,$A42,Sets!$D$2:$D$2000,G$1,Sets!$J$2:$J$2000,"N"))</f>
        <v>50</v>
      </c>
      <c r="H42" s="4" t="n">
        <f aca="false">IF(_xlfn.MAXIFS(Sets!$H$2:$H$2000,Sets!$A$2:$A$2000,$A42,Sets!$D$2:$D$2000,H$1,Sets!$J$2:$J$2000,"N")=0,"",_xlfn.MAXIFS(Sets!$H$2:$H$2000,Sets!$A$2:$A$2000,$A42,Sets!$D$2:$D$2000,H$1,Sets!$J$2:$J$2000,"N"))</f>
        <v>55</v>
      </c>
      <c r="I42" s="4" t="n">
        <f aca="false">IF(_xlfn.MAXIFS(Sets!$H$2:$H$2000,Sets!$A$2:$A$2000,$A42,Sets!$D$2:$D$2000,I$1,Sets!$J$2:$J$2000,"N")=0,"",_xlfn.MAXIFS(Sets!$H$2:$H$2000,Sets!$A$2:$A$2000,$A42,Sets!$D$2:$D$2000,I$1,Sets!$J$2:$J$2000,"N"))</f>
        <v>35</v>
      </c>
      <c r="J42" s="4" t="str">
        <f aca="false">IF(_xlfn.MAXIFS(Sets!$H$2:$H$2000,Sets!$A$2:$A$2000,$A42,Sets!$D$2:$D$2000,J$1,Sets!$J$2:$J$2000,"N")=0,"",_xlfn.MAXIFS(Sets!$H$2:$H$2000,Sets!$A$2:$A$2000,$A42,Sets!$D$2:$D$2000,J$1,Sets!$J$2:$J$2000,"N"))</f>
        <v/>
      </c>
      <c r="K42" s="4" t="str">
        <f aca="false">IF(_xlfn.MAXIFS(Sets!$H$2:$H$2000,Sets!$A$2:$A$2000,$A42,Sets!$D$2:$D$2000,K$1,Sets!$J$2:$J$2000,"N")=0,"",_xlfn.MAXIFS(Sets!$H$2:$H$2000,Sets!$A$2:$A$2000,$A42,Sets!$D$2:$D$2000,K$1,Sets!$J$2:$J$2000,"N"))</f>
        <v/>
      </c>
      <c r="L42" s="4" t="str">
        <f aca="false">IF(_xlfn.MAXIFS(Sets!$H$2:$H$2000,Sets!$A$2:$A$2000,$A42,Sets!$D$2:$D$2000,L$1,Sets!$J$2:$J$2000,"N")=0,"",_xlfn.MAXIFS(Sets!$H$2:$H$2000,Sets!$A$2:$A$2000,$A42,Sets!$D$2:$D$2000,L$1,Sets!$J$2:$J$2000,"N"))</f>
        <v/>
      </c>
      <c r="M42" s="4" t="str">
        <f aca="false">IF(_xlfn.MAXIFS(Sets!$H$2:$H$2000,Sets!$A$2:$A$2000,$A42,Sets!$D$2:$D$2000,M$1,Sets!$J$2:$J$2000,"N")=0,"",_xlfn.MAXIFS(Sets!$H$2:$H$2000,Sets!$A$2:$A$2000,$A42,Sets!$D$2:$D$2000,M$1,Sets!$J$2:$J$2000,"N"))</f>
        <v/>
      </c>
      <c r="N42" s="4" t="n">
        <f aca="false">IF(_xlfn.MAXIFS(Sets!$H$2:$H$2000,Sets!$A$2:$A$2000,$A42,Sets!$D$2:$D$2000,N$1,Sets!$J$2:$J$2000,"N")=0,"",_xlfn.MAXIFS(Sets!$H$2:$H$2000,Sets!$A$2:$A$2000,$A42,Sets!$D$2:$D$2000,N$1,Sets!$J$2:$J$2000,"N"))</f>
        <v>35</v>
      </c>
      <c r="O42" s="4" t="str">
        <f aca="false">IF(_xlfn.MAXIFS(Sets!$H$2:$H$2000,Sets!$A$2:$A$2000,$A42,Sets!$D$2:$D$2000,O$1,Sets!$J$2:$J$2000,"N")=0,"",_xlfn.MAXIFS(Sets!$H$2:$H$2000,Sets!$A$2:$A$2000,$A42,Sets!$D$2:$D$2000,O$1,Sets!$J$2:$J$2000,"N"))</f>
        <v/>
      </c>
      <c r="P42" s="4" t="str">
        <f aca="false">IF(_xlfn.MAXIFS(Sets!$H$2:$H$2000,Sets!$A$2:$A$2000,$A42,Sets!$D$2:$D$2000,P$1,Sets!$J$2:$J$2000,"N")=0,"",_xlfn.MAXIFS(Sets!$H$2:$H$2000,Sets!$A$2:$A$2000,$A42,Sets!$D$2:$D$2000,P$1,Sets!$J$2:$J$2000,"N"))</f>
        <v/>
      </c>
      <c r="Q42" s="4" t="str">
        <f aca="false">IF(_xlfn.MAXIFS(Sets!$H$2:$H$2000,Sets!$A$2:$A$2000,$A42,Sets!$D$2:$D$2000,Q$1,Sets!$J$2:$J$2000,"N")=0,"",_xlfn.MAXIFS(Sets!$H$2:$H$2000,Sets!$A$2:$A$2000,$A42,Sets!$D$2:$D$2000,Q$1,Sets!$J$2:$J$2000,"N"))</f>
        <v/>
      </c>
      <c r="R42" s="4" t="str">
        <f aca="false">IF(_xlfn.MAXIFS(Sets!$H$2:$H$2000,Sets!$A$2:$A$2000,$A42,Sets!$D$2:$D$2000,R$1,Sets!$J$2:$J$2000,"N")=0,"",_xlfn.MAXIFS(Sets!$H$2:$H$2000,Sets!$A$2:$A$2000,$A42,Sets!$D$2:$D$2000,R$1,Sets!$J$2:$J$2000,"N"))</f>
        <v/>
      </c>
      <c r="S42" s="4" t="str">
        <f aca="false">IF(_xlfn.MAXIFS(Sets!$H$2:$H$2000,Sets!$A$2:$A$2000,$A42,Sets!$D$2:$D$2000,S$1,Sets!$J$2:$J$2000,"N")=0,"",_xlfn.MAXIFS(Sets!$H$2:$H$2000,Sets!$A$2:$A$2000,$A42,Sets!$D$2:$D$2000,S$1,Sets!$J$2:$J$2000,"N"))</f>
        <v/>
      </c>
      <c r="T42" s="4" t="str">
        <f aca="false">IF(_xlfn.MAXIFS(Sets!$H$2:$H$2000,Sets!$A$2:$A$2000,$A42,Sets!$D$2:$D$2000,T$1,Sets!$J$2:$J$2000,"N")=0,"",_xlfn.MAXIFS(Sets!$H$2:$H$2000,Sets!$A$2:$A$2000,$A42,Sets!$D$2:$D$2000,T$1,Sets!$J$2:$J$2000,"N"))</f>
        <v/>
      </c>
      <c r="U42" s="4" t="str">
        <f aca="false">IF(_xlfn.MAXIFS(Sets!$H$2:$H$2000,Sets!$A$2:$A$2000,$A42,Sets!$D$2:$D$2000,U$1,Sets!$J$2:$J$2000,"N")=0,"",_xlfn.MAXIFS(Sets!$H$2:$H$2000,Sets!$A$2:$A$2000,$A42,Sets!$D$2:$D$2000,U$1,Sets!$J$2:$J$2000,"N"))</f>
        <v/>
      </c>
      <c r="V42" s="4" t="str">
        <f aca="false">IF(_xlfn.MAXIFS(Sets!$H$2:$H$2000,Sets!$A$2:$A$2000,$A42,Sets!$D$2:$D$2000,V$1,Sets!$J$2:$J$2000,"N")=0,"",_xlfn.MAXIFS(Sets!$H$2:$H$2000,Sets!$A$2:$A$2000,$A42,Sets!$D$2:$D$2000,V$1,Sets!$J$2:$J$2000,"N"))</f>
        <v/>
      </c>
      <c r="W42" s="4" t="str">
        <f aca="false">IF(_xlfn.MAXIFS(Sets!$H$2:$H$2000,Sets!$A$2:$A$2000,$A42,Sets!$D$2:$D$2000,W$1,Sets!$J$2:$J$2000,"N")=0,"",_xlfn.MAXIFS(Sets!$H$2:$H$2000,Sets!$A$2:$A$2000,$A42,Sets!$D$2:$D$2000,W$1,Sets!$J$2:$J$2000,"N"))</f>
        <v/>
      </c>
      <c r="X42" s="4" t="str">
        <f aca="false">IF(_xlfn.MAXIFS(Sets!$H$2:$H$2000,Sets!$A$2:$A$2000,$A42,Sets!$D$2:$D$2000,X$1,Sets!$J$2:$J$2000,"N")=0,"",_xlfn.MAXIFS(Sets!$H$2:$H$2000,Sets!$A$2:$A$2000,$A42,Sets!$D$2:$D$2000,X$1,Sets!$J$2:$J$2000,"N"))</f>
        <v/>
      </c>
      <c r="Y42" s="4" t="str">
        <f aca="false">IF(_xlfn.MAXIFS(Sets!$H$2:$H$2000,Sets!$A$2:$A$2000,$A42,Sets!$D$2:$D$2000,Y$1,Sets!$J$2:$J$2000,"N")=0,"",_xlfn.MAXIFS(Sets!$H$2:$H$2000,Sets!$A$2:$A$2000,$A42,Sets!$D$2:$D$2000,Y$1,Sets!$J$2:$J$2000,"N"))</f>
        <v/>
      </c>
      <c r="Z42" s="4" t="str">
        <f aca="false">IF(_xlfn.MAXIFS(Sets!$H$2:$H$2000,Sets!$A$2:$A$2000,$A42,Sets!$D$2:$D$2000,Z$1,Sets!$J$2:$J$2000,"N")=0,"",_xlfn.MAXIFS(Sets!$H$2:$H$2000,Sets!$A$2:$A$2000,$A42,Sets!$D$2:$D$2000,Z$1,Sets!$J$2:$J$2000,"N"))</f>
        <v/>
      </c>
      <c r="AA42" s="4" t="str">
        <f aca="false">IF(_xlfn.MAXIFS(Sets!$H$2:$H$2000,Sets!$A$2:$A$2000,$A42,Sets!$D$2:$D$2000,AA$1,Sets!$J$2:$J$2000,"N")=0,"",_xlfn.MAXIFS(Sets!$H$2:$H$2000,Sets!$A$2:$A$2000,$A42,Sets!$D$2:$D$2000,AA$1,Sets!$J$2:$J$2000,"N"))</f>
        <v/>
      </c>
      <c r="AB42" s="4" t="str">
        <f aca="false">IF(_xlfn.MAXIFS(Sets!$H$2:$H$2000,Sets!$A$2:$A$2000,$A42,Sets!$D$2:$D$2000,AB$1,Sets!$J$2:$J$2000,"N")=0,"",_xlfn.MAXIFS(Sets!$H$2:$H$2000,Sets!$A$2:$A$2000,$A42,Sets!$D$2:$D$2000,AB$1,Sets!$J$2:$J$2000,"N"))</f>
        <v/>
      </c>
      <c r="AC42" s="4" t="str">
        <f aca="false">IF(_xlfn.MAXIFS(Sets!$H$2:$H$2000,Sets!$A$2:$A$2000,$A42,Sets!$D$2:$D$2000,AC$1,Sets!$J$2:$J$2000,"N")=0,"",_xlfn.MAXIFS(Sets!$H$2:$H$2000,Sets!$A$2:$A$2000,$A42,Sets!$D$2:$D$2000,AC$1,Sets!$J$2:$J$2000,"N"))</f>
        <v/>
      </c>
      <c r="AD42" s="4" t="str">
        <f aca="false">IF(_xlfn.MAXIFS(Sets!$H$2:$H$2000,Sets!$A$2:$A$2000,$A42,Sets!$D$2:$D$2000,AD$1,Sets!$J$2:$J$2000,"N")=0,"",_xlfn.MAXIFS(Sets!$H$2:$H$2000,Sets!$A$2:$A$2000,$A42,Sets!$D$2:$D$2000,AD$1,Sets!$J$2:$J$2000,"N"))</f>
        <v/>
      </c>
      <c r="AE42" s="4" t="str">
        <f aca="false">IF(_xlfn.MAXIFS(Sets!$H$2:$H$2000,Sets!$A$2:$A$2000,$A42,Sets!$D$2:$D$2000,AE$1,Sets!$J$2:$J$2000,"N")=0,"",_xlfn.MAXIFS(Sets!$H$2:$H$2000,Sets!$A$2:$A$2000,$A42,Sets!$D$2:$D$2000,AE$1,Sets!$J$2:$J$2000,"N"))</f>
        <v/>
      </c>
      <c r="AF42" s="4" t="str">
        <f aca="false">IF(_xlfn.MAXIFS(Sets!$H$2:$H$2000,Sets!$A$2:$A$2000,$A42,Sets!$D$2:$D$2000,AF$1,Sets!$J$2:$J$2000,"N")=0,"",_xlfn.MAXIFS(Sets!$H$2:$H$2000,Sets!$A$2:$A$2000,$A42,Sets!$D$2:$D$2000,AF$1,Sets!$J$2:$J$2000,"N"))</f>
        <v/>
      </c>
      <c r="AG42" s="4" t="str">
        <f aca="false">IF(_xlfn.MAXIFS(Sets!$H$2:$H$2000,Sets!$A$2:$A$2000,$A42,Sets!$D$2:$D$2000,AG$1,Sets!$J$2:$J$2000,"N")=0,"",_xlfn.MAXIFS(Sets!$H$2:$H$2000,Sets!$A$2:$A$2000,$A42,Sets!$D$2:$D$2000,AG$1,Sets!$J$2:$J$2000,"N"))</f>
        <v/>
      </c>
      <c r="AH42" s="4" t="str">
        <f aca="false">IF(_xlfn.MAXIFS(Sets!$H$2:$H$2000,Sets!$A$2:$A$2000,$A42,Sets!$D$2:$D$2000,AH$1,Sets!$J$2:$J$2000,"N")=0,"",_xlfn.MAXIFS(Sets!$H$2:$H$2000,Sets!$A$2:$A$2000,$A42,Sets!$D$2:$D$2000,AH$1,Sets!$J$2:$J$2000,"N"))</f>
        <v/>
      </c>
    </row>
    <row r="43" customFormat="false" ht="15" hidden="false" customHeight="false" outlineLevel="0" collapsed="false">
      <c r="A43" s="16" t="n">
        <v>46196</v>
      </c>
      <c r="B43" s="4" t="str">
        <f aca="false">IF(_xlfn.MAXIFS(Sets!$H$2:$H$2000,Sets!$A$2:$A$2000,$A43,Sets!$D$2:$D$2000,B$1,Sets!$J$2:$J$2000,"N")=0,"",_xlfn.MAXIFS(Sets!$H$2:$H$2000,Sets!$A$2:$A$2000,$A43,Sets!$D$2:$D$2000,B$1,Sets!$J$2:$J$2000,"N"))</f>
        <v/>
      </c>
      <c r="C43" s="4" t="n">
        <f aca="false">IF(_xlfn.MAXIFS(Sets!$H$2:$H$2000,Sets!$A$2:$A$2000,$A43,Sets!$D$2:$D$2000,C$1,Sets!$J$2:$J$2000,"N")=0,"",_xlfn.MAXIFS(Sets!$H$2:$H$2000,Sets!$A$2:$A$2000,$A43,Sets!$D$2:$D$2000,C$1,Sets!$J$2:$J$2000,"N"))</f>
        <v>25</v>
      </c>
      <c r="D43" s="4" t="str">
        <f aca="false">IF(_xlfn.MAXIFS(Sets!$H$2:$H$2000,Sets!$A$2:$A$2000,$A43,Sets!$D$2:$D$2000,D$1,Sets!$J$2:$J$2000,"N")=0,"",_xlfn.MAXIFS(Sets!$H$2:$H$2000,Sets!$A$2:$A$2000,$A43,Sets!$D$2:$D$2000,D$1,Sets!$J$2:$J$2000,"N"))</f>
        <v/>
      </c>
      <c r="E43" s="4" t="str">
        <f aca="false">IF(_xlfn.MAXIFS(Sets!$H$2:$H$2000,Sets!$A$2:$A$2000,$A43,Sets!$D$2:$D$2000,E$1,Sets!$J$2:$J$2000,"N")=0,"",_xlfn.MAXIFS(Sets!$H$2:$H$2000,Sets!$A$2:$A$2000,$A43,Sets!$D$2:$D$2000,E$1,Sets!$J$2:$J$2000,"N"))</f>
        <v/>
      </c>
      <c r="F43" s="4" t="n">
        <f aca="false">IF(_xlfn.MAXIFS(Sets!$H$2:$H$2000,Sets!$A$2:$A$2000,$A43,Sets!$D$2:$D$2000,F$1,Sets!$J$2:$J$2000,"N")=0,"",_xlfn.MAXIFS(Sets!$H$2:$H$2000,Sets!$A$2:$A$2000,$A43,Sets!$D$2:$D$2000,F$1,Sets!$J$2:$J$2000,"N"))</f>
        <v>25</v>
      </c>
      <c r="G43" s="4" t="str">
        <f aca="false">IF(_xlfn.MAXIFS(Sets!$H$2:$H$2000,Sets!$A$2:$A$2000,$A43,Sets!$D$2:$D$2000,G$1,Sets!$J$2:$J$2000,"N")=0,"",_xlfn.MAXIFS(Sets!$H$2:$H$2000,Sets!$A$2:$A$2000,$A43,Sets!$D$2:$D$2000,G$1,Sets!$J$2:$J$2000,"N"))</f>
        <v/>
      </c>
      <c r="H43" s="4" t="n">
        <f aca="false">IF(_xlfn.MAXIFS(Sets!$H$2:$H$2000,Sets!$A$2:$A$2000,$A43,Sets!$D$2:$D$2000,H$1,Sets!$J$2:$J$2000,"N")=0,"",_xlfn.MAXIFS(Sets!$H$2:$H$2000,Sets!$A$2:$A$2000,$A43,Sets!$D$2:$D$2000,H$1,Sets!$J$2:$J$2000,"N"))</f>
        <v>55</v>
      </c>
      <c r="I43" s="4" t="str">
        <f aca="false">IF(_xlfn.MAXIFS(Sets!$H$2:$H$2000,Sets!$A$2:$A$2000,$A43,Sets!$D$2:$D$2000,I$1,Sets!$J$2:$J$2000,"N")=0,"",_xlfn.MAXIFS(Sets!$H$2:$H$2000,Sets!$A$2:$A$2000,$A43,Sets!$D$2:$D$2000,I$1,Sets!$J$2:$J$2000,"N"))</f>
        <v/>
      </c>
      <c r="J43" s="4" t="str">
        <f aca="false">IF(_xlfn.MAXIFS(Sets!$H$2:$H$2000,Sets!$A$2:$A$2000,$A43,Sets!$D$2:$D$2000,J$1,Sets!$J$2:$J$2000,"N")=0,"",_xlfn.MAXIFS(Sets!$H$2:$H$2000,Sets!$A$2:$A$2000,$A43,Sets!$D$2:$D$2000,J$1,Sets!$J$2:$J$2000,"N"))</f>
        <v/>
      </c>
      <c r="K43" s="4" t="str">
        <f aca="false">IF(_xlfn.MAXIFS(Sets!$H$2:$H$2000,Sets!$A$2:$A$2000,$A43,Sets!$D$2:$D$2000,K$1,Sets!$J$2:$J$2000,"N")=0,"",_xlfn.MAXIFS(Sets!$H$2:$H$2000,Sets!$A$2:$A$2000,$A43,Sets!$D$2:$D$2000,K$1,Sets!$J$2:$J$2000,"N"))</f>
        <v/>
      </c>
      <c r="L43" s="4" t="str">
        <f aca="false">IF(_xlfn.MAXIFS(Sets!$H$2:$H$2000,Sets!$A$2:$A$2000,$A43,Sets!$D$2:$D$2000,L$1,Sets!$J$2:$J$2000,"N")=0,"",_xlfn.MAXIFS(Sets!$H$2:$H$2000,Sets!$A$2:$A$2000,$A43,Sets!$D$2:$D$2000,L$1,Sets!$J$2:$J$2000,"N"))</f>
        <v/>
      </c>
      <c r="M43" s="4" t="str">
        <f aca="false">IF(_xlfn.MAXIFS(Sets!$H$2:$H$2000,Sets!$A$2:$A$2000,$A43,Sets!$D$2:$D$2000,M$1,Sets!$J$2:$J$2000,"N")=0,"",_xlfn.MAXIFS(Sets!$H$2:$H$2000,Sets!$A$2:$A$2000,$A43,Sets!$D$2:$D$2000,M$1,Sets!$J$2:$J$2000,"N"))</f>
        <v/>
      </c>
      <c r="N43" s="4" t="str">
        <f aca="false">IF(_xlfn.MAXIFS(Sets!$H$2:$H$2000,Sets!$A$2:$A$2000,$A43,Sets!$D$2:$D$2000,N$1,Sets!$J$2:$J$2000,"N")=0,"",_xlfn.MAXIFS(Sets!$H$2:$H$2000,Sets!$A$2:$A$2000,$A43,Sets!$D$2:$D$2000,N$1,Sets!$J$2:$J$2000,"N"))</f>
        <v/>
      </c>
      <c r="O43" s="4" t="str">
        <f aca="false">IF(_xlfn.MAXIFS(Sets!$H$2:$H$2000,Sets!$A$2:$A$2000,$A43,Sets!$D$2:$D$2000,O$1,Sets!$J$2:$J$2000,"N")=0,"",_xlfn.MAXIFS(Sets!$H$2:$H$2000,Sets!$A$2:$A$2000,$A43,Sets!$D$2:$D$2000,O$1,Sets!$J$2:$J$2000,"N"))</f>
        <v/>
      </c>
      <c r="P43" s="4" t="str">
        <f aca="false">IF(_xlfn.MAXIFS(Sets!$H$2:$H$2000,Sets!$A$2:$A$2000,$A43,Sets!$D$2:$D$2000,P$1,Sets!$J$2:$J$2000,"N")=0,"",_xlfn.MAXIFS(Sets!$H$2:$H$2000,Sets!$A$2:$A$2000,$A43,Sets!$D$2:$D$2000,P$1,Sets!$J$2:$J$2000,"N"))</f>
        <v/>
      </c>
      <c r="Q43" s="4" t="str">
        <f aca="false">IF(_xlfn.MAXIFS(Sets!$H$2:$H$2000,Sets!$A$2:$A$2000,$A43,Sets!$D$2:$D$2000,Q$1,Sets!$J$2:$J$2000,"N")=0,"",_xlfn.MAXIFS(Sets!$H$2:$H$2000,Sets!$A$2:$A$2000,$A43,Sets!$D$2:$D$2000,Q$1,Sets!$J$2:$J$2000,"N"))</f>
        <v/>
      </c>
      <c r="R43" s="4" t="str">
        <f aca="false">IF(_xlfn.MAXIFS(Sets!$H$2:$H$2000,Sets!$A$2:$A$2000,$A43,Sets!$D$2:$D$2000,R$1,Sets!$J$2:$J$2000,"N")=0,"",_xlfn.MAXIFS(Sets!$H$2:$H$2000,Sets!$A$2:$A$2000,$A43,Sets!$D$2:$D$2000,R$1,Sets!$J$2:$J$2000,"N"))</f>
        <v/>
      </c>
      <c r="S43" s="4" t="str">
        <f aca="false">IF(_xlfn.MAXIFS(Sets!$H$2:$H$2000,Sets!$A$2:$A$2000,$A43,Sets!$D$2:$D$2000,S$1,Sets!$J$2:$J$2000,"N")=0,"",_xlfn.MAXIFS(Sets!$H$2:$H$2000,Sets!$A$2:$A$2000,$A43,Sets!$D$2:$D$2000,S$1,Sets!$J$2:$J$2000,"N"))</f>
        <v/>
      </c>
      <c r="T43" s="4" t="str">
        <f aca="false">IF(_xlfn.MAXIFS(Sets!$H$2:$H$2000,Sets!$A$2:$A$2000,$A43,Sets!$D$2:$D$2000,T$1,Sets!$J$2:$J$2000,"N")=0,"",_xlfn.MAXIFS(Sets!$H$2:$H$2000,Sets!$A$2:$A$2000,$A43,Sets!$D$2:$D$2000,T$1,Sets!$J$2:$J$2000,"N"))</f>
        <v/>
      </c>
      <c r="U43" s="4" t="str">
        <f aca="false">IF(_xlfn.MAXIFS(Sets!$H$2:$H$2000,Sets!$A$2:$A$2000,$A43,Sets!$D$2:$D$2000,U$1,Sets!$J$2:$J$2000,"N")=0,"",_xlfn.MAXIFS(Sets!$H$2:$H$2000,Sets!$A$2:$A$2000,$A43,Sets!$D$2:$D$2000,U$1,Sets!$J$2:$J$2000,"N"))</f>
        <v/>
      </c>
      <c r="V43" s="4" t="str">
        <f aca="false">IF(_xlfn.MAXIFS(Sets!$H$2:$H$2000,Sets!$A$2:$A$2000,$A43,Sets!$D$2:$D$2000,V$1,Sets!$J$2:$J$2000,"N")=0,"",_xlfn.MAXIFS(Sets!$H$2:$H$2000,Sets!$A$2:$A$2000,$A43,Sets!$D$2:$D$2000,V$1,Sets!$J$2:$J$2000,"N"))</f>
        <v/>
      </c>
      <c r="W43" s="4" t="str">
        <f aca="false">IF(_xlfn.MAXIFS(Sets!$H$2:$H$2000,Sets!$A$2:$A$2000,$A43,Sets!$D$2:$D$2000,W$1,Sets!$J$2:$J$2000,"N")=0,"",_xlfn.MAXIFS(Sets!$H$2:$H$2000,Sets!$A$2:$A$2000,$A43,Sets!$D$2:$D$2000,W$1,Sets!$J$2:$J$2000,"N"))</f>
        <v/>
      </c>
      <c r="X43" s="4" t="str">
        <f aca="false">IF(_xlfn.MAXIFS(Sets!$H$2:$H$2000,Sets!$A$2:$A$2000,$A43,Sets!$D$2:$D$2000,X$1,Sets!$J$2:$J$2000,"N")=0,"",_xlfn.MAXIFS(Sets!$H$2:$H$2000,Sets!$A$2:$A$2000,$A43,Sets!$D$2:$D$2000,X$1,Sets!$J$2:$J$2000,"N"))</f>
        <v/>
      </c>
      <c r="Y43" s="4" t="str">
        <f aca="false">IF(_xlfn.MAXIFS(Sets!$H$2:$H$2000,Sets!$A$2:$A$2000,$A43,Sets!$D$2:$D$2000,Y$1,Sets!$J$2:$J$2000,"N")=0,"",_xlfn.MAXIFS(Sets!$H$2:$H$2000,Sets!$A$2:$A$2000,$A43,Sets!$D$2:$D$2000,Y$1,Sets!$J$2:$J$2000,"N"))</f>
        <v/>
      </c>
      <c r="Z43" s="4" t="str">
        <f aca="false">IF(_xlfn.MAXIFS(Sets!$H$2:$H$2000,Sets!$A$2:$A$2000,$A43,Sets!$D$2:$D$2000,Z$1,Sets!$J$2:$J$2000,"N")=0,"",_xlfn.MAXIFS(Sets!$H$2:$H$2000,Sets!$A$2:$A$2000,$A43,Sets!$D$2:$D$2000,Z$1,Sets!$J$2:$J$2000,"N"))</f>
        <v/>
      </c>
      <c r="AA43" s="4" t="str">
        <f aca="false">IF(_xlfn.MAXIFS(Sets!$H$2:$H$2000,Sets!$A$2:$A$2000,$A43,Sets!$D$2:$D$2000,AA$1,Sets!$J$2:$J$2000,"N")=0,"",_xlfn.MAXIFS(Sets!$H$2:$H$2000,Sets!$A$2:$A$2000,$A43,Sets!$D$2:$D$2000,AA$1,Sets!$J$2:$J$2000,"N"))</f>
        <v/>
      </c>
      <c r="AB43" s="4" t="str">
        <f aca="false">IF(_xlfn.MAXIFS(Sets!$H$2:$H$2000,Sets!$A$2:$A$2000,$A43,Sets!$D$2:$D$2000,AB$1,Sets!$J$2:$J$2000,"N")=0,"",_xlfn.MAXIFS(Sets!$H$2:$H$2000,Sets!$A$2:$A$2000,$A43,Sets!$D$2:$D$2000,AB$1,Sets!$J$2:$J$2000,"N"))</f>
        <v/>
      </c>
      <c r="AC43" s="4" t="str">
        <f aca="false">IF(_xlfn.MAXIFS(Sets!$H$2:$H$2000,Sets!$A$2:$A$2000,$A43,Sets!$D$2:$D$2000,AC$1,Sets!$J$2:$J$2000,"N")=0,"",_xlfn.MAXIFS(Sets!$H$2:$H$2000,Sets!$A$2:$A$2000,$A43,Sets!$D$2:$D$2000,AC$1,Sets!$J$2:$J$2000,"N"))</f>
        <v/>
      </c>
      <c r="AD43" s="4" t="str">
        <f aca="false">IF(_xlfn.MAXIFS(Sets!$H$2:$H$2000,Sets!$A$2:$A$2000,$A43,Sets!$D$2:$D$2000,AD$1,Sets!$J$2:$J$2000,"N")=0,"",_xlfn.MAXIFS(Sets!$H$2:$H$2000,Sets!$A$2:$A$2000,$A43,Sets!$D$2:$D$2000,AD$1,Sets!$J$2:$J$2000,"N"))</f>
        <v/>
      </c>
      <c r="AE43" s="4" t="str">
        <f aca="false">IF(_xlfn.MAXIFS(Sets!$H$2:$H$2000,Sets!$A$2:$A$2000,$A43,Sets!$D$2:$D$2000,AE$1,Sets!$J$2:$J$2000,"N")=0,"",_xlfn.MAXIFS(Sets!$H$2:$H$2000,Sets!$A$2:$A$2000,$A43,Sets!$D$2:$D$2000,AE$1,Sets!$J$2:$J$2000,"N"))</f>
        <v/>
      </c>
      <c r="AF43" s="4" t="str">
        <f aca="false">IF(_xlfn.MAXIFS(Sets!$H$2:$H$2000,Sets!$A$2:$A$2000,$A43,Sets!$D$2:$D$2000,AF$1,Sets!$J$2:$J$2000,"N")=0,"",_xlfn.MAXIFS(Sets!$H$2:$H$2000,Sets!$A$2:$A$2000,$A43,Sets!$D$2:$D$2000,AF$1,Sets!$J$2:$J$2000,"N"))</f>
        <v/>
      </c>
      <c r="AG43" s="4" t="str">
        <f aca="false">IF(_xlfn.MAXIFS(Sets!$H$2:$H$2000,Sets!$A$2:$A$2000,$A43,Sets!$D$2:$D$2000,AG$1,Sets!$J$2:$J$2000,"N")=0,"",_xlfn.MAXIFS(Sets!$H$2:$H$2000,Sets!$A$2:$A$2000,$A43,Sets!$D$2:$D$2000,AG$1,Sets!$J$2:$J$2000,"N"))</f>
        <v/>
      </c>
      <c r="AH43" s="4" t="str">
        <f aca="false">IF(_xlfn.MAXIFS(Sets!$H$2:$H$2000,Sets!$A$2:$A$2000,$A43,Sets!$D$2:$D$2000,AH$1,Sets!$J$2:$J$2000,"N")=0,"",_xlfn.MAXIFS(Sets!$H$2:$H$2000,Sets!$A$2:$A$2000,$A43,Sets!$D$2:$D$2000,AH$1,Sets!$J$2:$J$2000,"N"))</f>
        <v/>
      </c>
    </row>
    <row r="44" customFormat="false" ht="15" hidden="false" customHeight="false" outlineLevel="0" collapsed="false">
      <c r="A44" s="16" t="n">
        <v>46198</v>
      </c>
      <c r="B44" s="4" t="n">
        <f aca="false">IF(_xlfn.MAXIFS(Sets!$H$2:$H$2000,Sets!$A$2:$A$2000,$A44,Sets!$D$2:$D$2000,B$1,Sets!$J$2:$J$2000,"N")=0,"",_xlfn.MAXIFS(Sets!$H$2:$H$2000,Sets!$A$2:$A$2000,$A44,Sets!$D$2:$D$2000,B$1,Sets!$J$2:$J$2000,"N"))</f>
        <v>35</v>
      </c>
      <c r="C44" s="4" t="str">
        <f aca="false">IF(_xlfn.MAXIFS(Sets!$H$2:$H$2000,Sets!$A$2:$A$2000,$A44,Sets!$D$2:$D$2000,C$1,Sets!$J$2:$J$2000,"N")=0,"",_xlfn.MAXIFS(Sets!$H$2:$H$2000,Sets!$A$2:$A$2000,$A44,Sets!$D$2:$D$2000,C$1,Sets!$J$2:$J$2000,"N"))</f>
        <v/>
      </c>
      <c r="D44" s="4" t="n">
        <f aca="false">IF(_xlfn.MAXIFS(Sets!$H$2:$H$2000,Sets!$A$2:$A$2000,$A44,Sets!$D$2:$D$2000,D$1,Sets!$J$2:$J$2000,"N")=0,"",_xlfn.MAXIFS(Sets!$H$2:$H$2000,Sets!$A$2:$A$2000,$A44,Sets!$D$2:$D$2000,D$1,Sets!$J$2:$J$2000,"N"))</f>
        <v>45</v>
      </c>
      <c r="E44" s="4" t="n">
        <f aca="false">IF(_xlfn.MAXIFS(Sets!$H$2:$H$2000,Sets!$A$2:$A$2000,$A44,Sets!$D$2:$D$2000,E$1,Sets!$J$2:$J$2000,"N")=0,"",_xlfn.MAXIFS(Sets!$H$2:$H$2000,Sets!$A$2:$A$2000,$A44,Sets!$D$2:$D$2000,E$1,Sets!$J$2:$J$2000,"N"))</f>
        <v>105</v>
      </c>
      <c r="F44" s="4" t="str">
        <f aca="false">IF(_xlfn.MAXIFS(Sets!$H$2:$H$2000,Sets!$A$2:$A$2000,$A44,Sets!$D$2:$D$2000,F$1,Sets!$J$2:$J$2000,"N")=0,"",_xlfn.MAXIFS(Sets!$H$2:$H$2000,Sets!$A$2:$A$2000,$A44,Sets!$D$2:$D$2000,F$1,Sets!$J$2:$J$2000,"N"))</f>
        <v/>
      </c>
      <c r="G44" s="4" t="str">
        <f aca="false">IF(_xlfn.MAXIFS(Sets!$H$2:$H$2000,Sets!$A$2:$A$2000,$A44,Sets!$D$2:$D$2000,G$1,Sets!$J$2:$J$2000,"N")=0,"",_xlfn.MAXIFS(Sets!$H$2:$H$2000,Sets!$A$2:$A$2000,$A44,Sets!$D$2:$D$2000,G$1,Sets!$J$2:$J$2000,"N"))</f>
        <v/>
      </c>
      <c r="H44" s="4" t="str">
        <f aca="false">IF(_xlfn.MAXIFS(Sets!$H$2:$H$2000,Sets!$A$2:$A$2000,$A44,Sets!$D$2:$D$2000,H$1,Sets!$J$2:$J$2000,"N")=0,"",_xlfn.MAXIFS(Sets!$H$2:$H$2000,Sets!$A$2:$A$2000,$A44,Sets!$D$2:$D$2000,H$1,Sets!$J$2:$J$2000,"N"))</f>
        <v/>
      </c>
      <c r="I44" s="4" t="str">
        <f aca="false">IF(_xlfn.MAXIFS(Sets!$H$2:$H$2000,Sets!$A$2:$A$2000,$A44,Sets!$D$2:$D$2000,I$1,Sets!$J$2:$J$2000,"N")=0,"",_xlfn.MAXIFS(Sets!$H$2:$H$2000,Sets!$A$2:$A$2000,$A44,Sets!$D$2:$D$2000,I$1,Sets!$J$2:$J$2000,"N"))</f>
        <v/>
      </c>
      <c r="J44" s="4" t="str">
        <f aca="false">IF(_xlfn.MAXIFS(Sets!$H$2:$H$2000,Sets!$A$2:$A$2000,$A44,Sets!$D$2:$D$2000,J$1,Sets!$J$2:$J$2000,"N")=0,"",_xlfn.MAXIFS(Sets!$H$2:$H$2000,Sets!$A$2:$A$2000,$A44,Sets!$D$2:$D$2000,J$1,Sets!$J$2:$J$2000,"N"))</f>
        <v/>
      </c>
      <c r="K44" s="4" t="str">
        <f aca="false">IF(_xlfn.MAXIFS(Sets!$H$2:$H$2000,Sets!$A$2:$A$2000,$A44,Sets!$D$2:$D$2000,K$1,Sets!$J$2:$J$2000,"N")=0,"",_xlfn.MAXIFS(Sets!$H$2:$H$2000,Sets!$A$2:$A$2000,$A44,Sets!$D$2:$D$2000,K$1,Sets!$J$2:$J$2000,"N"))</f>
        <v/>
      </c>
      <c r="L44" s="4" t="str">
        <f aca="false">IF(_xlfn.MAXIFS(Sets!$H$2:$H$2000,Sets!$A$2:$A$2000,$A44,Sets!$D$2:$D$2000,L$1,Sets!$J$2:$J$2000,"N")=0,"",_xlfn.MAXIFS(Sets!$H$2:$H$2000,Sets!$A$2:$A$2000,$A44,Sets!$D$2:$D$2000,L$1,Sets!$J$2:$J$2000,"N"))</f>
        <v/>
      </c>
      <c r="M44" s="4" t="str">
        <f aca="false">IF(_xlfn.MAXIFS(Sets!$H$2:$H$2000,Sets!$A$2:$A$2000,$A44,Sets!$D$2:$D$2000,M$1,Sets!$J$2:$J$2000,"N")=0,"",_xlfn.MAXIFS(Sets!$H$2:$H$2000,Sets!$A$2:$A$2000,$A44,Sets!$D$2:$D$2000,M$1,Sets!$J$2:$J$2000,"N"))</f>
        <v/>
      </c>
      <c r="N44" s="4" t="str">
        <f aca="false">IF(_xlfn.MAXIFS(Sets!$H$2:$H$2000,Sets!$A$2:$A$2000,$A44,Sets!$D$2:$D$2000,N$1,Sets!$J$2:$J$2000,"N")=0,"",_xlfn.MAXIFS(Sets!$H$2:$H$2000,Sets!$A$2:$A$2000,$A44,Sets!$D$2:$D$2000,N$1,Sets!$J$2:$J$2000,"N"))</f>
        <v/>
      </c>
      <c r="O44" s="4" t="str">
        <f aca="false">IF(_xlfn.MAXIFS(Sets!$H$2:$H$2000,Sets!$A$2:$A$2000,$A44,Sets!$D$2:$D$2000,O$1,Sets!$J$2:$J$2000,"N")=0,"",_xlfn.MAXIFS(Sets!$H$2:$H$2000,Sets!$A$2:$A$2000,$A44,Sets!$D$2:$D$2000,O$1,Sets!$J$2:$J$2000,"N"))</f>
        <v/>
      </c>
      <c r="P44" s="4" t="str">
        <f aca="false">IF(_xlfn.MAXIFS(Sets!$H$2:$H$2000,Sets!$A$2:$A$2000,$A44,Sets!$D$2:$D$2000,P$1,Sets!$J$2:$J$2000,"N")=0,"",_xlfn.MAXIFS(Sets!$H$2:$H$2000,Sets!$A$2:$A$2000,$A44,Sets!$D$2:$D$2000,P$1,Sets!$J$2:$J$2000,"N"))</f>
        <v/>
      </c>
      <c r="Q44" s="4" t="str">
        <f aca="false">IF(_xlfn.MAXIFS(Sets!$H$2:$H$2000,Sets!$A$2:$A$2000,$A44,Sets!$D$2:$D$2000,Q$1,Sets!$J$2:$J$2000,"N")=0,"",_xlfn.MAXIFS(Sets!$H$2:$H$2000,Sets!$A$2:$A$2000,$A44,Sets!$D$2:$D$2000,Q$1,Sets!$J$2:$J$2000,"N"))</f>
        <v/>
      </c>
      <c r="R44" s="4" t="str">
        <f aca="false">IF(_xlfn.MAXIFS(Sets!$H$2:$H$2000,Sets!$A$2:$A$2000,$A44,Sets!$D$2:$D$2000,R$1,Sets!$J$2:$J$2000,"N")=0,"",_xlfn.MAXIFS(Sets!$H$2:$H$2000,Sets!$A$2:$A$2000,$A44,Sets!$D$2:$D$2000,R$1,Sets!$J$2:$J$2000,"N"))</f>
        <v/>
      </c>
      <c r="S44" s="4" t="str">
        <f aca="false">IF(_xlfn.MAXIFS(Sets!$H$2:$H$2000,Sets!$A$2:$A$2000,$A44,Sets!$D$2:$D$2000,S$1,Sets!$J$2:$J$2000,"N")=0,"",_xlfn.MAXIFS(Sets!$H$2:$H$2000,Sets!$A$2:$A$2000,$A44,Sets!$D$2:$D$2000,S$1,Sets!$J$2:$J$2000,"N"))</f>
        <v/>
      </c>
      <c r="T44" s="4" t="str">
        <f aca="false">IF(_xlfn.MAXIFS(Sets!$H$2:$H$2000,Sets!$A$2:$A$2000,$A44,Sets!$D$2:$D$2000,T$1,Sets!$J$2:$J$2000,"N")=0,"",_xlfn.MAXIFS(Sets!$H$2:$H$2000,Sets!$A$2:$A$2000,$A44,Sets!$D$2:$D$2000,T$1,Sets!$J$2:$J$2000,"N"))</f>
        <v/>
      </c>
      <c r="U44" s="4" t="str">
        <f aca="false">IF(_xlfn.MAXIFS(Sets!$H$2:$H$2000,Sets!$A$2:$A$2000,$A44,Sets!$D$2:$D$2000,U$1,Sets!$J$2:$J$2000,"N")=0,"",_xlfn.MAXIFS(Sets!$H$2:$H$2000,Sets!$A$2:$A$2000,$A44,Sets!$D$2:$D$2000,U$1,Sets!$J$2:$J$2000,"N"))</f>
        <v/>
      </c>
      <c r="V44" s="4" t="str">
        <f aca="false">IF(_xlfn.MAXIFS(Sets!$H$2:$H$2000,Sets!$A$2:$A$2000,$A44,Sets!$D$2:$D$2000,V$1,Sets!$J$2:$J$2000,"N")=0,"",_xlfn.MAXIFS(Sets!$H$2:$H$2000,Sets!$A$2:$A$2000,$A44,Sets!$D$2:$D$2000,V$1,Sets!$J$2:$J$2000,"N"))</f>
        <v/>
      </c>
      <c r="W44" s="4" t="str">
        <f aca="false">IF(_xlfn.MAXIFS(Sets!$H$2:$H$2000,Sets!$A$2:$A$2000,$A44,Sets!$D$2:$D$2000,W$1,Sets!$J$2:$J$2000,"N")=0,"",_xlfn.MAXIFS(Sets!$H$2:$H$2000,Sets!$A$2:$A$2000,$A44,Sets!$D$2:$D$2000,W$1,Sets!$J$2:$J$2000,"N"))</f>
        <v/>
      </c>
      <c r="X44" s="4" t="str">
        <f aca="false">IF(_xlfn.MAXIFS(Sets!$H$2:$H$2000,Sets!$A$2:$A$2000,$A44,Sets!$D$2:$D$2000,X$1,Sets!$J$2:$J$2000,"N")=0,"",_xlfn.MAXIFS(Sets!$H$2:$H$2000,Sets!$A$2:$A$2000,$A44,Sets!$D$2:$D$2000,X$1,Sets!$J$2:$J$2000,"N"))</f>
        <v/>
      </c>
      <c r="Y44" s="4" t="str">
        <f aca="false">IF(_xlfn.MAXIFS(Sets!$H$2:$H$2000,Sets!$A$2:$A$2000,$A44,Sets!$D$2:$D$2000,Y$1,Sets!$J$2:$J$2000,"N")=0,"",_xlfn.MAXIFS(Sets!$H$2:$H$2000,Sets!$A$2:$A$2000,$A44,Sets!$D$2:$D$2000,Y$1,Sets!$J$2:$J$2000,"N"))</f>
        <v/>
      </c>
      <c r="Z44" s="4" t="str">
        <f aca="false">IF(_xlfn.MAXIFS(Sets!$H$2:$H$2000,Sets!$A$2:$A$2000,$A44,Sets!$D$2:$D$2000,Z$1,Sets!$J$2:$J$2000,"N")=0,"",_xlfn.MAXIFS(Sets!$H$2:$H$2000,Sets!$A$2:$A$2000,$A44,Sets!$D$2:$D$2000,Z$1,Sets!$J$2:$J$2000,"N"))</f>
        <v/>
      </c>
      <c r="AA44" s="4" t="str">
        <f aca="false">IF(_xlfn.MAXIFS(Sets!$H$2:$H$2000,Sets!$A$2:$A$2000,$A44,Sets!$D$2:$D$2000,AA$1,Sets!$J$2:$J$2000,"N")=0,"",_xlfn.MAXIFS(Sets!$H$2:$H$2000,Sets!$A$2:$A$2000,$A44,Sets!$D$2:$D$2000,AA$1,Sets!$J$2:$J$2000,"N"))</f>
        <v/>
      </c>
      <c r="AB44" s="4" t="str">
        <f aca="false">IF(_xlfn.MAXIFS(Sets!$H$2:$H$2000,Sets!$A$2:$A$2000,$A44,Sets!$D$2:$D$2000,AB$1,Sets!$J$2:$J$2000,"N")=0,"",_xlfn.MAXIFS(Sets!$H$2:$H$2000,Sets!$A$2:$A$2000,$A44,Sets!$D$2:$D$2000,AB$1,Sets!$J$2:$J$2000,"N"))</f>
        <v/>
      </c>
      <c r="AC44" s="4" t="str">
        <f aca="false">IF(_xlfn.MAXIFS(Sets!$H$2:$H$2000,Sets!$A$2:$A$2000,$A44,Sets!$D$2:$D$2000,AC$1,Sets!$J$2:$J$2000,"N")=0,"",_xlfn.MAXIFS(Sets!$H$2:$H$2000,Sets!$A$2:$A$2000,$A44,Sets!$D$2:$D$2000,AC$1,Sets!$J$2:$J$2000,"N"))</f>
        <v/>
      </c>
      <c r="AD44" s="4" t="str">
        <f aca="false">IF(_xlfn.MAXIFS(Sets!$H$2:$H$2000,Sets!$A$2:$A$2000,$A44,Sets!$D$2:$D$2000,AD$1,Sets!$J$2:$J$2000,"N")=0,"",_xlfn.MAXIFS(Sets!$H$2:$H$2000,Sets!$A$2:$A$2000,$A44,Sets!$D$2:$D$2000,AD$1,Sets!$J$2:$J$2000,"N"))</f>
        <v/>
      </c>
      <c r="AE44" s="4" t="str">
        <f aca="false">IF(_xlfn.MAXIFS(Sets!$H$2:$H$2000,Sets!$A$2:$A$2000,$A44,Sets!$D$2:$D$2000,AE$1,Sets!$J$2:$J$2000,"N")=0,"",_xlfn.MAXIFS(Sets!$H$2:$H$2000,Sets!$A$2:$A$2000,$A44,Sets!$D$2:$D$2000,AE$1,Sets!$J$2:$J$2000,"N"))</f>
        <v/>
      </c>
      <c r="AF44" s="4" t="str">
        <f aca="false">IF(_xlfn.MAXIFS(Sets!$H$2:$H$2000,Sets!$A$2:$A$2000,$A44,Sets!$D$2:$D$2000,AF$1,Sets!$J$2:$J$2000,"N")=0,"",_xlfn.MAXIFS(Sets!$H$2:$H$2000,Sets!$A$2:$A$2000,$A44,Sets!$D$2:$D$2000,AF$1,Sets!$J$2:$J$2000,"N"))</f>
        <v/>
      </c>
      <c r="AG44" s="4" t="str">
        <f aca="false">IF(_xlfn.MAXIFS(Sets!$H$2:$H$2000,Sets!$A$2:$A$2000,$A44,Sets!$D$2:$D$2000,AG$1,Sets!$J$2:$J$2000,"N")=0,"",_xlfn.MAXIFS(Sets!$H$2:$H$2000,Sets!$A$2:$A$2000,$A44,Sets!$D$2:$D$2000,AG$1,Sets!$J$2:$J$2000,"N"))</f>
        <v/>
      </c>
      <c r="AH44" s="4" t="str">
        <f aca="false">IF(_xlfn.MAXIFS(Sets!$H$2:$H$2000,Sets!$A$2:$A$2000,$A44,Sets!$D$2:$D$2000,AH$1,Sets!$J$2:$J$2000,"N")=0,"",_xlfn.MAXIFS(Sets!$H$2:$H$2000,Sets!$A$2:$A$2000,$A44,Sets!$D$2:$D$2000,AH$1,Sets!$J$2:$J$2000,"N"))</f>
        <v/>
      </c>
    </row>
    <row r="45" customFormat="false" ht="15" hidden="false" customHeight="false" outlineLevel="0" collapsed="false">
      <c r="A45" s="16" t="n">
        <v>46201</v>
      </c>
      <c r="B45" s="4" t="str">
        <f aca="false">IF(_xlfn.MAXIFS(Sets!$H$2:$H$2000,Sets!$A$2:$A$2000,$A45,Sets!$D$2:$D$2000,B$1,Sets!$J$2:$J$2000,"N")=0,"",_xlfn.MAXIFS(Sets!$H$2:$H$2000,Sets!$A$2:$A$2000,$A45,Sets!$D$2:$D$2000,B$1,Sets!$J$2:$J$2000,"N"))</f>
        <v/>
      </c>
      <c r="C45" s="4" t="str">
        <f aca="false">IF(_xlfn.MAXIFS(Sets!$H$2:$H$2000,Sets!$A$2:$A$2000,$A45,Sets!$D$2:$D$2000,C$1,Sets!$J$2:$J$2000,"N")=0,"",_xlfn.MAXIFS(Sets!$H$2:$H$2000,Sets!$A$2:$A$2000,$A45,Sets!$D$2:$D$2000,C$1,Sets!$J$2:$J$2000,"N"))</f>
        <v/>
      </c>
      <c r="D45" s="4" t="str">
        <f aca="false">IF(_xlfn.MAXIFS(Sets!$H$2:$H$2000,Sets!$A$2:$A$2000,$A45,Sets!$D$2:$D$2000,D$1,Sets!$J$2:$J$2000,"N")=0,"",_xlfn.MAXIFS(Sets!$H$2:$H$2000,Sets!$A$2:$A$2000,$A45,Sets!$D$2:$D$2000,D$1,Sets!$J$2:$J$2000,"N"))</f>
        <v/>
      </c>
      <c r="E45" s="4" t="str">
        <f aca="false">IF(_xlfn.MAXIFS(Sets!$H$2:$H$2000,Sets!$A$2:$A$2000,$A45,Sets!$D$2:$D$2000,E$1,Sets!$J$2:$J$2000,"N")=0,"",_xlfn.MAXIFS(Sets!$H$2:$H$2000,Sets!$A$2:$A$2000,$A45,Sets!$D$2:$D$2000,E$1,Sets!$J$2:$J$2000,"N"))</f>
        <v/>
      </c>
      <c r="F45" s="4" t="str">
        <f aca="false">IF(_xlfn.MAXIFS(Sets!$H$2:$H$2000,Sets!$A$2:$A$2000,$A45,Sets!$D$2:$D$2000,F$1,Sets!$J$2:$J$2000,"N")=0,"",_xlfn.MAXIFS(Sets!$H$2:$H$2000,Sets!$A$2:$A$2000,$A45,Sets!$D$2:$D$2000,F$1,Sets!$J$2:$J$2000,"N"))</f>
        <v/>
      </c>
      <c r="G45" s="4" t="str">
        <f aca="false">IF(_xlfn.MAXIFS(Sets!$H$2:$H$2000,Sets!$A$2:$A$2000,$A45,Sets!$D$2:$D$2000,G$1,Sets!$J$2:$J$2000,"N")=0,"",_xlfn.MAXIFS(Sets!$H$2:$H$2000,Sets!$A$2:$A$2000,$A45,Sets!$D$2:$D$2000,G$1,Sets!$J$2:$J$2000,"N"))</f>
        <v/>
      </c>
      <c r="H45" s="4" t="str">
        <f aca="false">IF(_xlfn.MAXIFS(Sets!$H$2:$H$2000,Sets!$A$2:$A$2000,$A45,Sets!$D$2:$D$2000,H$1,Sets!$J$2:$J$2000,"N")=0,"",_xlfn.MAXIFS(Sets!$H$2:$H$2000,Sets!$A$2:$A$2000,$A45,Sets!$D$2:$D$2000,H$1,Sets!$J$2:$J$2000,"N"))</f>
        <v/>
      </c>
      <c r="I45" s="4" t="n">
        <f aca="false">IF(_xlfn.MAXIFS(Sets!$H$2:$H$2000,Sets!$A$2:$A$2000,$A45,Sets!$D$2:$D$2000,I$1,Sets!$J$2:$J$2000,"N")=0,"",_xlfn.MAXIFS(Sets!$H$2:$H$2000,Sets!$A$2:$A$2000,$A45,Sets!$D$2:$D$2000,I$1,Sets!$J$2:$J$2000,"N"))</f>
        <v>50</v>
      </c>
      <c r="J45" s="4" t="str">
        <f aca="false">IF(_xlfn.MAXIFS(Sets!$H$2:$H$2000,Sets!$A$2:$A$2000,$A45,Sets!$D$2:$D$2000,J$1,Sets!$J$2:$J$2000,"N")=0,"",_xlfn.MAXIFS(Sets!$H$2:$H$2000,Sets!$A$2:$A$2000,$A45,Sets!$D$2:$D$2000,J$1,Sets!$J$2:$J$2000,"N"))</f>
        <v/>
      </c>
      <c r="K45" s="4" t="str">
        <f aca="false">IF(_xlfn.MAXIFS(Sets!$H$2:$H$2000,Sets!$A$2:$A$2000,$A45,Sets!$D$2:$D$2000,K$1,Sets!$J$2:$J$2000,"N")=0,"",_xlfn.MAXIFS(Sets!$H$2:$H$2000,Sets!$A$2:$A$2000,$A45,Sets!$D$2:$D$2000,K$1,Sets!$J$2:$J$2000,"N"))</f>
        <v/>
      </c>
      <c r="L45" s="4" t="str">
        <f aca="false">IF(_xlfn.MAXIFS(Sets!$H$2:$H$2000,Sets!$A$2:$A$2000,$A45,Sets!$D$2:$D$2000,L$1,Sets!$J$2:$J$2000,"N")=0,"",_xlfn.MAXIFS(Sets!$H$2:$H$2000,Sets!$A$2:$A$2000,$A45,Sets!$D$2:$D$2000,L$1,Sets!$J$2:$J$2000,"N"))</f>
        <v/>
      </c>
      <c r="M45" s="4" t="str">
        <f aca="false">IF(_xlfn.MAXIFS(Sets!$H$2:$H$2000,Sets!$A$2:$A$2000,$A45,Sets!$D$2:$D$2000,M$1,Sets!$J$2:$J$2000,"N")=0,"",_xlfn.MAXIFS(Sets!$H$2:$H$2000,Sets!$A$2:$A$2000,$A45,Sets!$D$2:$D$2000,M$1,Sets!$J$2:$J$2000,"N"))</f>
        <v/>
      </c>
      <c r="N45" s="4" t="str">
        <f aca="false">IF(_xlfn.MAXIFS(Sets!$H$2:$H$2000,Sets!$A$2:$A$2000,$A45,Sets!$D$2:$D$2000,N$1,Sets!$J$2:$J$2000,"N")=0,"",_xlfn.MAXIFS(Sets!$H$2:$H$2000,Sets!$A$2:$A$2000,$A45,Sets!$D$2:$D$2000,N$1,Sets!$J$2:$J$2000,"N"))</f>
        <v/>
      </c>
      <c r="O45" s="4" t="str">
        <f aca="false">IF(_xlfn.MAXIFS(Sets!$H$2:$H$2000,Sets!$A$2:$A$2000,$A45,Sets!$D$2:$D$2000,O$1,Sets!$J$2:$J$2000,"N")=0,"",_xlfn.MAXIFS(Sets!$H$2:$H$2000,Sets!$A$2:$A$2000,$A45,Sets!$D$2:$D$2000,O$1,Sets!$J$2:$J$2000,"N"))</f>
        <v/>
      </c>
      <c r="P45" s="4" t="str">
        <f aca="false">IF(_xlfn.MAXIFS(Sets!$H$2:$H$2000,Sets!$A$2:$A$2000,$A45,Sets!$D$2:$D$2000,P$1,Sets!$J$2:$J$2000,"N")=0,"",_xlfn.MAXIFS(Sets!$H$2:$H$2000,Sets!$A$2:$A$2000,$A45,Sets!$D$2:$D$2000,P$1,Sets!$J$2:$J$2000,"N"))</f>
        <v/>
      </c>
      <c r="Q45" s="4" t="str">
        <f aca="false">IF(_xlfn.MAXIFS(Sets!$H$2:$H$2000,Sets!$A$2:$A$2000,$A45,Sets!$D$2:$D$2000,Q$1,Sets!$J$2:$J$2000,"N")=0,"",_xlfn.MAXIFS(Sets!$H$2:$H$2000,Sets!$A$2:$A$2000,$A45,Sets!$D$2:$D$2000,Q$1,Sets!$J$2:$J$2000,"N"))</f>
        <v/>
      </c>
      <c r="R45" s="4" t="str">
        <f aca="false">IF(_xlfn.MAXIFS(Sets!$H$2:$H$2000,Sets!$A$2:$A$2000,$A45,Sets!$D$2:$D$2000,R$1,Sets!$J$2:$J$2000,"N")=0,"",_xlfn.MAXIFS(Sets!$H$2:$H$2000,Sets!$A$2:$A$2000,$A45,Sets!$D$2:$D$2000,R$1,Sets!$J$2:$J$2000,"N"))</f>
        <v/>
      </c>
      <c r="S45" s="4" t="n">
        <f aca="false">IF(_xlfn.MAXIFS(Sets!$H$2:$H$2000,Sets!$A$2:$A$2000,$A45,Sets!$D$2:$D$2000,S$1,Sets!$J$2:$J$2000,"N")=0,"",_xlfn.MAXIFS(Sets!$H$2:$H$2000,Sets!$A$2:$A$2000,$A45,Sets!$D$2:$D$2000,S$1,Sets!$J$2:$J$2000,"N"))</f>
        <v>20</v>
      </c>
      <c r="T45" s="4" t="str">
        <f aca="false">IF(_xlfn.MAXIFS(Sets!$H$2:$H$2000,Sets!$A$2:$A$2000,$A45,Sets!$D$2:$D$2000,T$1,Sets!$J$2:$J$2000,"N")=0,"",_xlfn.MAXIFS(Sets!$H$2:$H$2000,Sets!$A$2:$A$2000,$A45,Sets!$D$2:$D$2000,T$1,Sets!$J$2:$J$2000,"N"))</f>
        <v/>
      </c>
      <c r="U45" s="4" t="str">
        <f aca="false">IF(_xlfn.MAXIFS(Sets!$H$2:$H$2000,Sets!$A$2:$A$2000,$A45,Sets!$D$2:$D$2000,U$1,Sets!$J$2:$J$2000,"N")=0,"",_xlfn.MAXIFS(Sets!$H$2:$H$2000,Sets!$A$2:$A$2000,$A45,Sets!$D$2:$D$2000,U$1,Sets!$J$2:$J$2000,"N"))</f>
        <v/>
      </c>
      <c r="V45" s="4" t="str">
        <f aca="false">IF(_xlfn.MAXIFS(Sets!$H$2:$H$2000,Sets!$A$2:$A$2000,$A45,Sets!$D$2:$D$2000,V$1,Sets!$J$2:$J$2000,"N")=0,"",_xlfn.MAXIFS(Sets!$H$2:$H$2000,Sets!$A$2:$A$2000,$A45,Sets!$D$2:$D$2000,V$1,Sets!$J$2:$J$2000,"N"))</f>
        <v/>
      </c>
      <c r="W45" s="4" t="str">
        <f aca="false">IF(_xlfn.MAXIFS(Sets!$H$2:$H$2000,Sets!$A$2:$A$2000,$A45,Sets!$D$2:$D$2000,W$1,Sets!$J$2:$J$2000,"N")=0,"",_xlfn.MAXIFS(Sets!$H$2:$H$2000,Sets!$A$2:$A$2000,$A45,Sets!$D$2:$D$2000,W$1,Sets!$J$2:$J$2000,"N"))</f>
        <v/>
      </c>
      <c r="X45" s="4" t="str">
        <f aca="false">IF(_xlfn.MAXIFS(Sets!$H$2:$H$2000,Sets!$A$2:$A$2000,$A45,Sets!$D$2:$D$2000,X$1,Sets!$J$2:$J$2000,"N")=0,"",_xlfn.MAXIFS(Sets!$H$2:$H$2000,Sets!$A$2:$A$2000,$A45,Sets!$D$2:$D$2000,X$1,Sets!$J$2:$J$2000,"N"))</f>
        <v/>
      </c>
      <c r="Y45" s="4" t="str">
        <f aca="false">IF(_xlfn.MAXIFS(Sets!$H$2:$H$2000,Sets!$A$2:$A$2000,$A45,Sets!$D$2:$D$2000,Y$1,Sets!$J$2:$J$2000,"N")=0,"",_xlfn.MAXIFS(Sets!$H$2:$H$2000,Sets!$A$2:$A$2000,$A45,Sets!$D$2:$D$2000,Y$1,Sets!$J$2:$J$2000,"N"))</f>
        <v/>
      </c>
      <c r="Z45" s="4" t="str">
        <f aca="false">IF(_xlfn.MAXIFS(Sets!$H$2:$H$2000,Sets!$A$2:$A$2000,$A45,Sets!$D$2:$D$2000,Z$1,Sets!$J$2:$J$2000,"N")=0,"",_xlfn.MAXIFS(Sets!$H$2:$H$2000,Sets!$A$2:$A$2000,$A45,Sets!$D$2:$D$2000,Z$1,Sets!$J$2:$J$2000,"N"))</f>
        <v/>
      </c>
      <c r="AA45" s="4" t="str">
        <f aca="false">IF(_xlfn.MAXIFS(Sets!$H$2:$H$2000,Sets!$A$2:$A$2000,$A45,Sets!$D$2:$D$2000,AA$1,Sets!$J$2:$J$2000,"N")=0,"",_xlfn.MAXIFS(Sets!$H$2:$H$2000,Sets!$A$2:$A$2000,$A45,Sets!$D$2:$D$2000,AA$1,Sets!$J$2:$J$2000,"N"))</f>
        <v/>
      </c>
      <c r="AB45" s="4" t="n">
        <f aca="false">IF(_xlfn.MAXIFS(Sets!$H$2:$H$2000,Sets!$A$2:$A$2000,$A45,Sets!$D$2:$D$2000,AB$1,Sets!$J$2:$J$2000,"N")=0,"",_xlfn.MAXIFS(Sets!$H$2:$H$2000,Sets!$A$2:$A$2000,$A45,Sets!$D$2:$D$2000,AB$1,Sets!$J$2:$J$2000,"N"))</f>
        <v>15</v>
      </c>
      <c r="AC45" s="4" t="str">
        <f aca="false">IF(_xlfn.MAXIFS(Sets!$H$2:$H$2000,Sets!$A$2:$A$2000,$A45,Sets!$D$2:$D$2000,AC$1,Sets!$J$2:$J$2000,"N")=0,"",_xlfn.MAXIFS(Sets!$H$2:$H$2000,Sets!$A$2:$A$2000,$A45,Sets!$D$2:$D$2000,AC$1,Sets!$J$2:$J$2000,"N"))</f>
        <v/>
      </c>
      <c r="AD45" s="4" t="str">
        <f aca="false">IF(_xlfn.MAXIFS(Sets!$H$2:$H$2000,Sets!$A$2:$A$2000,$A45,Sets!$D$2:$D$2000,AD$1,Sets!$J$2:$J$2000,"N")=0,"",_xlfn.MAXIFS(Sets!$H$2:$H$2000,Sets!$A$2:$A$2000,$A45,Sets!$D$2:$D$2000,AD$1,Sets!$J$2:$J$2000,"N"))</f>
        <v/>
      </c>
      <c r="AE45" s="4" t="str">
        <f aca="false">IF(_xlfn.MAXIFS(Sets!$H$2:$H$2000,Sets!$A$2:$A$2000,$A45,Sets!$D$2:$D$2000,AE$1,Sets!$J$2:$J$2000,"N")=0,"",_xlfn.MAXIFS(Sets!$H$2:$H$2000,Sets!$A$2:$A$2000,$A45,Sets!$D$2:$D$2000,AE$1,Sets!$J$2:$J$2000,"N"))</f>
        <v/>
      </c>
      <c r="AF45" s="4" t="str">
        <f aca="false">IF(_xlfn.MAXIFS(Sets!$H$2:$H$2000,Sets!$A$2:$A$2000,$A45,Sets!$D$2:$D$2000,AF$1,Sets!$J$2:$J$2000,"N")=0,"",_xlfn.MAXIFS(Sets!$H$2:$H$2000,Sets!$A$2:$A$2000,$A45,Sets!$D$2:$D$2000,AF$1,Sets!$J$2:$J$2000,"N"))</f>
        <v/>
      </c>
      <c r="AG45" s="4" t="str">
        <f aca="false">IF(_xlfn.MAXIFS(Sets!$H$2:$H$2000,Sets!$A$2:$A$2000,$A45,Sets!$D$2:$D$2000,AG$1,Sets!$J$2:$J$2000,"N")=0,"",_xlfn.MAXIFS(Sets!$H$2:$H$2000,Sets!$A$2:$A$2000,$A45,Sets!$D$2:$D$2000,AG$1,Sets!$J$2:$J$2000,"N"))</f>
        <v/>
      </c>
      <c r="AH45" s="4" t="str">
        <f aca="false">IF(_xlfn.MAXIFS(Sets!$H$2:$H$2000,Sets!$A$2:$A$2000,$A45,Sets!$D$2:$D$2000,AH$1,Sets!$J$2:$J$2000,"N")=0,"",_xlfn.MAXIFS(Sets!$H$2:$H$2000,Sets!$A$2:$A$2000,$A45,Sets!$D$2:$D$2000,AH$1,Sets!$J$2:$J$2000,"N"))</f>
        <v/>
      </c>
    </row>
    <row r="46" customFormat="false" ht="15" hidden="false" customHeight="false" outlineLevel="0" collapsed="false">
      <c r="A46" s="16" t="n">
        <v>46212</v>
      </c>
      <c r="B46" s="4" t="n">
        <f aca="false">IF(_xlfn.MAXIFS(Sets!$H$2:$H$2000,Sets!$A$2:$A$2000,$A46,Sets!$D$2:$D$2000,B$1,Sets!$J$2:$J$2000,"N")=0,"",_xlfn.MAXIFS(Sets!$H$2:$H$2000,Sets!$A$2:$A$2000,$A46,Sets!$D$2:$D$2000,B$1,Sets!$J$2:$J$2000,"N"))</f>
        <v>30</v>
      </c>
      <c r="C46" s="4" t="str">
        <f aca="false">IF(_xlfn.MAXIFS(Sets!$H$2:$H$2000,Sets!$A$2:$A$2000,$A46,Sets!$D$2:$D$2000,C$1,Sets!$J$2:$J$2000,"N")=0,"",_xlfn.MAXIFS(Sets!$H$2:$H$2000,Sets!$A$2:$A$2000,$A46,Sets!$D$2:$D$2000,C$1,Sets!$J$2:$J$2000,"N"))</f>
        <v/>
      </c>
      <c r="D46" s="4" t="n">
        <f aca="false">IF(_xlfn.MAXIFS(Sets!$H$2:$H$2000,Sets!$A$2:$A$2000,$A46,Sets!$D$2:$D$2000,D$1,Sets!$J$2:$J$2000,"N")=0,"",_xlfn.MAXIFS(Sets!$H$2:$H$2000,Sets!$A$2:$A$2000,$A46,Sets!$D$2:$D$2000,D$1,Sets!$J$2:$J$2000,"N"))</f>
        <v>40</v>
      </c>
      <c r="E46" s="4" t="n">
        <f aca="false">IF(_xlfn.MAXIFS(Sets!$H$2:$H$2000,Sets!$A$2:$A$2000,$A46,Sets!$D$2:$D$2000,E$1,Sets!$J$2:$J$2000,"N")=0,"",_xlfn.MAXIFS(Sets!$H$2:$H$2000,Sets!$A$2:$A$2000,$A46,Sets!$D$2:$D$2000,E$1,Sets!$J$2:$J$2000,"N"))</f>
        <v>95</v>
      </c>
      <c r="F46" s="4" t="str">
        <f aca="false">IF(_xlfn.MAXIFS(Sets!$H$2:$H$2000,Sets!$A$2:$A$2000,$A46,Sets!$D$2:$D$2000,F$1,Sets!$J$2:$J$2000,"N")=0,"",_xlfn.MAXIFS(Sets!$H$2:$H$2000,Sets!$A$2:$A$2000,$A46,Sets!$D$2:$D$2000,F$1,Sets!$J$2:$J$2000,"N"))</f>
        <v/>
      </c>
      <c r="G46" s="4" t="str">
        <f aca="false">IF(_xlfn.MAXIFS(Sets!$H$2:$H$2000,Sets!$A$2:$A$2000,$A46,Sets!$D$2:$D$2000,G$1,Sets!$J$2:$J$2000,"N")=0,"",_xlfn.MAXIFS(Sets!$H$2:$H$2000,Sets!$A$2:$A$2000,$A46,Sets!$D$2:$D$2000,G$1,Sets!$J$2:$J$2000,"N"))</f>
        <v/>
      </c>
      <c r="H46" s="4" t="str">
        <f aca="false">IF(_xlfn.MAXIFS(Sets!$H$2:$H$2000,Sets!$A$2:$A$2000,$A46,Sets!$D$2:$D$2000,H$1,Sets!$J$2:$J$2000,"N")=0,"",_xlfn.MAXIFS(Sets!$H$2:$H$2000,Sets!$A$2:$A$2000,$A46,Sets!$D$2:$D$2000,H$1,Sets!$J$2:$J$2000,"N"))</f>
        <v/>
      </c>
      <c r="I46" s="4" t="str">
        <f aca="false">IF(_xlfn.MAXIFS(Sets!$H$2:$H$2000,Sets!$A$2:$A$2000,$A46,Sets!$D$2:$D$2000,I$1,Sets!$J$2:$J$2000,"N")=0,"",_xlfn.MAXIFS(Sets!$H$2:$H$2000,Sets!$A$2:$A$2000,$A46,Sets!$D$2:$D$2000,I$1,Sets!$J$2:$J$2000,"N"))</f>
        <v/>
      </c>
      <c r="J46" s="4" t="str">
        <f aca="false">IF(_xlfn.MAXIFS(Sets!$H$2:$H$2000,Sets!$A$2:$A$2000,$A46,Sets!$D$2:$D$2000,J$1,Sets!$J$2:$J$2000,"N")=0,"",_xlfn.MAXIFS(Sets!$H$2:$H$2000,Sets!$A$2:$A$2000,$A46,Sets!$D$2:$D$2000,J$1,Sets!$J$2:$J$2000,"N"))</f>
        <v/>
      </c>
      <c r="K46" s="4" t="str">
        <f aca="false">IF(_xlfn.MAXIFS(Sets!$H$2:$H$2000,Sets!$A$2:$A$2000,$A46,Sets!$D$2:$D$2000,K$1,Sets!$J$2:$J$2000,"N")=0,"",_xlfn.MAXIFS(Sets!$H$2:$H$2000,Sets!$A$2:$A$2000,$A46,Sets!$D$2:$D$2000,K$1,Sets!$J$2:$J$2000,"N"))</f>
        <v/>
      </c>
      <c r="L46" s="4" t="str">
        <f aca="false">IF(_xlfn.MAXIFS(Sets!$H$2:$H$2000,Sets!$A$2:$A$2000,$A46,Sets!$D$2:$D$2000,L$1,Sets!$J$2:$J$2000,"N")=0,"",_xlfn.MAXIFS(Sets!$H$2:$H$2000,Sets!$A$2:$A$2000,$A46,Sets!$D$2:$D$2000,L$1,Sets!$J$2:$J$2000,"N"))</f>
        <v/>
      </c>
      <c r="M46" s="4" t="str">
        <f aca="false">IF(_xlfn.MAXIFS(Sets!$H$2:$H$2000,Sets!$A$2:$A$2000,$A46,Sets!$D$2:$D$2000,M$1,Sets!$J$2:$J$2000,"N")=0,"",_xlfn.MAXIFS(Sets!$H$2:$H$2000,Sets!$A$2:$A$2000,$A46,Sets!$D$2:$D$2000,M$1,Sets!$J$2:$J$2000,"N"))</f>
        <v/>
      </c>
      <c r="N46" s="4" t="str">
        <f aca="false">IF(_xlfn.MAXIFS(Sets!$H$2:$H$2000,Sets!$A$2:$A$2000,$A46,Sets!$D$2:$D$2000,N$1,Sets!$J$2:$J$2000,"N")=0,"",_xlfn.MAXIFS(Sets!$H$2:$H$2000,Sets!$A$2:$A$2000,$A46,Sets!$D$2:$D$2000,N$1,Sets!$J$2:$J$2000,"N"))</f>
        <v/>
      </c>
      <c r="O46" s="4" t="str">
        <f aca="false">IF(_xlfn.MAXIFS(Sets!$H$2:$H$2000,Sets!$A$2:$A$2000,$A46,Sets!$D$2:$D$2000,O$1,Sets!$J$2:$J$2000,"N")=0,"",_xlfn.MAXIFS(Sets!$H$2:$H$2000,Sets!$A$2:$A$2000,$A46,Sets!$D$2:$D$2000,O$1,Sets!$J$2:$J$2000,"N"))</f>
        <v/>
      </c>
      <c r="P46" s="4" t="str">
        <f aca="false">IF(_xlfn.MAXIFS(Sets!$H$2:$H$2000,Sets!$A$2:$A$2000,$A46,Sets!$D$2:$D$2000,P$1,Sets!$J$2:$J$2000,"N")=0,"",_xlfn.MAXIFS(Sets!$H$2:$H$2000,Sets!$A$2:$A$2000,$A46,Sets!$D$2:$D$2000,P$1,Sets!$J$2:$J$2000,"N"))</f>
        <v/>
      </c>
      <c r="Q46" s="4" t="str">
        <f aca="false">IF(_xlfn.MAXIFS(Sets!$H$2:$H$2000,Sets!$A$2:$A$2000,$A46,Sets!$D$2:$D$2000,Q$1,Sets!$J$2:$J$2000,"N")=0,"",_xlfn.MAXIFS(Sets!$H$2:$H$2000,Sets!$A$2:$A$2000,$A46,Sets!$D$2:$D$2000,Q$1,Sets!$J$2:$J$2000,"N"))</f>
        <v/>
      </c>
      <c r="R46" s="4" t="str">
        <f aca="false">IF(_xlfn.MAXIFS(Sets!$H$2:$H$2000,Sets!$A$2:$A$2000,$A46,Sets!$D$2:$D$2000,R$1,Sets!$J$2:$J$2000,"N")=0,"",_xlfn.MAXIFS(Sets!$H$2:$H$2000,Sets!$A$2:$A$2000,$A46,Sets!$D$2:$D$2000,R$1,Sets!$J$2:$J$2000,"N"))</f>
        <v/>
      </c>
      <c r="S46" s="4" t="str">
        <f aca="false">IF(_xlfn.MAXIFS(Sets!$H$2:$H$2000,Sets!$A$2:$A$2000,$A46,Sets!$D$2:$D$2000,S$1,Sets!$J$2:$J$2000,"N")=0,"",_xlfn.MAXIFS(Sets!$H$2:$H$2000,Sets!$A$2:$A$2000,$A46,Sets!$D$2:$D$2000,S$1,Sets!$J$2:$J$2000,"N"))</f>
        <v/>
      </c>
      <c r="T46" s="4" t="str">
        <f aca="false">IF(_xlfn.MAXIFS(Sets!$H$2:$H$2000,Sets!$A$2:$A$2000,$A46,Sets!$D$2:$D$2000,T$1,Sets!$J$2:$J$2000,"N")=0,"",_xlfn.MAXIFS(Sets!$H$2:$H$2000,Sets!$A$2:$A$2000,$A46,Sets!$D$2:$D$2000,T$1,Sets!$J$2:$J$2000,"N"))</f>
        <v/>
      </c>
      <c r="U46" s="4" t="str">
        <f aca="false">IF(_xlfn.MAXIFS(Sets!$H$2:$H$2000,Sets!$A$2:$A$2000,$A46,Sets!$D$2:$D$2000,U$1,Sets!$J$2:$J$2000,"N")=0,"",_xlfn.MAXIFS(Sets!$H$2:$H$2000,Sets!$A$2:$A$2000,$A46,Sets!$D$2:$D$2000,U$1,Sets!$J$2:$J$2000,"N"))</f>
        <v/>
      </c>
      <c r="V46" s="4" t="str">
        <f aca="false">IF(_xlfn.MAXIFS(Sets!$H$2:$H$2000,Sets!$A$2:$A$2000,$A46,Sets!$D$2:$D$2000,V$1,Sets!$J$2:$J$2000,"N")=0,"",_xlfn.MAXIFS(Sets!$H$2:$H$2000,Sets!$A$2:$A$2000,$A46,Sets!$D$2:$D$2000,V$1,Sets!$J$2:$J$2000,"N"))</f>
        <v/>
      </c>
      <c r="W46" s="4" t="str">
        <f aca="false">IF(_xlfn.MAXIFS(Sets!$H$2:$H$2000,Sets!$A$2:$A$2000,$A46,Sets!$D$2:$D$2000,W$1,Sets!$J$2:$J$2000,"N")=0,"",_xlfn.MAXIFS(Sets!$H$2:$H$2000,Sets!$A$2:$A$2000,$A46,Sets!$D$2:$D$2000,W$1,Sets!$J$2:$J$2000,"N"))</f>
        <v/>
      </c>
      <c r="X46" s="4" t="str">
        <f aca="false">IF(_xlfn.MAXIFS(Sets!$H$2:$H$2000,Sets!$A$2:$A$2000,$A46,Sets!$D$2:$D$2000,X$1,Sets!$J$2:$J$2000,"N")=0,"",_xlfn.MAXIFS(Sets!$H$2:$H$2000,Sets!$A$2:$A$2000,$A46,Sets!$D$2:$D$2000,X$1,Sets!$J$2:$J$2000,"N"))</f>
        <v/>
      </c>
      <c r="Y46" s="4" t="str">
        <f aca="false">IF(_xlfn.MAXIFS(Sets!$H$2:$H$2000,Sets!$A$2:$A$2000,$A46,Sets!$D$2:$D$2000,Y$1,Sets!$J$2:$J$2000,"N")=0,"",_xlfn.MAXIFS(Sets!$H$2:$H$2000,Sets!$A$2:$A$2000,$A46,Sets!$D$2:$D$2000,Y$1,Sets!$J$2:$J$2000,"N"))</f>
        <v/>
      </c>
      <c r="Z46" s="4" t="str">
        <f aca="false">IF(_xlfn.MAXIFS(Sets!$H$2:$H$2000,Sets!$A$2:$A$2000,$A46,Sets!$D$2:$D$2000,Z$1,Sets!$J$2:$J$2000,"N")=0,"",_xlfn.MAXIFS(Sets!$H$2:$H$2000,Sets!$A$2:$A$2000,$A46,Sets!$D$2:$D$2000,Z$1,Sets!$J$2:$J$2000,"N"))</f>
        <v/>
      </c>
      <c r="AA46" s="4" t="str">
        <f aca="false">IF(_xlfn.MAXIFS(Sets!$H$2:$H$2000,Sets!$A$2:$A$2000,$A46,Sets!$D$2:$D$2000,AA$1,Sets!$J$2:$J$2000,"N")=0,"",_xlfn.MAXIFS(Sets!$H$2:$H$2000,Sets!$A$2:$A$2000,$A46,Sets!$D$2:$D$2000,AA$1,Sets!$J$2:$J$2000,"N"))</f>
        <v/>
      </c>
      <c r="AB46" s="4" t="str">
        <f aca="false">IF(_xlfn.MAXIFS(Sets!$H$2:$H$2000,Sets!$A$2:$A$2000,$A46,Sets!$D$2:$D$2000,AB$1,Sets!$J$2:$J$2000,"N")=0,"",_xlfn.MAXIFS(Sets!$H$2:$H$2000,Sets!$A$2:$A$2000,$A46,Sets!$D$2:$D$2000,AB$1,Sets!$J$2:$J$2000,"N"))</f>
        <v/>
      </c>
      <c r="AC46" s="4" t="str">
        <f aca="false">IF(_xlfn.MAXIFS(Sets!$H$2:$H$2000,Sets!$A$2:$A$2000,$A46,Sets!$D$2:$D$2000,AC$1,Sets!$J$2:$J$2000,"N")=0,"",_xlfn.MAXIFS(Sets!$H$2:$H$2000,Sets!$A$2:$A$2000,$A46,Sets!$D$2:$D$2000,AC$1,Sets!$J$2:$J$2000,"N"))</f>
        <v/>
      </c>
      <c r="AD46" s="4" t="str">
        <f aca="false">IF(_xlfn.MAXIFS(Sets!$H$2:$H$2000,Sets!$A$2:$A$2000,$A46,Sets!$D$2:$D$2000,AD$1,Sets!$J$2:$J$2000,"N")=0,"",_xlfn.MAXIFS(Sets!$H$2:$H$2000,Sets!$A$2:$A$2000,$A46,Sets!$D$2:$D$2000,AD$1,Sets!$J$2:$J$2000,"N"))</f>
        <v/>
      </c>
      <c r="AE46" s="4" t="str">
        <f aca="false">IF(_xlfn.MAXIFS(Sets!$H$2:$H$2000,Sets!$A$2:$A$2000,$A46,Sets!$D$2:$D$2000,AE$1,Sets!$J$2:$J$2000,"N")=0,"",_xlfn.MAXIFS(Sets!$H$2:$H$2000,Sets!$A$2:$A$2000,$A46,Sets!$D$2:$D$2000,AE$1,Sets!$J$2:$J$2000,"N"))</f>
        <v/>
      </c>
      <c r="AF46" s="4" t="str">
        <f aca="false">IF(_xlfn.MAXIFS(Sets!$H$2:$H$2000,Sets!$A$2:$A$2000,$A46,Sets!$D$2:$D$2000,AF$1,Sets!$J$2:$J$2000,"N")=0,"",_xlfn.MAXIFS(Sets!$H$2:$H$2000,Sets!$A$2:$A$2000,$A46,Sets!$D$2:$D$2000,AF$1,Sets!$J$2:$J$2000,"N"))</f>
        <v/>
      </c>
      <c r="AG46" s="4" t="str">
        <f aca="false">IF(_xlfn.MAXIFS(Sets!$H$2:$H$2000,Sets!$A$2:$A$2000,$A46,Sets!$D$2:$D$2000,AG$1,Sets!$J$2:$J$2000,"N")=0,"",_xlfn.MAXIFS(Sets!$H$2:$H$2000,Sets!$A$2:$A$2000,$A46,Sets!$D$2:$D$2000,AG$1,Sets!$J$2:$J$2000,"N"))</f>
        <v/>
      </c>
      <c r="AH46" s="4" t="str">
        <f aca="false">IF(_xlfn.MAXIFS(Sets!$H$2:$H$2000,Sets!$A$2:$A$2000,$A46,Sets!$D$2:$D$2000,AH$1,Sets!$J$2:$J$2000,"N")=0,"",_xlfn.MAXIFS(Sets!$H$2:$H$2000,Sets!$A$2:$A$2000,$A46,Sets!$D$2:$D$2000,AH$1,Sets!$J$2:$J$2000,"N"))</f>
        <v/>
      </c>
    </row>
    <row r="47" customFormat="false" ht="15" hidden="false" customHeight="false" outlineLevel="0" collapsed="false">
      <c r="A47" s="16" t="n">
        <v>46213</v>
      </c>
      <c r="B47" s="4" t="str">
        <f aca="false">IF(_xlfn.MAXIFS(Sets!$H$2:$H$2000,Sets!$A$2:$A$2000,$A47,Sets!$D$2:$D$2000,B$1,Sets!$J$2:$J$2000,"N")=0,"",_xlfn.MAXIFS(Sets!$H$2:$H$2000,Sets!$A$2:$A$2000,$A47,Sets!$D$2:$D$2000,B$1,Sets!$J$2:$J$2000,"N"))</f>
        <v/>
      </c>
      <c r="C47" s="4" t="str">
        <f aca="false">IF(_xlfn.MAXIFS(Sets!$H$2:$H$2000,Sets!$A$2:$A$2000,$A47,Sets!$D$2:$D$2000,C$1,Sets!$J$2:$J$2000,"N")=0,"",_xlfn.MAXIFS(Sets!$H$2:$H$2000,Sets!$A$2:$A$2000,$A47,Sets!$D$2:$D$2000,C$1,Sets!$J$2:$J$2000,"N"))</f>
        <v/>
      </c>
      <c r="D47" s="4" t="str">
        <f aca="false">IF(_xlfn.MAXIFS(Sets!$H$2:$H$2000,Sets!$A$2:$A$2000,$A47,Sets!$D$2:$D$2000,D$1,Sets!$J$2:$J$2000,"N")=0,"",_xlfn.MAXIFS(Sets!$H$2:$H$2000,Sets!$A$2:$A$2000,$A47,Sets!$D$2:$D$2000,D$1,Sets!$J$2:$J$2000,"N"))</f>
        <v/>
      </c>
      <c r="E47" s="4" t="str">
        <f aca="false">IF(_xlfn.MAXIFS(Sets!$H$2:$H$2000,Sets!$A$2:$A$2000,$A47,Sets!$D$2:$D$2000,E$1,Sets!$J$2:$J$2000,"N")=0,"",_xlfn.MAXIFS(Sets!$H$2:$H$2000,Sets!$A$2:$A$2000,$A47,Sets!$D$2:$D$2000,E$1,Sets!$J$2:$J$2000,"N"))</f>
        <v/>
      </c>
      <c r="F47" s="4" t="n">
        <f aca="false">IF(_xlfn.MAXIFS(Sets!$H$2:$H$2000,Sets!$A$2:$A$2000,$A47,Sets!$D$2:$D$2000,F$1,Sets!$J$2:$J$2000,"N")=0,"",_xlfn.MAXIFS(Sets!$H$2:$H$2000,Sets!$A$2:$A$2000,$A47,Sets!$D$2:$D$2000,F$1,Sets!$J$2:$J$2000,"N"))</f>
        <v>25</v>
      </c>
      <c r="G47" s="4" t="str">
        <f aca="false">IF(_xlfn.MAXIFS(Sets!$H$2:$H$2000,Sets!$A$2:$A$2000,$A47,Sets!$D$2:$D$2000,G$1,Sets!$J$2:$J$2000,"N")=0,"",_xlfn.MAXIFS(Sets!$H$2:$H$2000,Sets!$A$2:$A$2000,$A47,Sets!$D$2:$D$2000,G$1,Sets!$J$2:$J$2000,"N"))</f>
        <v/>
      </c>
      <c r="H47" s="4" t="str">
        <f aca="false">IF(_xlfn.MAXIFS(Sets!$H$2:$H$2000,Sets!$A$2:$A$2000,$A47,Sets!$D$2:$D$2000,H$1,Sets!$J$2:$J$2000,"N")=0,"",_xlfn.MAXIFS(Sets!$H$2:$H$2000,Sets!$A$2:$A$2000,$A47,Sets!$D$2:$D$2000,H$1,Sets!$J$2:$J$2000,"N"))</f>
        <v/>
      </c>
      <c r="I47" s="4" t="n">
        <f aca="false">IF(_xlfn.MAXIFS(Sets!$H$2:$H$2000,Sets!$A$2:$A$2000,$A47,Sets!$D$2:$D$2000,I$1,Sets!$J$2:$J$2000,"N")=0,"",_xlfn.MAXIFS(Sets!$H$2:$H$2000,Sets!$A$2:$A$2000,$A47,Sets!$D$2:$D$2000,I$1,Sets!$J$2:$J$2000,"N"))</f>
        <v>50</v>
      </c>
      <c r="J47" s="4" t="str">
        <f aca="false">IF(_xlfn.MAXIFS(Sets!$H$2:$H$2000,Sets!$A$2:$A$2000,$A47,Sets!$D$2:$D$2000,J$1,Sets!$J$2:$J$2000,"N")=0,"",_xlfn.MAXIFS(Sets!$H$2:$H$2000,Sets!$A$2:$A$2000,$A47,Sets!$D$2:$D$2000,J$1,Sets!$J$2:$J$2000,"N"))</f>
        <v/>
      </c>
      <c r="K47" s="4" t="str">
        <f aca="false">IF(_xlfn.MAXIFS(Sets!$H$2:$H$2000,Sets!$A$2:$A$2000,$A47,Sets!$D$2:$D$2000,K$1,Sets!$J$2:$J$2000,"N")=0,"",_xlfn.MAXIFS(Sets!$H$2:$H$2000,Sets!$A$2:$A$2000,$A47,Sets!$D$2:$D$2000,K$1,Sets!$J$2:$J$2000,"N"))</f>
        <v/>
      </c>
      <c r="L47" s="4" t="str">
        <f aca="false">IF(_xlfn.MAXIFS(Sets!$H$2:$H$2000,Sets!$A$2:$A$2000,$A47,Sets!$D$2:$D$2000,L$1,Sets!$J$2:$J$2000,"N")=0,"",_xlfn.MAXIFS(Sets!$H$2:$H$2000,Sets!$A$2:$A$2000,$A47,Sets!$D$2:$D$2000,L$1,Sets!$J$2:$J$2000,"N"))</f>
        <v/>
      </c>
      <c r="M47" s="4" t="str">
        <f aca="false">IF(_xlfn.MAXIFS(Sets!$H$2:$H$2000,Sets!$A$2:$A$2000,$A47,Sets!$D$2:$D$2000,M$1,Sets!$J$2:$J$2000,"N")=0,"",_xlfn.MAXIFS(Sets!$H$2:$H$2000,Sets!$A$2:$A$2000,$A47,Sets!$D$2:$D$2000,M$1,Sets!$J$2:$J$2000,"N"))</f>
        <v/>
      </c>
      <c r="N47" s="4" t="str">
        <f aca="false">IF(_xlfn.MAXIFS(Sets!$H$2:$H$2000,Sets!$A$2:$A$2000,$A47,Sets!$D$2:$D$2000,N$1,Sets!$J$2:$J$2000,"N")=0,"",_xlfn.MAXIFS(Sets!$H$2:$H$2000,Sets!$A$2:$A$2000,$A47,Sets!$D$2:$D$2000,N$1,Sets!$J$2:$J$2000,"N"))</f>
        <v/>
      </c>
      <c r="O47" s="4" t="str">
        <f aca="false">IF(_xlfn.MAXIFS(Sets!$H$2:$H$2000,Sets!$A$2:$A$2000,$A47,Sets!$D$2:$D$2000,O$1,Sets!$J$2:$J$2000,"N")=0,"",_xlfn.MAXIFS(Sets!$H$2:$H$2000,Sets!$A$2:$A$2000,$A47,Sets!$D$2:$D$2000,O$1,Sets!$J$2:$J$2000,"N"))</f>
        <v/>
      </c>
      <c r="P47" s="4" t="str">
        <f aca="false">IF(_xlfn.MAXIFS(Sets!$H$2:$H$2000,Sets!$A$2:$A$2000,$A47,Sets!$D$2:$D$2000,P$1,Sets!$J$2:$J$2000,"N")=0,"",_xlfn.MAXIFS(Sets!$H$2:$H$2000,Sets!$A$2:$A$2000,$A47,Sets!$D$2:$D$2000,P$1,Sets!$J$2:$J$2000,"N"))</f>
        <v/>
      </c>
      <c r="Q47" s="4" t="str">
        <f aca="false">IF(_xlfn.MAXIFS(Sets!$H$2:$H$2000,Sets!$A$2:$A$2000,$A47,Sets!$D$2:$D$2000,Q$1,Sets!$J$2:$J$2000,"N")=0,"",_xlfn.MAXIFS(Sets!$H$2:$H$2000,Sets!$A$2:$A$2000,$A47,Sets!$D$2:$D$2000,Q$1,Sets!$J$2:$J$2000,"N"))</f>
        <v/>
      </c>
      <c r="R47" s="4" t="str">
        <f aca="false">IF(_xlfn.MAXIFS(Sets!$H$2:$H$2000,Sets!$A$2:$A$2000,$A47,Sets!$D$2:$D$2000,R$1,Sets!$J$2:$J$2000,"N")=0,"",_xlfn.MAXIFS(Sets!$H$2:$H$2000,Sets!$A$2:$A$2000,$A47,Sets!$D$2:$D$2000,R$1,Sets!$J$2:$J$2000,"N"))</f>
        <v/>
      </c>
      <c r="S47" s="4" t="n">
        <f aca="false">IF(_xlfn.MAXIFS(Sets!$H$2:$H$2000,Sets!$A$2:$A$2000,$A47,Sets!$D$2:$D$2000,S$1,Sets!$J$2:$J$2000,"N")=0,"",_xlfn.MAXIFS(Sets!$H$2:$H$2000,Sets!$A$2:$A$2000,$A47,Sets!$D$2:$D$2000,S$1,Sets!$J$2:$J$2000,"N"))</f>
        <v>25</v>
      </c>
      <c r="T47" s="4" t="str">
        <f aca="false">IF(_xlfn.MAXIFS(Sets!$H$2:$H$2000,Sets!$A$2:$A$2000,$A47,Sets!$D$2:$D$2000,T$1,Sets!$J$2:$J$2000,"N")=0,"",_xlfn.MAXIFS(Sets!$H$2:$H$2000,Sets!$A$2:$A$2000,$A47,Sets!$D$2:$D$2000,T$1,Sets!$J$2:$J$2000,"N"))</f>
        <v/>
      </c>
      <c r="U47" s="4" t="str">
        <f aca="false">IF(_xlfn.MAXIFS(Sets!$H$2:$H$2000,Sets!$A$2:$A$2000,$A47,Sets!$D$2:$D$2000,U$1,Sets!$J$2:$J$2000,"N")=0,"",_xlfn.MAXIFS(Sets!$H$2:$H$2000,Sets!$A$2:$A$2000,$A47,Sets!$D$2:$D$2000,U$1,Sets!$J$2:$J$2000,"N"))</f>
        <v/>
      </c>
      <c r="V47" s="4" t="str">
        <f aca="false">IF(_xlfn.MAXIFS(Sets!$H$2:$H$2000,Sets!$A$2:$A$2000,$A47,Sets!$D$2:$D$2000,V$1,Sets!$J$2:$J$2000,"N")=0,"",_xlfn.MAXIFS(Sets!$H$2:$H$2000,Sets!$A$2:$A$2000,$A47,Sets!$D$2:$D$2000,V$1,Sets!$J$2:$J$2000,"N"))</f>
        <v/>
      </c>
      <c r="W47" s="4" t="str">
        <f aca="false">IF(_xlfn.MAXIFS(Sets!$H$2:$H$2000,Sets!$A$2:$A$2000,$A47,Sets!$D$2:$D$2000,W$1,Sets!$J$2:$J$2000,"N")=0,"",_xlfn.MAXIFS(Sets!$H$2:$H$2000,Sets!$A$2:$A$2000,$A47,Sets!$D$2:$D$2000,W$1,Sets!$J$2:$J$2000,"N"))</f>
        <v/>
      </c>
      <c r="X47" s="4" t="str">
        <f aca="false">IF(_xlfn.MAXIFS(Sets!$H$2:$H$2000,Sets!$A$2:$A$2000,$A47,Sets!$D$2:$D$2000,X$1,Sets!$J$2:$J$2000,"N")=0,"",_xlfn.MAXIFS(Sets!$H$2:$H$2000,Sets!$A$2:$A$2000,$A47,Sets!$D$2:$D$2000,X$1,Sets!$J$2:$J$2000,"N"))</f>
        <v/>
      </c>
      <c r="Y47" s="4" t="str">
        <f aca="false">IF(_xlfn.MAXIFS(Sets!$H$2:$H$2000,Sets!$A$2:$A$2000,$A47,Sets!$D$2:$D$2000,Y$1,Sets!$J$2:$J$2000,"N")=0,"",_xlfn.MAXIFS(Sets!$H$2:$H$2000,Sets!$A$2:$A$2000,$A47,Sets!$D$2:$D$2000,Y$1,Sets!$J$2:$J$2000,"N"))</f>
        <v/>
      </c>
      <c r="Z47" s="4" t="str">
        <f aca="false">IF(_xlfn.MAXIFS(Sets!$H$2:$H$2000,Sets!$A$2:$A$2000,$A47,Sets!$D$2:$D$2000,Z$1,Sets!$J$2:$J$2000,"N")=0,"",_xlfn.MAXIFS(Sets!$H$2:$H$2000,Sets!$A$2:$A$2000,$A47,Sets!$D$2:$D$2000,Z$1,Sets!$J$2:$J$2000,"N"))</f>
        <v/>
      </c>
      <c r="AA47" s="4" t="str">
        <f aca="false">IF(_xlfn.MAXIFS(Sets!$H$2:$H$2000,Sets!$A$2:$A$2000,$A47,Sets!$D$2:$D$2000,AA$1,Sets!$J$2:$J$2000,"N")=0,"",_xlfn.MAXIFS(Sets!$H$2:$H$2000,Sets!$A$2:$A$2000,$A47,Sets!$D$2:$D$2000,AA$1,Sets!$J$2:$J$2000,"N"))</f>
        <v/>
      </c>
      <c r="AB47" s="4" t="str">
        <f aca="false">IF(_xlfn.MAXIFS(Sets!$H$2:$H$2000,Sets!$A$2:$A$2000,$A47,Sets!$D$2:$D$2000,AB$1,Sets!$J$2:$J$2000,"N")=0,"",_xlfn.MAXIFS(Sets!$H$2:$H$2000,Sets!$A$2:$A$2000,$A47,Sets!$D$2:$D$2000,AB$1,Sets!$J$2:$J$2000,"N"))</f>
        <v/>
      </c>
      <c r="AC47" s="4" t="str">
        <f aca="false">IF(_xlfn.MAXIFS(Sets!$H$2:$H$2000,Sets!$A$2:$A$2000,$A47,Sets!$D$2:$D$2000,AC$1,Sets!$J$2:$J$2000,"N")=0,"",_xlfn.MAXIFS(Sets!$H$2:$H$2000,Sets!$A$2:$A$2000,$A47,Sets!$D$2:$D$2000,AC$1,Sets!$J$2:$J$2000,"N"))</f>
        <v/>
      </c>
      <c r="AD47" s="4" t="str">
        <f aca="false">IF(_xlfn.MAXIFS(Sets!$H$2:$H$2000,Sets!$A$2:$A$2000,$A47,Sets!$D$2:$D$2000,AD$1,Sets!$J$2:$J$2000,"N")=0,"",_xlfn.MAXIFS(Sets!$H$2:$H$2000,Sets!$A$2:$A$2000,$A47,Sets!$D$2:$D$2000,AD$1,Sets!$J$2:$J$2000,"N"))</f>
        <v/>
      </c>
      <c r="AE47" s="4" t="str">
        <f aca="false">IF(_xlfn.MAXIFS(Sets!$H$2:$H$2000,Sets!$A$2:$A$2000,$A47,Sets!$D$2:$D$2000,AE$1,Sets!$J$2:$J$2000,"N")=0,"",_xlfn.MAXIFS(Sets!$H$2:$H$2000,Sets!$A$2:$A$2000,$A47,Sets!$D$2:$D$2000,AE$1,Sets!$J$2:$J$2000,"N"))</f>
        <v/>
      </c>
      <c r="AF47" s="4" t="str">
        <f aca="false">IF(_xlfn.MAXIFS(Sets!$H$2:$H$2000,Sets!$A$2:$A$2000,$A47,Sets!$D$2:$D$2000,AF$1,Sets!$J$2:$J$2000,"N")=0,"",_xlfn.MAXIFS(Sets!$H$2:$H$2000,Sets!$A$2:$A$2000,$A47,Sets!$D$2:$D$2000,AF$1,Sets!$J$2:$J$2000,"N"))</f>
        <v/>
      </c>
      <c r="AG47" s="4" t="str">
        <f aca="false">IF(_xlfn.MAXIFS(Sets!$H$2:$H$2000,Sets!$A$2:$A$2000,$A47,Sets!$D$2:$D$2000,AG$1,Sets!$J$2:$J$2000,"N")=0,"",_xlfn.MAXIFS(Sets!$H$2:$H$2000,Sets!$A$2:$A$2000,$A47,Sets!$D$2:$D$2000,AG$1,Sets!$J$2:$J$2000,"N"))</f>
        <v/>
      </c>
      <c r="AH47" s="4" t="str">
        <f aca="false">IF(_xlfn.MAXIFS(Sets!$H$2:$H$2000,Sets!$A$2:$A$2000,$A47,Sets!$D$2:$D$2000,AH$1,Sets!$J$2:$J$2000,"N")=0,"",_xlfn.MAXIFS(Sets!$H$2:$H$2000,Sets!$A$2:$A$2000,$A47,Sets!$D$2:$D$2000,AH$1,Sets!$J$2:$J$2000,"N"))</f>
        <v/>
      </c>
    </row>
    <row r="48" customFormat="false" ht="15" hidden="false" customHeight="false" outlineLevel="0" collapsed="false">
      <c r="A48" s="16" t="n">
        <v>46217</v>
      </c>
      <c r="B48" s="4" t="str">
        <f aca="false">IF(_xlfn.MAXIFS(Sets!$H$2:$H$2000,Sets!$A$2:$A$2000,$A48,Sets!$D$2:$D$2000,B$1,Sets!$J$2:$J$2000,"N")=0,"",_xlfn.MAXIFS(Sets!$H$2:$H$2000,Sets!$A$2:$A$2000,$A48,Sets!$D$2:$D$2000,B$1,Sets!$J$2:$J$2000,"N"))</f>
        <v/>
      </c>
      <c r="C48" s="4" t="n">
        <f aca="false">IF(_xlfn.MAXIFS(Sets!$H$2:$H$2000,Sets!$A$2:$A$2000,$A48,Sets!$D$2:$D$2000,C$1,Sets!$J$2:$J$2000,"N")=0,"",_xlfn.MAXIFS(Sets!$H$2:$H$2000,Sets!$A$2:$A$2000,$A48,Sets!$D$2:$D$2000,C$1,Sets!$J$2:$J$2000,"N"))</f>
        <v>25</v>
      </c>
      <c r="D48" s="4" t="str">
        <f aca="false">IF(_xlfn.MAXIFS(Sets!$H$2:$H$2000,Sets!$A$2:$A$2000,$A48,Sets!$D$2:$D$2000,D$1,Sets!$J$2:$J$2000,"N")=0,"",_xlfn.MAXIFS(Sets!$H$2:$H$2000,Sets!$A$2:$A$2000,$A48,Sets!$D$2:$D$2000,D$1,Sets!$J$2:$J$2000,"N"))</f>
        <v/>
      </c>
      <c r="E48" s="4" t="str">
        <f aca="false">IF(_xlfn.MAXIFS(Sets!$H$2:$H$2000,Sets!$A$2:$A$2000,$A48,Sets!$D$2:$D$2000,E$1,Sets!$J$2:$J$2000,"N")=0,"",_xlfn.MAXIFS(Sets!$H$2:$H$2000,Sets!$A$2:$A$2000,$A48,Sets!$D$2:$D$2000,E$1,Sets!$J$2:$J$2000,"N"))</f>
        <v/>
      </c>
      <c r="F48" s="4" t="n">
        <f aca="false">IF(_xlfn.MAXIFS(Sets!$H$2:$H$2000,Sets!$A$2:$A$2000,$A48,Sets!$D$2:$D$2000,F$1,Sets!$J$2:$J$2000,"N")=0,"",_xlfn.MAXIFS(Sets!$H$2:$H$2000,Sets!$A$2:$A$2000,$A48,Sets!$D$2:$D$2000,F$1,Sets!$J$2:$J$2000,"N"))</f>
        <v>30</v>
      </c>
      <c r="G48" s="4" t="str">
        <f aca="false">IF(_xlfn.MAXIFS(Sets!$H$2:$H$2000,Sets!$A$2:$A$2000,$A48,Sets!$D$2:$D$2000,G$1,Sets!$J$2:$J$2000,"N")=0,"",_xlfn.MAXIFS(Sets!$H$2:$H$2000,Sets!$A$2:$A$2000,$A48,Sets!$D$2:$D$2000,G$1,Sets!$J$2:$J$2000,"N"))</f>
        <v/>
      </c>
      <c r="H48" s="4" t="n">
        <f aca="false">IF(_xlfn.MAXIFS(Sets!$H$2:$H$2000,Sets!$A$2:$A$2000,$A48,Sets!$D$2:$D$2000,H$1,Sets!$J$2:$J$2000,"N")=0,"",_xlfn.MAXIFS(Sets!$H$2:$H$2000,Sets!$A$2:$A$2000,$A48,Sets!$D$2:$D$2000,H$1,Sets!$J$2:$J$2000,"N"))</f>
        <v>65</v>
      </c>
      <c r="I48" s="4" t="str">
        <f aca="false">IF(_xlfn.MAXIFS(Sets!$H$2:$H$2000,Sets!$A$2:$A$2000,$A48,Sets!$D$2:$D$2000,I$1,Sets!$J$2:$J$2000,"N")=0,"",_xlfn.MAXIFS(Sets!$H$2:$H$2000,Sets!$A$2:$A$2000,$A48,Sets!$D$2:$D$2000,I$1,Sets!$J$2:$J$2000,"N"))</f>
        <v/>
      </c>
      <c r="J48" s="4" t="str">
        <f aca="false">IF(_xlfn.MAXIFS(Sets!$H$2:$H$2000,Sets!$A$2:$A$2000,$A48,Sets!$D$2:$D$2000,J$1,Sets!$J$2:$J$2000,"N")=0,"",_xlfn.MAXIFS(Sets!$H$2:$H$2000,Sets!$A$2:$A$2000,$A48,Sets!$D$2:$D$2000,J$1,Sets!$J$2:$J$2000,"N"))</f>
        <v/>
      </c>
      <c r="K48" s="4" t="str">
        <f aca="false">IF(_xlfn.MAXIFS(Sets!$H$2:$H$2000,Sets!$A$2:$A$2000,$A48,Sets!$D$2:$D$2000,K$1,Sets!$J$2:$J$2000,"N")=0,"",_xlfn.MAXIFS(Sets!$H$2:$H$2000,Sets!$A$2:$A$2000,$A48,Sets!$D$2:$D$2000,K$1,Sets!$J$2:$J$2000,"N"))</f>
        <v/>
      </c>
      <c r="L48" s="4" t="str">
        <f aca="false">IF(_xlfn.MAXIFS(Sets!$H$2:$H$2000,Sets!$A$2:$A$2000,$A48,Sets!$D$2:$D$2000,L$1,Sets!$J$2:$J$2000,"N")=0,"",_xlfn.MAXIFS(Sets!$H$2:$H$2000,Sets!$A$2:$A$2000,$A48,Sets!$D$2:$D$2000,L$1,Sets!$J$2:$J$2000,"N"))</f>
        <v/>
      </c>
      <c r="M48" s="4" t="str">
        <f aca="false">IF(_xlfn.MAXIFS(Sets!$H$2:$H$2000,Sets!$A$2:$A$2000,$A48,Sets!$D$2:$D$2000,M$1,Sets!$J$2:$J$2000,"N")=0,"",_xlfn.MAXIFS(Sets!$H$2:$H$2000,Sets!$A$2:$A$2000,$A48,Sets!$D$2:$D$2000,M$1,Sets!$J$2:$J$2000,"N"))</f>
        <v/>
      </c>
      <c r="N48" s="4" t="str">
        <f aca="false">IF(_xlfn.MAXIFS(Sets!$H$2:$H$2000,Sets!$A$2:$A$2000,$A48,Sets!$D$2:$D$2000,N$1,Sets!$J$2:$J$2000,"N")=0,"",_xlfn.MAXIFS(Sets!$H$2:$H$2000,Sets!$A$2:$A$2000,$A48,Sets!$D$2:$D$2000,N$1,Sets!$J$2:$J$2000,"N"))</f>
        <v/>
      </c>
      <c r="O48" s="4" t="str">
        <f aca="false">IF(_xlfn.MAXIFS(Sets!$H$2:$H$2000,Sets!$A$2:$A$2000,$A48,Sets!$D$2:$D$2000,O$1,Sets!$J$2:$J$2000,"N")=0,"",_xlfn.MAXIFS(Sets!$H$2:$H$2000,Sets!$A$2:$A$2000,$A48,Sets!$D$2:$D$2000,O$1,Sets!$J$2:$J$2000,"N"))</f>
        <v/>
      </c>
      <c r="P48" s="4" t="str">
        <f aca="false">IF(_xlfn.MAXIFS(Sets!$H$2:$H$2000,Sets!$A$2:$A$2000,$A48,Sets!$D$2:$D$2000,P$1,Sets!$J$2:$J$2000,"N")=0,"",_xlfn.MAXIFS(Sets!$H$2:$H$2000,Sets!$A$2:$A$2000,$A48,Sets!$D$2:$D$2000,P$1,Sets!$J$2:$J$2000,"N"))</f>
        <v/>
      </c>
      <c r="Q48" s="4" t="str">
        <f aca="false">IF(_xlfn.MAXIFS(Sets!$H$2:$H$2000,Sets!$A$2:$A$2000,$A48,Sets!$D$2:$D$2000,Q$1,Sets!$J$2:$J$2000,"N")=0,"",_xlfn.MAXIFS(Sets!$H$2:$H$2000,Sets!$A$2:$A$2000,$A48,Sets!$D$2:$D$2000,Q$1,Sets!$J$2:$J$2000,"N"))</f>
        <v/>
      </c>
      <c r="R48" s="4" t="str">
        <f aca="false">IF(_xlfn.MAXIFS(Sets!$H$2:$H$2000,Sets!$A$2:$A$2000,$A48,Sets!$D$2:$D$2000,R$1,Sets!$J$2:$J$2000,"N")=0,"",_xlfn.MAXIFS(Sets!$H$2:$H$2000,Sets!$A$2:$A$2000,$A48,Sets!$D$2:$D$2000,R$1,Sets!$J$2:$J$2000,"N"))</f>
        <v/>
      </c>
      <c r="S48" s="4" t="str">
        <f aca="false">IF(_xlfn.MAXIFS(Sets!$H$2:$H$2000,Sets!$A$2:$A$2000,$A48,Sets!$D$2:$D$2000,S$1,Sets!$J$2:$J$2000,"N")=0,"",_xlfn.MAXIFS(Sets!$H$2:$H$2000,Sets!$A$2:$A$2000,$A48,Sets!$D$2:$D$2000,S$1,Sets!$J$2:$J$2000,"N"))</f>
        <v/>
      </c>
      <c r="T48" s="4" t="str">
        <f aca="false">IF(_xlfn.MAXIFS(Sets!$H$2:$H$2000,Sets!$A$2:$A$2000,$A48,Sets!$D$2:$D$2000,T$1,Sets!$J$2:$J$2000,"N")=0,"",_xlfn.MAXIFS(Sets!$H$2:$H$2000,Sets!$A$2:$A$2000,$A48,Sets!$D$2:$D$2000,T$1,Sets!$J$2:$J$2000,"N"))</f>
        <v/>
      </c>
      <c r="U48" s="4" t="str">
        <f aca="false">IF(_xlfn.MAXIFS(Sets!$H$2:$H$2000,Sets!$A$2:$A$2000,$A48,Sets!$D$2:$D$2000,U$1,Sets!$J$2:$J$2000,"N")=0,"",_xlfn.MAXIFS(Sets!$H$2:$H$2000,Sets!$A$2:$A$2000,$A48,Sets!$D$2:$D$2000,U$1,Sets!$J$2:$J$2000,"N"))</f>
        <v/>
      </c>
      <c r="V48" s="4" t="str">
        <f aca="false">IF(_xlfn.MAXIFS(Sets!$H$2:$H$2000,Sets!$A$2:$A$2000,$A48,Sets!$D$2:$D$2000,V$1,Sets!$J$2:$J$2000,"N")=0,"",_xlfn.MAXIFS(Sets!$H$2:$H$2000,Sets!$A$2:$A$2000,$A48,Sets!$D$2:$D$2000,V$1,Sets!$J$2:$J$2000,"N"))</f>
        <v/>
      </c>
      <c r="W48" s="4" t="str">
        <f aca="false">IF(_xlfn.MAXIFS(Sets!$H$2:$H$2000,Sets!$A$2:$A$2000,$A48,Sets!$D$2:$D$2000,W$1,Sets!$J$2:$J$2000,"N")=0,"",_xlfn.MAXIFS(Sets!$H$2:$H$2000,Sets!$A$2:$A$2000,$A48,Sets!$D$2:$D$2000,W$1,Sets!$J$2:$J$2000,"N"))</f>
        <v/>
      </c>
      <c r="X48" s="4" t="str">
        <f aca="false">IF(_xlfn.MAXIFS(Sets!$H$2:$H$2000,Sets!$A$2:$A$2000,$A48,Sets!$D$2:$D$2000,X$1,Sets!$J$2:$J$2000,"N")=0,"",_xlfn.MAXIFS(Sets!$H$2:$H$2000,Sets!$A$2:$A$2000,$A48,Sets!$D$2:$D$2000,X$1,Sets!$J$2:$J$2000,"N"))</f>
        <v/>
      </c>
      <c r="Y48" s="4" t="str">
        <f aca="false">IF(_xlfn.MAXIFS(Sets!$H$2:$H$2000,Sets!$A$2:$A$2000,$A48,Sets!$D$2:$D$2000,Y$1,Sets!$J$2:$J$2000,"N")=0,"",_xlfn.MAXIFS(Sets!$H$2:$H$2000,Sets!$A$2:$A$2000,$A48,Sets!$D$2:$D$2000,Y$1,Sets!$J$2:$J$2000,"N"))</f>
        <v/>
      </c>
      <c r="Z48" s="4" t="str">
        <f aca="false">IF(_xlfn.MAXIFS(Sets!$H$2:$H$2000,Sets!$A$2:$A$2000,$A48,Sets!$D$2:$D$2000,Z$1,Sets!$J$2:$J$2000,"N")=0,"",_xlfn.MAXIFS(Sets!$H$2:$H$2000,Sets!$A$2:$A$2000,$A48,Sets!$D$2:$D$2000,Z$1,Sets!$J$2:$J$2000,"N"))</f>
        <v/>
      </c>
      <c r="AA48" s="4" t="str">
        <f aca="false">IF(_xlfn.MAXIFS(Sets!$H$2:$H$2000,Sets!$A$2:$A$2000,$A48,Sets!$D$2:$D$2000,AA$1,Sets!$J$2:$J$2000,"N")=0,"",_xlfn.MAXIFS(Sets!$H$2:$H$2000,Sets!$A$2:$A$2000,$A48,Sets!$D$2:$D$2000,AA$1,Sets!$J$2:$J$2000,"N"))</f>
        <v/>
      </c>
      <c r="AB48" s="4" t="str">
        <f aca="false">IF(_xlfn.MAXIFS(Sets!$H$2:$H$2000,Sets!$A$2:$A$2000,$A48,Sets!$D$2:$D$2000,AB$1,Sets!$J$2:$J$2000,"N")=0,"",_xlfn.MAXIFS(Sets!$H$2:$H$2000,Sets!$A$2:$A$2000,$A48,Sets!$D$2:$D$2000,AB$1,Sets!$J$2:$J$2000,"N"))</f>
        <v/>
      </c>
      <c r="AC48" s="4" t="str">
        <f aca="false">IF(_xlfn.MAXIFS(Sets!$H$2:$H$2000,Sets!$A$2:$A$2000,$A48,Sets!$D$2:$D$2000,AC$1,Sets!$J$2:$J$2000,"N")=0,"",_xlfn.MAXIFS(Sets!$H$2:$H$2000,Sets!$A$2:$A$2000,$A48,Sets!$D$2:$D$2000,AC$1,Sets!$J$2:$J$2000,"N"))</f>
        <v/>
      </c>
      <c r="AD48" s="4" t="str">
        <f aca="false">IF(_xlfn.MAXIFS(Sets!$H$2:$H$2000,Sets!$A$2:$A$2000,$A48,Sets!$D$2:$D$2000,AD$1,Sets!$J$2:$J$2000,"N")=0,"",_xlfn.MAXIFS(Sets!$H$2:$H$2000,Sets!$A$2:$A$2000,$A48,Sets!$D$2:$D$2000,AD$1,Sets!$J$2:$J$2000,"N"))</f>
        <v/>
      </c>
      <c r="AE48" s="4" t="str">
        <f aca="false">IF(_xlfn.MAXIFS(Sets!$H$2:$H$2000,Sets!$A$2:$A$2000,$A48,Sets!$D$2:$D$2000,AE$1,Sets!$J$2:$J$2000,"N")=0,"",_xlfn.MAXIFS(Sets!$H$2:$H$2000,Sets!$A$2:$A$2000,$A48,Sets!$D$2:$D$2000,AE$1,Sets!$J$2:$J$2000,"N"))</f>
        <v/>
      </c>
      <c r="AF48" s="4" t="str">
        <f aca="false">IF(_xlfn.MAXIFS(Sets!$H$2:$H$2000,Sets!$A$2:$A$2000,$A48,Sets!$D$2:$D$2000,AF$1,Sets!$J$2:$J$2000,"N")=0,"",_xlfn.MAXIFS(Sets!$H$2:$H$2000,Sets!$A$2:$A$2000,$A48,Sets!$D$2:$D$2000,AF$1,Sets!$J$2:$J$2000,"N"))</f>
        <v/>
      </c>
      <c r="AG48" s="4" t="str">
        <f aca="false">IF(_xlfn.MAXIFS(Sets!$H$2:$H$2000,Sets!$A$2:$A$2000,$A48,Sets!$D$2:$D$2000,AG$1,Sets!$J$2:$J$2000,"N")=0,"",_xlfn.MAXIFS(Sets!$H$2:$H$2000,Sets!$A$2:$A$2000,$A48,Sets!$D$2:$D$2000,AG$1,Sets!$J$2:$J$2000,"N"))</f>
        <v/>
      </c>
      <c r="AH48" s="4" t="str">
        <f aca="false">IF(_xlfn.MAXIFS(Sets!$H$2:$H$2000,Sets!$A$2:$A$2000,$A48,Sets!$D$2:$D$2000,AH$1,Sets!$J$2:$J$2000,"N")=0,"",_xlfn.MAXIFS(Sets!$H$2:$H$2000,Sets!$A$2:$A$2000,$A48,Sets!$D$2:$D$2000,AH$1,Sets!$J$2:$J$2000,"N"))</f>
        <v/>
      </c>
    </row>
    <row r="49" customFormat="false" ht="15" hidden="false" customHeight="false" outlineLevel="0" collapsed="false">
      <c r="A49" s="16" t="n">
        <v>46219</v>
      </c>
      <c r="B49" s="4" t="n">
        <f aca="false">IF(_xlfn.MAXIFS(Sets!$H$2:$H$2000,Sets!$A$2:$A$2000,$A49,Sets!$D$2:$D$2000,B$1,Sets!$J$2:$J$2000,"N")=0,"",_xlfn.MAXIFS(Sets!$H$2:$H$2000,Sets!$A$2:$A$2000,$A49,Sets!$D$2:$D$2000,B$1,Sets!$J$2:$J$2000,"N"))</f>
        <v>30</v>
      </c>
      <c r="C49" s="4" t="str">
        <f aca="false">IF(_xlfn.MAXIFS(Sets!$H$2:$H$2000,Sets!$A$2:$A$2000,$A49,Sets!$D$2:$D$2000,C$1,Sets!$J$2:$J$2000,"N")=0,"",_xlfn.MAXIFS(Sets!$H$2:$H$2000,Sets!$A$2:$A$2000,$A49,Sets!$D$2:$D$2000,C$1,Sets!$J$2:$J$2000,"N"))</f>
        <v/>
      </c>
      <c r="D49" s="4" t="n">
        <f aca="false">IF(_xlfn.MAXIFS(Sets!$H$2:$H$2000,Sets!$A$2:$A$2000,$A49,Sets!$D$2:$D$2000,D$1,Sets!$J$2:$J$2000,"N")=0,"",_xlfn.MAXIFS(Sets!$H$2:$H$2000,Sets!$A$2:$A$2000,$A49,Sets!$D$2:$D$2000,D$1,Sets!$J$2:$J$2000,"N"))</f>
        <v>50</v>
      </c>
      <c r="E49" s="4" t="n">
        <f aca="false">IF(_xlfn.MAXIFS(Sets!$H$2:$H$2000,Sets!$A$2:$A$2000,$A49,Sets!$D$2:$D$2000,E$1,Sets!$J$2:$J$2000,"N")=0,"",_xlfn.MAXIFS(Sets!$H$2:$H$2000,Sets!$A$2:$A$2000,$A49,Sets!$D$2:$D$2000,E$1,Sets!$J$2:$J$2000,"N"))</f>
        <v>105</v>
      </c>
      <c r="F49" s="4" t="str">
        <f aca="false">IF(_xlfn.MAXIFS(Sets!$H$2:$H$2000,Sets!$A$2:$A$2000,$A49,Sets!$D$2:$D$2000,F$1,Sets!$J$2:$J$2000,"N")=0,"",_xlfn.MAXIFS(Sets!$H$2:$H$2000,Sets!$A$2:$A$2000,$A49,Sets!$D$2:$D$2000,F$1,Sets!$J$2:$J$2000,"N"))</f>
        <v/>
      </c>
      <c r="G49" s="4" t="str">
        <f aca="false">IF(_xlfn.MAXIFS(Sets!$H$2:$H$2000,Sets!$A$2:$A$2000,$A49,Sets!$D$2:$D$2000,G$1,Sets!$J$2:$J$2000,"N")=0,"",_xlfn.MAXIFS(Sets!$H$2:$H$2000,Sets!$A$2:$A$2000,$A49,Sets!$D$2:$D$2000,G$1,Sets!$J$2:$J$2000,"N"))</f>
        <v/>
      </c>
      <c r="H49" s="4" t="str">
        <f aca="false">IF(_xlfn.MAXIFS(Sets!$H$2:$H$2000,Sets!$A$2:$A$2000,$A49,Sets!$D$2:$D$2000,H$1,Sets!$J$2:$J$2000,"N")=0,"",_xlfn.MAXIFS(Sets!$H$2:$H$2000,Sets!$A$2:$A$2000,$A49,Sets!$D$2:$D$2000,H$1,Sets!$J$2:$J$2000,"N"))</f>
        <v/>
      </c>
      <c r="I49" s="4" t="str">
        <f aca="false">IF(_xlfn.MAXIFS(Sets!$H$2:$H$2000,Sets!$A$2:$A$2000,$A49,Sets!$D$2:$D$2000,I$1,Sets!$J$2:$J$2000,"N")=0,"",_xlfn.MAXIFS(Sets!$H$2:$H$2000,Sets!$A$2:$A$2000,$A49,Sets!$D$2:$D$2000,I$1,Sets!$J$2:$J$2000,"N"))</f>
        <v/>
      </c>
      <c r="J49" s="4" t="str">
        <f aca="false">IF(_xlfn.MAXIFS(Sets!$H$2:$H$2000,Sets!$A$2:$A$2000,$A49,Sets!$D$2:$D$2000,J$1,Sets!$J$2:$J$2000,"N")=0,"",_xlfn.MAXIFS(Sets!$H$2:$H$2000,Sets!$A$2:$A$2000,$A49,Sets!$D$2:$D$2000,J$1,Sets!$J$2:$J$2000,"N"))</f>
        <v/>
      </c>
      <c r="K49" s="4" t="str">
        <f aca="false">IF(_xlfn.MAXIFS(Sets!$H$2:$H$2000,Sets!$A$2:$A$2000,$A49,Sets!$D$2:$D$2000,K$1,Sets!$J$2:$J$2000,"N")=0,"",_xlfn.MAXIFS(Sets!$H$2:$H$2000,Sets!$A$2:$A$2000,$A49,Sets!$D$2:$D$2000,K$1,Sets!$J$2:$J$2000,"N"))</f>
        <v/>
      </c>
      <c r="L49" s="4" t="str">
        <f aca="false">IF(_xlfn.MAXIFS(Sets!$H$2:$H$2000,Sets!$A$2:$A$2000,$A49,Sets!$D$2:$D$2000,L$1,Sets!$J$2:$J$2000,"N")=0,"",_xlfn.MAXIFS(Sets!$H$2:$H$2000,Sets!$A$2:$A$2000,$A49,Sets!$D$2:$D$2000,L$1,Sets!$J$2:$J$2000,"N"))</f>
        <v/>
      </c>
      <c r="M49" s="4" t="str">
        <f aca="false">IF(_xlfn.MAXIFS(Sets!$H$2:$H$2000,Sets!$A$2:$A$2000,$A49,Sets!$D$2:$D$2000,M$1,Sets!$J$2:$J$2000,"N")=0,"",_xlfn.MAXIFS(Sets!$H$2:$H$2000,Sets!$A$2:$A$2000,$A49,Sets!$D$2:$D$2000,M$1,Sets!$J$2:$J$2000,"N"))</f>
        <v/>
      </c>
      <c r="N49" s="4" t="str">
        <f aca="false">IF(_xlfn.MAXIFS(Sets!$H$2:$H$2000,Sets!$A$2:$A$2000,$A49,Sets!$D$2:$D$2000,N$1,Sets!$J$2:$J$2000,"N")=0,"",_xlfn.MAXIFS(Sets!$H$2:$H$2000,Sets!$A$2:$A$2000,$A49,Sets!$D$2:$D$2000,N$1,Sets!$J$2:$J$2000,"N"))</f>
        <v/>
      </c>
      <c r="O49" s="4" t="n">
        <f aca="false">IF(_xlfn.MAXIFS(Sets!$H$2:$H$2000,Sets!$A$2:$A$2000,$A49,Sets!$D$2:$D$2000,O$1,Sets!$J$2:$J$2000,"N")=0,"",_xlfn.MAXIFS(Sets!$H$2:$H$2000,Sets!$A$2:$A$2000,$A49,Sets!$D$2:$D$2000,O$1,Sets!$J$2:$J$2000,"N"))</f>
        <v>40</v>
      </c>
      <c r="P49" s="4" t="str">
        <f aca="false">IF(_xlfn.MAXIFS(Sets!$H$2:$H$2000,Sets!$A$2:$A$2000,$A49,Sets!$D$2:$D$2000,P$1,Sets!$J$2:$J$2000,"N")=0,"",_xlfn.MAXIFS(Sets!$H$2:$H$2000,Sets!$A$2:$A$2000,$A49,Sets!$D$2:$D$2000,P$1,Sets!$J$2:$J$2000,"N"))</f>
        <v/>
      </c>
      <c r="Q49" s="4" t="str">
        <f aca="false">IF(_xlfn.MAXIFS(Sets!$H$2:$H$2000,Sets!$A$2:$A$2000,$A49,Sets!$D$2:$D$2000,Q$1,Sets!$J$2:$J$2000,"N")=0,"",_xlfn.MAXIFS(Sets!$H$2:$H$2000,Sets!$A$2:$A$2000,$A49,Sets!$D$2:$D$2000,Q$1,Sets!$J$2:$J$2000,"N"))</f>
        <v/>
      </c>
      <c r="R49" s="4" t="str">
        <f aca="false">IF(_xlfn.MAXIFS(Sets!$H$2:$H$2000,Sets!$A$2:$A$2000,$A49,Sets!$D$2:$D$2000,R$1,Sets!$J$2:$J$2000,"N")=0,"",_xlfn.MAXIFS(Sets!$H$2:$H$2000,Sets!$A$2:$A$2000,$A49,Sets!$D$2:$D$2000,R$1,Sets!$J$2:$J$2000,"N"))</f>
        <v/>
      </c>
      <c r="S49" s="4" t="str">
        <f aca="false">IF(_xlfn.MAXIFS(Sets!$H$2:$H$2000,Sets!$A$2:$A$2000,$A49,Sets!$D$2:$D$2000,S$1,Sets!$J$2:$J$2000,"N")=0,"",_xlfn.MAXIFS(Sets!$H$2:$H$2000,Sets!$A$2:$A$2000,$A49,Sets!$D$2:$D$2000,S$1,Sets!$J$2:$J$2000,"N"))</f>
        <v/>
      </c>
      <c r="T49" s="4" t="str">
        <f aca="false">IF(_xlfn.MAXIFS(Sets!$H$2:$H$2000,Sets!$A$2:$A$2000,$A49,Sets!$D$2:$D$2000,T$1,Sets!$J$2:$J$2000,"N")=0,"",_xlfn.MAXIFS(Sets!$H$2:$H$2000,Sets!$A$2:$A$2000,$A49,Sets!$D$2:$D$2000,T$1,Sets!$J$2:$J$2000,"N"))</f>
        <v/>
      </c>
      <c r="U49" s="4" t="str">
        <f aca="false">IF(_xlfn.MAXIFS(Sets!$H$2:$H$2000,Sets!$A$2:$A$2000,$A49,Sets!$D$2:$D$2000,U$1,Sets!$J$2:$J$2000,"N")=0,"",_xlfn.MAXIFS(Sets!$H$2:$H$2000,Sets!$A$2:$A$2000,$A49,Sets!$D$2:$D$2000,U$1,Sets!$J$2:$J$2000,"N"))</f>
        <v/>
      </c>
      <c r="V49" s="4" t="str">
        <f aca="false">IF(_xlfn.MAXIFS(Sets!$H$2:$H$2000,Sets!$A$2:$A$2000,$A49,Sets!$D$2:$D$2000,V$1,Sets!$J$2:$J$2000,"N")=0,"",_xlfn.MAXIFS(Sets!$H$2:$H$2000,Sets!$A$2:$A$2000,$A49,Sets!$D$2:$D$2000,V$1,Sets!$J$2:$J$2000,"N"))</f>
        <v/>
      </c>
      <c r="W49" s="4" t="str">
        <f aca="false">IF(_xlfn.MAXIFS(Sets!$H$2:$H$2000,Sets!$A$2:$A$2000,$A49,Sets!$D$2:$D$2000,W$1,Sets!$J$2:$J$2000,"N")=0,"",_xlfn.MAXIFS(Sets!$H$2:$H$2000,Sets!$A$2:$A$2000,$A49,Sets!$D$2:$D$2000,W$1,Sets!$J$2:$J$2000,"N"))</f>
        <v/>
      </c>
      <c r="X49" s="4" t="str">
        <f aca="false">IF(_xlfn.MAXIFS(Sets!$H$2:$H$2000,Sets!$A$2:$A$2000,$A49,Sets!$D$2:$D$2000,X$1,Sets!$J$2:$J$2000,"N")=0,"",_xlfn.MAXIFS(Sets!$H$2:$H$2000,Sets!$A$2:$A$2000,$A49,Sets!$D$2:$D$2000,X$1,Sets!$J$2:$J$2000,"N"))</f>
        <v/>
      </c>
      <c r="Y49" s="4" t="str">
        <f aca="false">IF(_xlfn.MAXIFS(Sets!$H$2:$H$2000,Sets!$A$2:$A$2000,$A49,Sets!$D$2:$D$2000,Y$1,Sets!$J$2:$J$2000,"N")=0,"",_xlfn.MAXIFS(Sets!$H$2:$H$2000,Sets!$A$2:$A$2000,$A49,Sets!$D$2:$D$2000,Y$1,Sets!$J$2:$J$2000,"N"))</f>
        <v/>
      </c>
      <c r="Z49" s="4" t="str">
        <f aca="false">IF(_xlfn.MAXIFS(Sets!$H$2:$H$2000,Sets!$A$2:$A$2000,$A49,Sets!$D$2:$D$2000,Z$1,Sets!$J$2:$J$2000,"N")=0,"",_xlfn.MAXIFS(Sets!$H$2:$H$2000,Sets!$A$2:$A$2000,$A49,Sets!$D$2:$D$2000,Z$1,Sets!$J$2:$J$2000,"N"))</f>
        <v/>
      </c>
      <c r="AA49" s="4" t="str">
        <f aca="false">IF(_xlfn.MAXIFS(Sets!$H$2:$H$2000,Sets!$A$2:$A$2000,$A49,Sets!$D$2:$D$2000,AA$1,Sets!$J$2:$J$2000,"N")=0,"",_xlfn.MAXIFS(Sets!$H$2:$H$2000,Sets!$A$2:$A$2000,$A49,Sets!$D$2:$D$2000,AA$1,Sets!$J$2:$J$2000,"N"))</f>
        <v/>
      </c>
      <c r="AB49" s="4" t="str">
        <f aca="false">IF(_xlfn.MAXIFS(Sets!$H$2:$H$2000,Sets!$A$2:$A$2000,$A49,Sets!$D$2:$D$2000,AB$1,Sets!$J$2:$J$2000,"N")=0,"",_xlfn.MAXIFS(Sets!$H$2:$H$2000,Sets!$A$2:$A$2000,$A49,Sets!$D$2:$D$2000,AB$1,Sets!$J$2:$J$2000,"N"))</f>
        <v/>
      </c>
      <c r="AC49" s="4" t="str">
        <f aca="false">IF(_xlfn.MAXIFS(Sets!$H$2:$H$2000,Sets!$A$2:$A$2000,$A49,Sets!$D$2:$D$2000,AC$1,Sets!$J$2:$J$2000,"N")=0,"",_xlfn.MAXIFS(Sets!$H$2:$H$2000,Sets!$A$2:$A$2000,$A49,Sets!$D$2:$D$2000,AC$1,Sets!$J$2:$J$2000,"N"))</f>
        <v/>
      </c>
      <c r="AD49" s="4" t="str">
        <f aca="false">IF(_xlfn.MAXIFS(Sets!$H$2:$H$2000,Sets!$A$2:$A$2000,$A49,Sets!$D$2:$D$2000,AD$1,Sets!$J$2:$J$2000,"N")=0,"",_xlfn.MAXIFS(Sets!$H$2:$H$2000,Sets!$A$2:$A$2000,$A49,Sets!$D$2:$D$2000,AD$1,Sets!$J$2:$J$2000,"N"))</f>
        <v/>
      </c>
      <c r="AE49" s="4" t="str">
        <f aca="false">IF(_xlfn.MAXIFS(Sets!$H$2:$H$2000,Sets!$A$2:$A$2000,$A49,Sets!$D$2:$D$2000,AE$1,Sets!$J$2:$J$2000,"N")=0,"",_xlfn.MAXIFS(Sets!$H$2:$H$2000,Sets!$A$2:$A$2000,$A49,Sets!$D$2:$D$2000,AE$1,Sets!$J$2:$J$2000,"N"))</f>
        <v/>
      </c>
      <c r="AF49" s="4" t="str">
        <f aca="false">IF(_xlfn.MAXIFS(Sets!$H$2:$H$2000,Sets!$A$2:$A$2000,$A49,Sets!$D$2:$D$2000,AF$1,Sets!$J$2:$J$2000,"N")=0,"",_xlfn.MAXIFS(Sets!$H$2:$H$2000,Sets!$A$2:$A$2000,$A49,Sets!$D$2:$D$2000,AF$1,Sets!$J$2:$J$2000,"N"))</f>
        <v/>
      </c>
      <c r="AG49" s="4" t="str">
        <f aca="false">IF(_xlfn.MAXIFS(Sets!$H$2:$H$2000,Sets!$A$2:$A$2000,$A49,Sets!$D$2:$D$2000,AG$1,Sets!$J$2:$J$2000,"N")=0,"",_xlfn.MAXIFS(Sets!$H$2:$H$2000,Sets!$A$2:$A$2000,$A49,Sets!$D$2:$D$2000,AG$1,Sets!$J$2:$J$2000,"N"))</f>
        <v/>
      </c>
      <c r="AH49" s="4" t="str">
        <f aca="false">IF(_xlfn.MAXIFS(Sets!$H$2:$H$2000,Sets!$A$2:$A$2000,$A49,Sets!$D$2:$D$2000,AH$1,Sets!$J$2:$J$2000,"N")=0,"",_xlfn.MAXIFS(Sets!$H$2:$H$2000,Sets!$A$2:$A$2000,$A49,Sets!$D$2:$D$2000,AH$1,Sets!$J$2:$J$2000,"N"))</f>
        <v/>
      </c>
    </row>
    <row r="50" customFormat="false" ht="15" hidden="false" customHeight="false" outlineLevel="0" collapsed="false">
      <c r="A50" s="16" t="n">
        <v>46221</v>
      </c>
      <c r="B50" s="4" t="str">
        <f aca="false">IF(_xlfn.MAXIFS(Sets!$H$2:$H$2000,Sets!$A$2:$A$2000,$A50,Sets!$D$2:$D$2000,B$1,Sets!$J$2:$J$2000,"N")=0,"",_xlfn.MAXIFS(Sets!$H$2:$H$2000,Sets!$A$2:$A$2000,$A50,Sets!$D$2:$D$2000,B$1,Sets!$J$2:$J$2000,"N"))</f>
        <v/>
      </c>
      <c r="C50" s="4" t="str">
        <f aca="false">IF(_xlfn.MAXIFS(Sets!$H$2:$H$2000,Sets!$A$2:$A$2000,$A50,Sets!$D$2:$D$2000,C$1,Sets!$J$2:$J$2000,"N")=0,"",_xlfn.MAXIFS(Sets!$H$2:$H$2000,Sets!$A$2:$A$2000,$A50,Sets!$D$2:$D$2000,C$1,Sets!$J$2:$J$2000,"N"))</f>
        <v/>
      </c>
      <c r="D50" s="4" t="str">
        <f aca="false">IF(_xlfn.MAXIFS(Sets!$H$2:$H$2000,Sets!$A$2:$A$2000,$A50,Sets!$D$2:$D$2000,D$1,Sets!$J$2:$J$2000,"N")=0,"",_xlfn.MAXIFS(Sets!$H$2:$H$2000,Sets!$A$2:$A$2000,$A50,Sets!$D$2:$D$2000,D$1,Sets!$J$2:$J$2000,"N"))</f>
        <v/>
      </c>
      <c r="E50" s="4" t="str">
        <f aca="false">IF(_xlfn.MAXIFS(Sets!$H$2:$H$2000,Sets!$A$2:$A$2000,$A50,Sets!$D$2:$D$2000,E$1,Sets!$J$2:$J$2000,"N")=0,"",_xlfn.MAXIFS(Sets!$H$2:$H$2000,Sets!$A$2:$A$2000,$A50,Sets!$D$2:$D$2000,E$1,Sets!$J$2:$J$2000,"N"))</f>
        <v/>
      </c>
      <c r="F50" s="4" t="str">
        <f aca="false">IF(_xlfn.MAXIFS(Sets!$H$2:$H$2000,Sets!$A$2:$A$2000,$A50,Sets!$D$2:$D$2000,F$1,Sets!$J$2:$J$2000,"N")=0,"",_xlfn.MAXIFS(Sets!$H$2:$H$2000,Sets!$A$2:$A$2000,$A50,Sets!$D$2:$D$2000,F$1,Sets!$J$2:$J$2000,"N"))</f>
        <v/>
      </c>
      <c r="G50" s="4" t="str">
        <f aca="false">IF(_xlfn.MAXIFS(Sets!$H$2:$H$2000,Sets!$A$2:$A$2000,$A50,Sets!$D$2:$D$2000,G$1,Sets!$J$2:$J$2000,"N")=0,"",_xlfn.MAXIFS(Sets!$H$2:$H$2000,Sets!$A$2:$A$2000,$A50,Sets!$D$2:$D$2000,G$1,Sets!$J$2:$J$2000,"N"))</f>
        <v/>
      </c>
      <c r="H50" s="4" t="str">
        <f aca="false">IF(_xlfn.MAXIFS(Sets!$H$2:$H$2000,Sets!$A$2:$A$2000,$A50,Sets!$D$2:$D$2000,H$1,Sets!$J$2:$J$2000,"N")=0,"",_xlfn.MAXIFS(Sets!$H$2:$H$2000,Sets!$A$2:$A$2000,$A50,Sets!$D$2:$D$2000,H$1,Sets!$J$2:$J$2000,"N"))</f>
        <v/>
      </c>
      <c r="I50" s="4" t="n">
        <f aca="false">IF(_xlfn.MAXIFS(Sets!$H$2:$H$2000,Sets!$A$2:$A$2000,$A50,Sets!$D$2:$D$2000,I$1,Sets!$J$2:$J$2000,"N")=0,"",_xlfn.MAXIFS(Sets!$H$2:$H$2000,Sets!$A$2:$A$2000,$A50,Sets!$D$2:$D$2000,I$1,Sets!$J$2:$J$2000,"N"))</f>
        <v>55</v>
      </c>
      <c r="J50" s="4" t="str">
        <f aca="false">IF(_xlfn.MAXIFS(Sets!$H$2:$H$2000,Sets!$A$2:$A$2000,$A50,Sets!$D$2:$D$2000,J$1,Sets!$J$2:$J$2000,"N")=0,"",_xlfn.MAXIFS(Sets!$H$2:$H$2000,Sets!$A$2:$A$2000,$A50,Sets!$D$2:$D$2000,J$1,Sets!$J$2:$J$2000,"N"))</f>
        <v/>
      </c>
      <c r="K50" s="4" t="str">
        <f aca="false">IF(_xlfn.MAXIFS(Sets!$H$2:$H$2000,Sets!$A$2:$A$2000,$A50,Sets!$D$2:$D$2000,K$1,Sets!$J$2:$J$2000,"N")=0,"",_xlfn.MAXIFS(Sets!$H$2:$H$2000,Sets!$A$2:$A$2000,$A50,Sets!$D$2:$D$2000,K$1,Sets!$J$2:$J$2000,"N"))</f>
        <v/>
      </c>
      <c r="L50" s="4" t="str">
        <f aca="false">IF(_xlfn.MAXIFS(Sets!$H$2:$H$2000,Sets!$A$2:$A$2000,$A50,Sets!$D$2:$D$2000,L$1,Sets!$J$2:$J$2000,"N")=0,"",_xlfn.MAXIFS(Sets!$H$2:$H$2000,Sets!$A$2:$A$2000,$A50,Sets!$D$2:$D$2000,L$1,Sets!$J$2:$J$2000,"N"))</f>
        <v/>
      </c>
      <c r="M50" s="4" t="str">
        <f aca="false">IF(_xlfn.MAXIFS(Sets!$H$2:$H$2000,Sets!$A$2:$A$2000,$A50,Sets!$D$2:$D$2000,M$1,Sets!$J$2:$J$2000,"N")=0,"",_xlfn.MAXIFS(Sets!$H$2:$H$2000,Sets!$A$2:$A$2000,$A50,Sets!$D$2:$D$2000,M$1,Sets!$J$2:$J$2000,"N"))</f>
        <v/>
      </c>
      <c r="N50" s="4" t="str">
        <f aca="false">IF(_xlfn.MAXIFS(Sets!$H$2:$H$2000,Sets!$A$2:$A$2000,$A50,Sets!$D$2:$D$2000,N$1,Sets!$J$2:$J$2000,"N")=0,"",_xlfn.MAXIFS(Sets!$H$2:$H$2000,Sets!$A$2:$A$2000,$A50,Sets!$D$2:$D$2000,N$1,Sets!$J$2:$J$2000,"N"))</f>
        <v/>
      </c>
      <c r="O50" s="4" t="str">
        <f aca="false">IF(_xlfn.MAXIFS(Sets!$H$2:$H$2000,Sets!$A$2:$A$2000,$A50,Sets!$D$2:$D$2000,O$1,Sets!$J$2:$J$2000,"N")=0,"",_xlfn.MAXIFS(Sets!$H$2:$H$2000,Sets!$A$2:$A$2000,$A50,Sets!$D$2:$D$2000,O$1,Sets!$J$2:$J$2000,"N"))</f>
        <v/>
      </c>
      <c r="P50" s="4" t="str">
        <f aca="false">IF(_xlfn.MAXIFS(Sets!$H$2:$H$2000,Sets!$A$2:$A$2000,$A50,Sets!$D$2:$D$2000,P$1,Sets!$J$2:$J$2000,"N")=0,"",_xlfn.MAXIFS(Sets!$H$2:$H$2000,Sets!$A$2:$A$2000,$A50,Sets!$D$2:$D$2000,P$1,Sets!$J$2:$J$2000,"N"))</f>
        <v/>
      </c>
      <c r="Q50" s="4" t="str">
        <f aca="false">IF(_xlfn.MAXIFS(Sets!$H$2:$H$2000,Sets!$A$2:$A$2000,$A50,Sets!$D$2:$D$2000,Q$1,Sets!$J$2:$J$2000,"N")=0,"",_xlfn.MAXIFS(Sets!$H$2:$H$2000,Sets!$A$2:$A$2000,$A50,Sets!$D$2:$D$2000,Q$1,Sets!$J$2:$J$2000,"N"))</f>
        <v/>
      </c>
      <c r="R50" s="4" t="str">
        <f aca="false">IF(_xlfn.MAXIFS(Sets!$H$2:$H$2000,Sets!$A$2:$A$2000,$A50,Sets!$D$2:$D$2000,R$1,Sets!$J$2:$J$2000,"N")=0,"",_xlfn.MAXIFS(Sets!$H$2:$H$2000,Sets!$A$2:$A$2000,$A50,Sets!$D$2:$D$2000,R$1,Sets!$J$2:$J$2000,"N"))</f>
        <v/>
      </c>
      <c r="S50" s="4" t="n">
        <f aca="false">IF(_xlfn.MAXIFS(Sets!$H$2:$H$2000,Sets!$A$2:$A$2000,$A50,Sets!$D$2:$D$2000,S$1,Sets!$J$2:$J$2000,"N")=0,"",_xlfn.MAXIFS(Sets!$H$2:$H$2000,Sets!$A$2:$A$2000,$A50,Sets!$D$2:$D$2000,S$1,Sets!$J$2:$J$2000,"N"))</f>
        <v>25</v>
      </c>
      <c r="T50" s="4" t="str">
        <f aca="false">IF(_xlfn.MAXIFS(Sets!$H$2:$H$2000,Sets!$A$2:$A$2000,$A50,Sets!$D$2:$D$2000,T$1,Sets!$J$2:$J$2000,"N")=0,"",_xlfn.MAXIFS(Sets!$H$2:$H$2000,Sets!$A$2:$A$2000,$A50,Sets!$D$2:$D$2000,T$1,Sets!$J$2:$J$2000,"N"))</f>
        <v/>
      </c>
      <c r="U50" s="4" t="str">
        <f aca="false">IF(_xlfn.MAXIFS(Sets!$H$2:$H$2000,Sets!$A$2:$A$2000,$A50,Sets!$D$2:$D$2000,U$1,Sets!$J$2:$J$2000,"N")=0,"",_xlfn.MAXIFS(Sets!$H$2:$H$2000,Sets!$A$2:$A$2000,$A50,Sets!$D$2:$D$2000,U$1,Sets!$J$2:$J$2000,"N"))</f>
        <v/>
      </c>
      <c r="V50" s="4" t="str">
        <f aca="false">IF(_xlfn.MAXIFS(Sets!$H$2:$H$2000,Sets!$A$2:$A$2000,$A50,Sets!$D$2:$D$2000,V$1,Sets!$J$2:$J$2000,"N")=0,"",_xlfn.MAXIFS(Sets!$H$2:$H$2000,Sets!$A$2:$A$2000,$A50,Sets!$D$2:$D$2000,V$1,Sets!$J$2:$J$2000,"N"))</f>
        <v/>
      </c>
      <c r="W50" s="4" t="str">
        <f aca="false">IF(_xlfn.MAXIFS(Sets!$H$2:$H$2000,Sets!$A$2:$A$2000,$A50,Sets!$D$2:$D$2000,W$1,Sets!$J$2:$J$2000,"N")=0,"",_xlfn.MAXIFS(Sets!$H$2:$H$2000,Sets!$A$2:$A$2000,$A50,Sets!$D$2:$D$2000,W$1,Sets!$J$2:$J$2000,"N"))</f>
        <v/>
      </c>
      <c r="X50" s="4" t="str">
        <f aca="false">IF(_xlfn.MAXIFS(Sets!$H$2:$H$2000,Sets!$A$2:$A$2000,$A50,Sets!$D$2:$D$2000,X$1,Sets!$J$2:$J$2000,"N")=0,"",_xlfn.MAXIFS(Sets!$H$2:$H$2000,Sets!$A$2:$A$2000,$A50,Sets!$D$2:$D$2000,X$1,Sets!$J$2:$J$2000,"N"))</f>
        <v/>
      </c>
      <c r="Y50" s="4" t="str">
        <f aca="false">IF(_xlfn.MAXIFS(Sets!$H$2:$H$2000,Sets!$A$2:$A$2000,$A50,Sets!$D$2:$D$2000,Y$1,Sets!$J$2:$J$2000,"N")=0,"",_xlfn.MAXIFS(Sets!$H$2:$H$2000,Sets!$A$2:$A$2000,$A50,Sets!$D$2:$D$2000,Y$1,Sets!$J$2:$J$2000,"N"))</f>
        <v/>
      </c>
      <c r="Z50" s="4" t="str">
        <f aca="false">IF(_xlfn.MAXIFS(Sets!$H$2:$H$2000,Sets!$A$2:$A$2000,$A50,Sets!$D$2:$D$2000,Z$1,Sets!$J$2:$J$2000,"N")=0,"",_xlfn.MAXIFS(Sets!$H$2:$H$2000,Sets!$A$2:$A$2000,$A50,Sets!$D$2:$D$2000,Z$1,Sets!$J$2:$J$2000,"N"))</f>
        <v/>
      </c>
      <c r="AA50" s="4" t="str">
        <f aca="false">IF(_xlfn.MAXIFS(Sets!$H$2:$H$2000,Sets!$A$2:$A$2000,$A50,Sets!$D$2:$D$2000,AA$1,Sets!$J$2:$J$2000,"N")=0,"",_xlfn.MAXIFS(Sets!$H$2:$H$2000,Sets!$A$2:$A$2000,$A50,Sets!$D$2:$D$2000,AA$1,Sets!$J$2:$J$2000,"N"))</f>
        <v/>
      </c>
      <c r="AB50" s="4" t="str">
        <f aca="false">IF(_xlfn.MAXIFS(Sets!$H$2:$H$2000,Sets!$A$2:$A$2000,$A50,Sets!$D$2:$D$2000,AB$1,Sets!$J$2:$J$2000,"N")=0,"",_xlfn.MAXIFS(Sets!$H$2:$H$2000,Sets!$A$2:$A$2000,$A50,Sets!$D$2:$D$2000,AB$1,Sets!$J$2:$J$2000,"N"))</f>
        <v/>
      </c>
      <c r="AC50" s="4" t="str">
        <f aca="false">IF(_xlfn.MAXIFS(Sets!$H$2:$H$2000,Sets!$A$2:$A$2000,$A50,Sets!$D$2:$D$2000,AC$1,Sets!$J$2:$J$2000,"N")=0,"",_xlfn.MAXIFS(Sets!$H$2:$H$2000,Sets!$A$2:$A$2000,$A50,Sets!$D$2:$D$2000,AC$1,Sets!$J$2:$J$2000,"N"))</f>
        <v/>
      </c>
      <c r="AD50" s="4" t="str">
        <f aca="false">IF(_xlfn.MAXIFS(Sets!$H$2:$H$2000,Sets!$A$2:$A$2000,$A50,Sets!$D$2:$D$2000,AD$1,Sets!$J$2:$J$2000,"N")=0,"",_xlfn.MAXIFS(Sets!$H$2:$H$2000,Sets!$A$2:$A$2000,$A50,Sets!$D$2:$D$2000,AD$1,Sets!$J$2:$J$2000,"N"))</f>
        <v/>
      </c>
      <c r="AE50" s="4" t="str">
        <f aca="false">IF(_xlfn.MAXIFS(Sets!$H$2:$H$2000,Sets!$A$2:$A$2000,$A50,Sets!$D$2:$D$2000,AE$1,Sets!$J$2:$J$2000,"N")=0,"",_xlfn.MAXIFS(Sets!$H$2:$H$2000,Sets!$A$2:$A$2000,$A50,Sets!$D$2:$D$2000,AE$1,Sets!$J$2:$J$2000,"N"))</f>
        <v/>
      </c>
      <c r="AF50" s="4" t="str">
        <f aca="false">IF(_xlfn.MAXIFS(Sets!$H$2:$H$2000,Sets!$A$2:$A$2000,$A50,Sets!$D$2:$D$2000,AF$1,Sets!$J$2:$J$2000,"N")=0,"",_xlfn.MAXIFS(Sets!$H$2:$H$2000,Sets!$A$2:$A$2000,$A50,Sets!$D$2:$D$2000,AF$1,Sets!$J$2:$J$2000,"N"))</f>
        <v/>
      </c>
      <c r="AG50" s="4" t="str">
        <f aca="false">IF(_xlfn.MAXIFS(Sets!$H$2:$H$2000,Sets!$A$2:$A$2000,$A50,Sets!$D$2:$D$2000,AG$1,Sets!$J$2:$J$2000,"N")=0,"",_xlfn.MAXIFS(Sets!$H$2:$H$2000,Sets!$A$2:$A$2000,$A50,Sets!$D$2:$D$2000,AG$1,Sets!$J$2:$J$2000,"N"))</f>
        <v/>
      </c>
      <c r="AH50" s="4" t="str">
        <f aca="false">IF(_xlfn.MAXIFS(Sets!$H$2:$H$2000,Sets!$A$2:$A$2000,$A50,Sets!$D$2:$D$2000,AH$1,Sets!$J$2:$J$2000,"N")=0,"",_xlfn.MAXIFS(Sets!$H$2:$H$2000,Sets!$A$2:$A$2000,$A50,Sets!$D$2:$D$2000,AH$1,Sets!$J$2:$J$2000,"N"))</f>
        <v/>
      </c>
    </row>
    <row r="51" customFormat="false" ht="15" hidden="false" customHeight="false" outlineLevel="0" collapsed="false">
      <c r="A51" s="16" t="n">
        <v>46222</v>
      </c>
      <c r="B51" s="4" t="str">
        <f aca="false">IF(_xlfn.MAXIFS(Sets!$H$2:$H$2000,Sets!$A$2:$A$2000,$A51,Sets!$D$2:$D$2000,B$1,Sets!$J$2:$J$2000,"N")=0,"",_xlfn.MAXIFS(Sets!$H$2:$H$2000,Sets!$A$2:$A$2000,$A51,Sets!$D$2:$D$2000,B$1,Sets!$J$2:$J$2000,"N"))</f>
        <v/>
      </c>
      <c r="C51" s="4" t="n">
        <f aca="false">IF(_xlfn.MAXIFS(Sets!$H$2:$H$2000,Sets!$A$2:$A$2000,$A51,Sets!$D$2:$D$2000,C$1,Sets!$J$2:$J$2000,"N")=0,"",_xlfn.MAXIFS(Sets!$H$2:$H$2000,Sets!$A$2:$A$2000,$A51,Sets!$D$2:$D$2000,C$1,Sets!$J$2:$J$2000,"N"))</f>
        <v>20</v>
      </c>
      <c r="D51" s="4" t="str">
        <f aca="false">IF(_xlfn.MAXIFS(Sets!$H$2:$H$2000,Sets!$A$2:$A$2000,$A51,Sets!$D$2:$D$2000,D$1,Sets!$J$2:$J$2000,"N")=0,"",_xlfn.MAXIFS(Sets!$H$2:$H$2000,Sets!$A$2:$A$2000,$A51,Sets!$D$2:$D$2000,D$1,Sets!$J$2:$J$2000,"N"))</f>
        <v/>
      </c>
      <c r="E51" s="4" t="str">
        <f aca="false">IF(_xlfn.MAXIFS(Sets!$H$2:$H$2000,Sets!$A$2:$A$2000,$A51,Sets!$D$2:$D$2000,E$1,Sets!$J$2:$J$2000,"N")=0,"",_xlfn.MAXIFS(Sets!$H$2:$H$2000,Sets!$A$2:$A$2000,$A51,Sets!$D$2:$D$2000,E$1,Sets!$J$2:$J$2000,"N"))</f>
        <v/>
      </c>
      <c r="F51" s="4" t="str">
        <f aca="false">IF(_xlfn.MAXIFS(Sets!$H$2:$H$2000,Sets!$A$2:$A$2000,$A51,Sets!$D$2:$D$2000,F$1,Sets!$J$2:$J$2000,"N")=0,"",_xlfn.MAXIFS(Sets!$H$2:$H$2000,Sets!$A$2:$A$2000,$A51,Sets!$D$2:$D$2000,F$1,Sets!$J$2:$J$2000,"N"))</f>
        <v/>
      </c>
      <c r="G51" s="4" t="n">
        <f aca="false">IF(_xlfn.MAXIFS(Sets!$H$2:$H$2000,Sets!$A$2:$A$2000,$A51,Sets!$D$2:$D$2000,G$1,Sets!$J$2:$J$2000,"N")=0,"",_xlfn.MAXIFS(Sets!$H$2:$H$2000,Sets!$A$2:$A$2000,$A51,Sets!$D$2:$D$2000,G$1,Sets!$J$2:$J$2000,"N"))</f>
        <v>50</v>
      </c>
      <c r="H51" s="4" t="n">
        <f aca="false">IF(_xlfn.MAXIFS(Sets!$H$2:$H$2000,Sets!$A$2:$A$2000,$A51,Sets!$D$2:$D$2000,H$1,Sets!$J$2:$J$2000,"N")=0,"",_xlfn.MAXIFS(Sets!$H$2:$H$2000,Sets!$A$2:$A$2000,$A51,Sets!$D$2:$D$2000,H$1,Sets!$J$2:$J$2000,"N"))</f>
        <v>65</v>
      </c>
      <c r="I51" s="4" t="str">
        <f aca="false">IF(_xlfn.MAXIFS(Sets!$H$2:$H$2000,Sets!$A$2:$A$2000,$A51,Sets!$D$2:$D$2000,I$1,Sets!$J$2:$J$2000,"N")=0,"",_xlfn.MAXIFS(Sets!$H$2:$H$2000,Sets!$A$2:$A$2000,$A51,Sets!$D$2:$D$2000,I$1,Sets!$J$2:$J$2000,"N"))</f>
        <v/>
      </c>
      <c r="J51" s="4" t="str">
        <f aca="false">IF(_xlfn.MAXIFS(Sets!$H$2:$H$2000,Sets!$A$2:$A$2000,$A51,Sets!$D$2:$D$2000,J$1,Sets!$J$2:$J$2000,"N")=0,"",_xlfn.MAXIFS(Sets!$H$2:$H$2000,Sets!$A$2:$A$2000,$A51,Sets!$D$2:$D$2000,J$1,Sets!$J$2:$J$2000,"N"))</f>
        <v/>
      </c>
      <c r="K51" s="4" t="str">
        <f aca="false">IF(_xlfn.MAXIFS(Sets!$H$2:$H$2000,Sets!$A$2:$A$2000,$A51,Sets!$D$2:$D$2000,K$1,Sets!$J$2:$J$2000,"N")=0,"",_xlfn.MAXIFS(Sets!$H$2:$H$2000,Sets!$A$2:$A$2000,$A51,Sets!$D$2:$D$2000,K$1,Sets!$J$2:$J$2000,"N"))</f>
        <v/>
      </c>
      <c r="L51" s="4" t="str">
        <f aca="false">IF(_xlfn.MAXIFS(Sets!$H$2:$H$2000,Sets!$A$2:$A$2000,$A51,Sets!$D$2:$D$2000,L$1,Sets!$J$2:$J$2000,"N")=0,"",_xlfn.MAXIFS(Sets!$H$2:$H$2000,Sets!$A$2:$A$2000,$A51,Sets!$D$2:$D$2000,L$1,Sets!$J$2:$J$2000,"N"))</f>
        <v/>
      </c>
      <c r="M51" s="4" t="str">
        <f aca="false">IF(_xlfn.MAXIFS(Sets!$H$2:$H$2000,Sets!$A$2:$A$2000,$A51,Sets!$D$2:$D$2000,M$1,Sets!$J$2:$J$2000,"N")=0,"",_xlfn.MAXIFS(Sets!$H$2:$H$2000,Sets!$A$2:$A$2000,$A51,Sets!$D$2:$D$2000,M$1,Sets!$J$2:$J$2000,"N"))</f>
        <v/>
      </c>
      <c r="N51" s="4" t="str">
        <f aca="false">IF(_xlfn.MAXIFS(Sets!$H$2:$H$2000,Sets!$A$2:$A$2000,$A51,Sets!$D$2:$D$2000,N$1,Sets!$J$2:$J$2000,"N")=0,"",_xlfn.MAXIFS(Sets!$H$2:$H$2000,Sets!$A$2:$A$2000,$A51,Sets!$D$2:$D$2000,N$1,Sets!$J$2:$J$2000,"N"))</f>
        <v/>
      </c>
      <c r="O51" s="4" t="str">
        <f aca="false">IF(_xlfn.MAXIFS(Sets!$H$2:$H$2000,Sets!$A$2:$A$2000,$A51,Sets!$D$2:$D$2000,O$1,Sets!$J$2:$J$2000,"N")=0,"",_xlfn.MAXIFS(Sets!$H$2:$H$2000,Sets!$A$2:$A$2000,$A51,Sets!$D$2:$D$2000,O$1,Sets!$J$2:$J$2000,"N"))</f>
        <v/>
      </c>
      <c r="P51" s="4" t="str">
        <f aca="false">IF(_xlfn.MAXIFS(Sets!$H$2:$H$2000,Sets!$A$2:$A$2000,$A51,Sets!$D$2:$D$2000,P$1,Sets!$J$2:$J$2000,"N")=0,"",_xlfn.MAXIFS(Sets!$H$2:$H$2000,Sets!$A$2:$A$2000,$A51,Sets!$D$2:$D$2000,P$1,Sets!$J$2:$J$2000,"N"))</f>
        <v/>
      </c>
      <c r="Q51" s="4" t="str">
        <f aca="false">IF(_xlfn.MAXIFS(Sets!$H$2:$H$2000,Sets!$A$2:$A$2000,$A51,Sets!$D$2:$D$2000,Q$1,Sets!$J$2:$J$2000,"N")=0,"",_xlfn.MAXIFS(Sets!$H$2:$H$2000,Sets!$A$2:$A$2000,$A51,Sets!$D$2:$D$2000,Q$1,Sets!$J$2:$J$2000,"N"))</f>
        <v/>
      </c>
      <c r="R51" s="4" t="str">
        <f aca="false">IF(_xlfn.MAXIFS(Sets!$H$2:$H$2000,Sets!$A$2:$A$2000,$A51,Sets!$D$2:$D$2000,R$1,Sets!$J$2:$J$2000,"N")=0,"",_xlfn.MAXIFS(Sets!$H$2:$H$2000,Sets!$A$2:$A$2000,$A51,Sets!$D$2:$D$2000,R$1,Sets!$J$2:$J$2000,"N"))</f>
        <v/>
      </c>
      <c r="S51" s="4" t="str">
        <f aca="false">IF(_xlfn.MAXIFS(Sets!$H$2:$H$2000,Sets!$A$2:$A$2000,$A51,Sets!$D$2:$D$2000,S$1,Sets!$J$2:$J$2000,"N")=0,"",_xlfn.MAXIFS(Sets!$H$2:$H$2000,Sets!$A$2:$A$2000,$A51,Sets!$D$2:$D$2000,S$1,Sets!$J$2:$J$2000,"N"))</f>
        <v/>
      </c>
      <c r="T51" s="4" t="str">
        <f aca="false">IF(_xlfn.MAXIFS(Sets!$H$2:$H$2000,Sets!$A$2:$A$2000,$A51,Sets!$D$2:$D$2000,T$1,Sets!$J$2:$J$2000,"N")=0,"",_xlfn.MAXIFS(Sets!$H$2:$H$2000,Sets!$A$2:$A$2000,$A51,Sets!$D$2:$D$2000,T$1,Sets!$J$2:$J$2000,"N"))</f>
        <v/>
      </c>
      <c r="U51" s="4" t="str">
        <f aca="false">IF(_xlfn.MAXIFS(Sets!$H$2:$H$2000,Sets!$A$2:$A$2000,$A51,Sets!$D$2:$D$2000,U$1,Sets!$J$2:$J$2000,"N")=0,"",_xlfn.MAXIFS(Sets!$H$2:$H$2000,Sets!$A$2:$A$2000,$A51,Sets!$D$2:$D$2000,U$1,Sets!$J$2:$J$2000,"N"))</f>
        <v/>
      </c>
      <c r="V51" s="4" t="str">
        <f aca="false">IF(_xlfn.MAXIFS(Sets!$H$2:$H$2000,Sets!$A$2:$A$2000,$A51,Sets!$D$2:$D$2000,V$1,Sets!$J$2:$J$2000,"N")=0,"",_xlfn.MAXIFS(Sets!$H$2:$H$2000,Sets!$A$2:$A$2000,$A51,Sets!$D$2:$D$2000,V$1,Sets!$J$2:$J$2000,"N"))</f>
        <v/>
      </c>
      <c r="W51" s="4" t="str">
        <f aca="false">IF(_xlfn.MAXIFS(Sets!$H$2:$H$2000,Sets!$A$2:$A$2000,$A51,Sets!$D$2:$D$2000,W$1,Sets!$J$2:$J$2000,"N")=0,"",_xlfn.MAXIFS(Sets!$H$2:$H$2000,Sets!$A$2:$A$2000,$A51,Sets!$D$2:$D$2000,W$1,Sets!$J$2:$J$2000,"N"))</f>
        <v/>
      </c>
      <c r="X51" s="4" t="str">
        <f aca="false">IF(_xlfn.MAXIFS(Sets!$H$2:$H$2000,Sets!$A$2:$A$2000,$A51,Sets!$D$2:$D$2000,X$1,Sets!$J$2:$J$2000,"N")=0,"",_xlfn.MAXIFS(Sets!$H$2:$H$2000,Sets!$A$2:$A$2000,$A51,Sets!$D$2:$D$2000,X$1,Sets!$J$2:$J$2000,"N"))</f>
        <v/>
      </c>
      <c r="Y51" s="4" t="str">
        <f aca="false">IF(_xlfn.MAXIFS(Sets!$H$2:$H$2000,Sets!$A$2:$A$2000,$A51,Sets!$D$2:$D$2000,Y$1,Sets!$J$2:$J$2000,"N")=0,"",_xlfn.MAXIFS(Sets!$H$2:$H$2000,Sets!$A$2:$A$2000,$A51,Sets!$D$2:$D$2000,Y$1,Sets!$J$2:$J$2000,"N"))</f>
        <v/>
      </c>
      <c r="Z51" s="4" t="str">
        <f aca="false">IF(_xlfn.MAXIFS(Sets!$H$2:$H$2000,Sets!$A$2:$A$2000,$A51,Sets!$D$2:$D$2000,Z$1,Sets!$J$2:$J$2000,"N")=0,"",_xlfn.MAXIFS(Sets!$H$2:$H$2000,Sets!$A$2:$A$2000,$A51,Sets!$D$2:$D$2000,Z$1,Sets!$J$2:$J$2000,"N"))</f>
        <v/>
      </c>
      <c r="AA51" s="4" t="str">
        <f aca="false">IF(_xlfn.MAXIFS(Sets!$H$2:$H$2000,Sets!$A$2:$A$2000,$A51,Sets!$D$2:$D$2000,AA$1,Sets!$J$2:$J$2000,"N")=0,"",_xlfn.MAXIFS(Sets!$H$2:$H$2000,Sets!$A$2:$A$2000,$A51,Sets!$D$2:$D$2000,AA$1,Sets!$J$2:$J$2000,"N"))</f>
        <v/>
      </c>
      <c r="AB51" s="4" t="str">
        <f aca="false">IF(_xlfn.MAXIFS(Sets!$H$2:$H$2000,Sets!$A$2:$A$2000,$A51,Sets!$D$2:$D$2000,AB$1,Sets!$J$2:$J$2000,"N")=0,"",_xlfn.MAXIFS(Sets!$H$2:$H$2000,Sets!$A$2:$A$2000,$A51,Sets!$D$2:$D$2000,AB$1,Sets!$J$2:$J$2000,"N"))</f>
        <v/>
      </c>
      <c r="AC51" s="4" t="str">
        <f aca="false">IF(_xlfn.MAXIFS(Sets!$H$2:$H$2000,Sets!$A$2:$A$2000,$A51,Sets!$D$2:$D$2000,AC$1,Sets!$J$2:$J$2000,"N")=0,"",_xlfn.MAXIFS(Sets!$H$2:$H$2000,Sets!$A$2:$A$2000,$A51,Sets!$D$2:$D$2000,AC$1,Sets!$J$2:$J$2000,"N"))</f>
        <v/>
      </c>
      <c r="AD51" s="4" t="str">
        <f aca="false">IF(_xlfn.MAXIFS(Sets!$H$2:$H$2000,Sets!$A$2:$A$2000,$A51,Sets!$D$2:$D$2000,AD$1,Sets!$J$2:$J$2000,"N")=0,"",_xlfn.MAXIFS(Sets!$H$2:$H$2000,Sets!$A$2:$A$2000,$A51,Sets!$D$2:$D$2000,AD$1,Sets!$J$2:$J$2000,"N"))</f>
        <v/>
      </c>
      <c r="AE51" s="4" t="str">
        <f aca="false">IF(_xlfn.MAXIFS(Sets!$H$2:$H$2000,Sets!$A$2:$A$2000,$A51,Sets!$D$2:$D$2000,AE$1,Sets!$J$2:$J$2000,"N")=0,"",_xlfn.MAXIFS(Sets!$H$2:$H$2000,Sets!$A$2:$A$2000,$A51,Sets!$D$2:$D$2000,AE$1,Sets!$J$2:$J$2000,"N"))</f>
        <v/>
      </c>
      <c r="AF51" s="4" t="str">
        <f aca="false">IF(_xlfn.MAXIFS(Sets!$H$2:$H$2000,Sets!$A$2:$A$2000,$A51,Sets!$D$2:$D$2000,AF$1,Sets!$J$2:$J$2000,"N")=0,"",_xlfn.MAXIFS(Sets!$H$2:$H$2000,Sets!$A$2:$A$2000,$A51,Sets!$D$2:$D$2000,AF$1,Sets!$J$2:$J$2000,"N"))</f>
        <v/>
      </c>
      <c r="AG51" s="4" t="str">
        <f aca="false">IF(_xlfn.MAXIFS(Sets!$H$2:$H$2000,Sets!$A$2:$A$2000,$A51,Sets!$D$2:$D$2000,AG$1,Sets!$J$2:$J$2000,"N")=0,"",_xlfn.MAXIFS(Sets!$H$2:$H$2000,Sets!$A$2:$A$2000,$A51,Sets!$D$2:$D$2000,AG$1,Sets!$J$2:$J$2000,"N"))</f>
        <v/>
      </c>
      <c r="AH51" s="4" t="str">
        <f aca="false">IF(_xlfn.MAXIFS(Sets!$H$2:$H$2000,Sets!$A$2:$A$2000,$A51,Sets!$D$2:$D$2000,AH$1,Sets!$J$2:$J$2000,"N")=0,"",_xlfn.MAXIFS(Sets!$H$2:$H$2000,Sets!$A$2:$A$2000,$A51,Sets!$D$2:$D$2000,AH$1,Sets!$J$2:$J$2000,"N"))</f>
        <v/>
      </c>
    </row>
    <row r="52" customFormat="false" ht="15" hidden="false" customHeight="false" outlineLevel="0" collapsed="false">
      <c r="A52" s="16" t="n">
        <v>46224</v>
      </c>
      <c r="B52" s="4" t="n">
        <f aca="false">IF(_xlfn.MAXIFS(Sets!$H$2:$H$2000,Sets!$A$2:$A$2000,$A52,Sets!$D$2:$D$2000,B$1,Sets!$J$2:$J$2000,"N")=0,"",_xlfn.MAXIFS(Sets!$H$2:$H$2000,Sets!$A$2:$A$2000,$A52,Sets!$D$2:$D$2000,B$1,Sets!$J$2:$J$2000,"N"))</f>
        <v>35</v>
      </c>
      <c r="C52" s="4" t="str">
        <f aca="false">IF(_xlfn.MAXIFS(Sets!$H$2:$H$2000,Sets!$A$2:$A$2000,$A52,Sets!$D$2:$D$2000,C$1,Sets!$J$2:$J$2000,"N")=0,"",_xlfn.MAXIFS(Sets!$H$2:$H$2000,Sets!$A$2:$A$2000,$A52,Sets!$D$2:$D$2000,C$1,Sets!$J$2:$J$2000,"N"))</f>
        <v/>
      </c>
      <c r="D52" s="4" t="str">
        <f aca="false">IF(_xlfn.MAXIFS(Sets!$H$2:$H$2000,Sets!$A$2:$A$2000,$A52,Sets!$D$2:$D$2000,D$1,Sets!$J$2:$J$2000,"N")=0,"",_xlfn.MAXIFS(Sets!$H$2:$H$2000,Sets!$A$2:$A$2000,$A52,Sets!$D$2:$D$2000,D$1,Sets!$J$2:$J$2000,"N"))</f>
        <v/>
      </c>
      <c r="E52" s="4" t="n">
        <f aca="false">IF(_xlfn.MAXIFS(Sets!$H$2:$H$2000,Sets!$A$2:$A$2000,$A52,Sets!$D$2:$D$2000,E$1,Sets!$J$2:$J$2000,"N")=0,"",_xlfn.MAXIFS(Sets!$H$2:$H$2000,Sets!$A$2:$A$2000,$A52,Sets!$D$2:$D$2000,E$1,Sets!$J$2:$J$2000,"N"))</f>
        <v>110</v>
      </c>
      <c r="F52" s="4" t="str">
        <f aca="false">IF(_xlfn.MAXIFS(Sets!$H$2:$H$2000,Sets!$A$2:$A$2000,$A52,Sets!$D$2:$D$2000,F$1,Sets!$J$2:$J$2000,"N")=0,"",_xlfn.MAXIFS(Sets!$H$2:$H$2000,Sets!$A$2:$A$2000,$A52,Sets!$D$2:$D$2000,F$1,Sets!$J$2:$J$2000,"N"))</f>
        <v/>
      </c>
      <c r="G52" s="4" t="str">
        <f aca="false">IF(_xlfn.MAXIFS(Sets!$H$2:$H$2000,Sets!$A$2:$A$2000,$A52,Sets!$D$2:$D$2000,G$1,Sets!$J$2:$J$2000,"N")=0,"",_xlfn.MAXIFS(Sets!$H$2:$H$2000,Sets!$A$2:$A$2000,$A52,Sets!$D$2:$D$2000,G$1,Sets!$J$2:$J$2000,"N"))</f>
        <v/>
      </c>
      <c r="H52" s="4" t="str">
        <f aca="false">IF(_xlfn.MAXIFS(Sets!$H$2:$H$2000,Sets!$A$2:$A$2000,$A52,Sets!$D$2:$D$2000,H$1,Sets!$J$2:$J$2000,"N")=0,"",_xlfn.MAXIFS(Sets!$H$2:$H$2000,Sets!$A$2:$A$2000,$A52,Sets!$D$2:$D$2000,H$1,Sets!$J$2:$J$2000,"N"))</f>
        <v/>
      </c>
      <c r="I52" s="4" t="str">
        <f aca="false">IF(_xlfn.MAXIFS(Sets!$H$2:$H$2000,Sets!$A$2:$A$2000,$A52,Sets!$D$2:$D$2000,I$1,Sets!$J$2:$J$2000,"N")=0,"",_xlfn.MAXIFS(Sets!$H$2:$H$2000,Sets!$A$2:$A$2000,$A52,Sets!$D$2:$D$2000,I$1,Sets!$J$2:$J$2000,"N"))</f>
        <v/>
      </c>
      <c r="J52" s="4" t="str">
        <f aca="false">IF(_xlfn.MAXIFS(Sets!$H$2:$H$2000,Sets!$A$2:$A$2000,$A52,Sets!$D$2:$D$2000,J$1,Sets!$J$2:$J$2000,"N")=0,"",_xlfn.MAXIFS(Sets!$H$2:$H$2000,Sets!$A$2:$A$2000,$A52,Sets!$D$2:$D$2000,J$1,Sets!$J$2:$J$2000,"N"))</f>
        <v/>
      </c>
      <c r="K52" s="4" t="str">
        <f aca="false">IF(_xlfn.MAXIFS(Sets!$H$2:$H$2000,Sets!$A$2:$A$2000,$A52,Sets!$D$2:$D$2000,K$1,Sets!$J$2:$J$2000,"N")=0,"",_xlfn.MAXIFS(Sets!$H$2:$H$2000,Sets!$A$2:$A$2000,$A52,Sets!$D$2:$D$2000,K$1,Sets!$J$2:$J$2000,"N"))</f>
        <v/>
      </c>
      <c r="L52" s="4" t="str">
        <f aca="false">IF(_xlfn.MAXIFS(Sets!$H$2:$H$2000,Sets!$A$2:$A$2000,$A52,Sets!$D$2:$D$2000,L$1,Sets!$J$2:$J$2000,"N")=0,"",_xlfn.MAXIFS(Sets!$H$2:$H$2000,Sets!$A$2:$A$2000,$A52,Sets!$D$2:$D$2000,L$1,Sets!$J$2:$J$2000,"N"))</f>
        <v/>
      </c>
      <c r="M52" s="4" t="str">
        <f aca="false">IF(_xlfn.MAXIFS(Sets!$H$2:$H$2000,Sets!$A$2:$A$2000,$A52,Sets!$D$2:$D$2000,M$1,Sets!$J$2:$J$2000,"N")=0,"",_xlfn.MAXIFS(Sets!$H$2:$H$2000,Sets!$A$2:$A$2000,$A52,Sets!$D$2:$D$2000,M$1,Sets!$J$2:$J$2000,"N"))</f>
        <v/>
      </c>
      <c r="N52" s="4" t="str">
        <f aca="false">IF(_xlfn.MAXIFS(Sets!$H$2:$H$2000,Sets!$A$2:$A$2000,$A52,Sets!$D$2:$D$2000,N$1,Sets!$J$2:$J$2000,"N")=0,"",_xlfn.MAXIFS(Sets!$H$2:$H$2000,Sets!$A$2:$A$2000,$A52,Sets!$D$2:$D$2000,N$1,Sets!$J$2:$J$2000,"N"))</f>
        <v/>
      </c>
      <c r="O52" s="4" t="str">
        <f aca="false">IF(_xlfn.MAXIFS(Sets!$H$2:$H$2000,Sets!$A$2:$A$2000,$A52,Sets!$D$2:$D$2000,O$1,Sets!$J$2:$J$2000,"N")=0,"",_xlfn.MAXIFS(Sets!$H$2:$H$2000,Sets!$A$2:$A$2000,$A52,Sets!$D$2:$D$2000,O$1,Sets!$J$2:$J$2000,"N"))</f>
        <v/>
      </c>
      <c r="P52" s="4" t="str">
        <f aca="false">IF(_xlfn.MAXIFS(Sets!$H$2:$H$2000,Sets!$A$2:$A$2000,$A52,Sets!$D$2:$D$2000,P$1,Sets!$J$2:$J$2000,"N")=0,"",_xlfn.MAXIFS(Sets!$H$2:$H$2000,Sets!$A$2:$A$2000,$A52,Sets!$D$2:$D$2000,P$1,Sets!$J$2:$J$2000,"N"))</f>
        <v/>
      </c>
      <c r="Q52" s="4" t="str">
        <f aca="false">IF(_xlfn.MAXIFS(Sets!$H$2:$H$2000,Sets!$A$2:$A$2000,$A52,Sets!$D$2:$D$2000,Q$1,Sets!$J$2:$J$2000,"N")=0,"",_xlfn.MAXIFS(Sets!$H$2:$H$2000,Sets!$A$2:$A$2000,$A52,Sets!$D$2:$D$2000,Q$1,Sets!$J$2:$J$2000,"N"))</f>
        <v/>
      </c>
      <c r="R52" s="4" t="n">
        <f aca="false">IF(_xlfn.MAXIFS(Sets!$H$2:$H$2000,Sets!$A$2:$A$2000,$A52,Sets!$D$2:$D$2000,R$1,Sets!$J$2:$J$2000,"N")=0,"",_xlfn.MAXIFS(Sets!$H$2:$H$2000,Sets!$A$2:$A$2000,$A52,Sets!$D$2:$D$2000,R$1,Sets!$J$2:$J$2000,"N"))</f>
        <v>22.5</v>
      </c>
      <c r="S52" s="4" t="str">
        <f aca="false">IF(_xlfn.MAXIFS(Sets!$H$2:$H$2000,Sets!$A$2:$A$2000,$A52,Sets!$D$2:$D$2000,S$1,Sets!$J$2:$J$2000,"N")=0,"",_xlfn.MAXIFS(Sets!$H$2:$H$2000,Sets!$A$2:$A$2000,$A52,Sets!$D$2:$D$2000,S$1,Sets!$J$2:$J$2000,"N"))</f>
        <v/>
      </c>
      <c r="T52" s="4" t="str">
        <f aca="false">IF(_xlfn.MAXIFS(Sets!$H$2:$H$2000,Sets!$A$2:$A$2000,$A52,Sets!$D$2:$D$2000,T$1,Sets!$J$2:$J$2000,"N")=0,"",_xlfn.MAXIFS(Sets!$H$2:$H$2000,Sets!$A$2:$A$2000,$A52,Sets!$D$2:$D$2000,T$1,Sets!$J$2:$J$2000,"N"))</f>
        <v/>
      </c>
      <c r="U52" s="4" t="str">
        <f aca="false">IF(_xlfn.MAXIFS(Sets!$H$2:$H$2000,Sets!$A$2:$A$2000,$A52,Sets!$D$2:$D$2000,U$1,Sets!$J$2:$J$2000,"N")=0,"",_xlfn.MAXIFS(Sets!$H$2:$H$2000,Sets!$A$2:$A$2000,$A52,Sets!$D$2:$D$2000,U$1,Sets!$J$2:$J$2000,"N"))</f>
        <v/>
      </c>
      <c r="V52" s="4" t="str">
        <f aca="false">IF(_xlfn.MAXIFS(Sets!$H$2:$H$2000,Sets!$A$2:$A$2000,$A52,Sets!$D$2:$D$2000,V$1,Sets!$J$2:$J$2000,"N")=0,"",_xlfn.MAXIFS(Sets!$H$2:$H$2000,Sets!$A$2:$A$2000,$A52,Sets!$D$2:$D$2000,V$1,Sets!$J$2:$J$2000,"N"))</f>
        <v/>
      </c>
      <c r="W52" s="4" t="str">
        <f aca="false">IF(_xlfn.MAXIFS(Sets!$H$2:$H$2000,Sets!$A$2:$A$2000,$A52,Sets!$D$2:$D$2000,W$1,Sets!$J$2:$J$2000,"N")=0,"",_xlfn.MAXIFS(Sets!$H$2:$H$2000,Sets!$A$2:$A$2000,$A52,Sets!$D$2:$D$2000,W$1,Sets!$J$2:$J$2000,"N"))</f>
        <v/>
      </c>
      <c r="X52" s="4" t="str">
        <f aca="false">IF(_xlfn.MAXIFS(Sets!$H$2:$H$2000,Sets!$A$2:$A$2000,$A52,Sets!$D$2:$D$2000,X$1,Sets!$J$2:$J$2000,"N")=0,"",_xlfn.MAXIFS(Sets!$H$2:$H$2000,Sets!$A$2:$A$2000,$A52,Sets!$D$2:$D$2000,X$1,Sets!$J$2:$J$2000,"N"))</f>
        <v/>
      </c>
      <c r="Y52" s="4" t="str">
        <f aca="false">IF(_xlfn.MAXIFS(Sets!$H$2:$H$2000,Sets!$A$2:$A$2000,$A52,Sets!$D$2:$D$2000,Y$1,Sets!$J$2:$J$2000,"N")=0,"",_xlfn.MAXIFS(Sets!$H$2:$H$2000,Sets!$A$2:$A$2000,$A52,Sets!$D$2:$D$2000,Y$1,Sets!$J$2:$J$2000,"N"))</f>
        <v/>
      </c>
      <c r="Z52" s="4" t="str">
        <f aca="false">IF(_xlfn.MAXIFS(Sets!$H$2:$H$2000,Sets!$A$2:$A$2000,$A52,Sets!$D$2:$D$2000,Z$1,Sets!$J$2:$J$2000,"N")=0,"",_xlfn.MAXIFS(Sets!$H$2:$H$2000,Sets!$A$2:$A$2000,$A52,Sets!$D$2:$D$2000,Z$1,Sets!$J$2:$J$2000,"N"))</f>
        <v/>
      </c>
      <c r="AA52" s="4" t="str">
        <f aca="false">IF(_xlfn.MAXIFS(Sets!$H$2:$H$2000,Sets!$A$2:$A$2000,$A52,Sets!$D$2:$D$2000,AA$1,Sets!$J$2:$J$2000,"N")=0,"",_xlfn.MAXIFS(Sets!$H$2:$H$2000,Sets!$A$2:$A$2000,$A52,Sets!$D$2:$D$2000,AA$1,Sets!$J$2:$J$2000,"N"))</f>
        <v/>
      </c>
      <c r="AB52" s="4" t="str">
        <f aca="false">IF(_xlfn.MAXIFS(Sets!$H$2:$H$2000,Sets!$A$2:$A$2000,$A52,Sets!$D$2:$D$2000,AB$1,Sets!$J$2:$J$2000,"N")=0,"",_xlfn.MAXIFS(Sets!$H$2:$H$2000,Sets!$A$2:$A$2000,$A52,Sets!$D$2:$D$2000,AB$1,Sets!$J$2:$J$2000,"N"))</f>
        <v/>
      </c>
      <c r="AC52" s="4" t="str">
        <f aca="false">IF(_xlfn.MAXIFS(Sets!$H$2:$H$2000,Sets!$A$2:$A$2000,$A52,Sets!$D$2:$D$2000,AC$1,Sets!$J$2:$J$2000,"N")=0,"",_xlfn.MAXIFS(Sets!$H$2:$H$2000,Sets!$A$2:$A$2000,$A52,Sets!$D$2:$D$2000,AC$1,Sets!$J$2:$J$2000,"N"))</f>
        <v/>
      </c>
      <c r="AD52" s="4" t="str">
        <f aca="false">IF(_xlfn.MAXIFS(Sets!$H$2:$H$2000,Sets!$A$2:$A$2000,$A52,Sets!$D$2:$D$2000,AD$1,Sets!$J$2:$J$2000,"N")=0,"",_xlfn.MAXIFS(Sets!$H$2:$H$2000,Sets!$A$2:$A$2000,$A52,Sets!$D$2:$D$2000,AD$1,Sets!$J$2:$J$2000,"N"))</f>
        <v/>
      </c>
      <c r="AE52" s="4" t="str">
        <f aca="false">IF(_xlfn.MAXIFS(Sets!$H$2:$H$2000,Sets!$A$2:$A$2000,$A52,Sets!$D$2:$D$2000,AE$1,Sets!$J$2:$J$2000,"N")=0,"",_xlfn.MAXIFS(Sets!$H$2:$H$2000,Sets!$A$2:$A$2000,$A52,Sets!$D$2:$D$2000,AE$1,Sets!$J$2:$J$2000,"N"))</f>
        <v/>
      </c>
      <c r="AF52" s="4" t="str">
        <f aca="false">IF(_xlfn.MAXIFS(Sets!$H$2:$H$2000,Sets!$A$2:$A$2000,$A52,Sets!$D$2:$D$2000,AF$1,Sets!$J$2:$J$2000,"N")=0,"",_xlfn.MAXIFS(Sets!$H$2:$H$2000,Sets!$A$2:$A$2000,$A52,Sets!$D$2:$D$2000,AF$1,Sets!$J$2:$J$2000,"N"))</f>
        <v/>
      </c>
      <c r="AG52" s="4" t="str">
        <f aca="false">IF(_xlfn.MAXIFS(Sets!$H$2:$H$2000,Sets!$A$2:$A$2000,$A52,Sets!$D$2:$D$2000,AG$1,Sets!$J$2:$J$2000,"N")=0,"",_xlfn.MAXIFS(Sets!$H$2:$H$2000,Sets!$A$2:$A$2000,$A52,Sets!$D$2:$D$2000,AG$1,Sets!$J$2:$J$2000,"N"))</f>
        <v/>
      </c>
      <c r="AH52" s="4" t="str">
        <f aca="false">IF(_xlfn.MAXIFS(Sets!$H$2:$H$2000,Sets!$A$2:$A$2000,$A52,Sets!$D$2:$D$2000,AH$1,Sets!$J$2:$J$2000,"N")=0,"",_xlfn.MAXIFS(Sets!$H$2:$H$2000,Sets!$A$2:$A$2000,$A52,Sets!$D$2:$D$2000,AH$1,Sets!$J$2:$J$2000,"N"))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8" min="6" style="0" width="13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5" t="s">
        <v>25</v>
      </c>
      <c r="B1" s="15" t="s">
        <v>26</v>
      </c>
      <c r="C1" s="15" t="s">
        <v>27</v>
      </c>
      <c r="D1" s="15" t="s">
        <v>240</v>
      </c>
      <c r="E1" s="15" t="s">
        <v>241</v>
      </c>
      <c r="F1" s="15" t="s">
        <v>242</v>
      </c>
      <c r="G1" s="15" t="s">
        <v>243</v>
      </c>
      <c r="H1" s="15" t="s">
        <v>244</v>
      </c>
      <c r="I1" s="15" t="s">
        <v>245</v>
      </c>
      <c r="J1" s="15" t="s">
        <v>246</v>
      </c>
    </row>
    <row r="2" customFormat="false" ht="15" hidden="false" customHeight="false" outlineLevel="0" collapsed="false">
      <c r="A2" s="17" t="s">
        <v>76</v>
      </c>
      <c r="B2" s="11" t="s">
        <v>72</v>
      </c>
      <c r="C2" s="11" t="s">
        <v>39</v>
      </c>
      <c r="D2" s="18" t="n">
        <f aca="false">_xlfn.MAXIFS(Sets!$H$2:$H$2000,Sets!$D$2:$D$2000,$A2,Sets!$J$2:$J$2000,"N")</f>
        <v>35</v>
      </c>
      <c r="E2" s="11" t="n">
        <f aca="false">IFERROR(INDEX(Sets!$I$2:$I$2000,MATCH($A2&amp;"|"&amp;$D2,Sets!$L$2:$L$2000,0)),"")</f>
        <v>8</v>
      </c>
      <c r="F2" s="10" t="n">
        <f aca="false">IFERROR(INDEX(Sets!$A$2:$A$2000,MATCH($A2&amp;"|"&amp;$D2,Sets!$L$2:$L$2000,0)),"")</f>
        <v>46049</v>
      </c>
      <c r="G2" s="10" t="n">
        <f aca="false">_xlfn.MAXIFS(Sets!$A$2:$A$2000,Sets!$D$2:$D$2000,$A2)</f>
        <v>46224</v>
      </c>
      <c r="H2" s="11" t="n">
        <f aca="false">_xlfn.MAXIFS(Sets!$H$2:$H$2000,Sets!$D$2:$D$2000,$A2,Sets!$A$2:$A$2000,$G2,Sets!$J$2:$J$2000,"N")</f>
        <v>35</v>
      </c>
      <c r="I2" s="11" t="n">
        <f aca="false">COUNTIFS(Sets!$D$2:$D$2000,$A2,Sets!$J$2:$J$2000,"N")</f>
        <v>56</v>
      </c>
      <c r="J2" s="19" t="n">
        <f aca="false">SUMIFS(Sets!$K$2:$K$2000,Sets!$D$2:$D$2000,$A2,Sets!$J$2:$J$2000,"N")</f>
        <v>13370</v>
      </c>
    </row>
    <row r="3" customFormat="false" ht="15" hidden="false" customHeight="false" outlineLevel="0" collapsed="false">
      <c r="A3" s="17" t="s">
        <v>73</v>
      </c>
      <c r="B3" s="11" t="s">
        <v>74</v>
      </c>
      <c r="C3" s="11" t="s">
        <v>75</v>
      </c>
      <c r="D3" s="18" t="n">
        <f aca="false">_xlfn.MAXIFS(Sets!$H$2:$H$2000,Sets!$D$2:$D$2000,$A3,Sets!$J$2:$J$2000,"N")</f>
        <v>25</v>
      </c>
      <c r="E3" s="11" t="n">
        <f aca="false">IFERROR(INDEX(Sets!$I$2:$I$2000,MATCH($A3&amp;"|"&amp;$D3,Sets!$L$2:$L$2000,0)),"")</f>
        <v>8</v>
      </c>
      <c r="F3" s="10" t="n">
        <f aca="false">IFERROR(INDEX(Sets!$A$2:$A$2000,MATCH($A3&amp;"|"&amp;$D3,Sets!$L$2:$L$2000,0)),"")</f>
        <v>46196</v>
      </c>
      <c r="G3" s="10" t="n">
        <f aca="false">_xlfn.MAXIFS(Sets!$A$2:$A$2000,Sets!$D$2:$D$2000,$A3)</f>
        <v>46222</v>
      </c>
      <c r="H3" s="11" t="n">
        <f aca="false">_xlfn.MAXIFS(Sets!$H$2:$H$2000,Sets!$D$2:$D$2000,$A3,Sets!$A$2:$A$2000,$G3,Sets!$J$2:$J$2000,"N")</f>
        <v>20</v>
      </c>
      <c r="I3" s="11" t="n">
        <f aca="false">COUNTIFS(Sets!$D$2:$D$2000,$A3,Sets!$J$2:$J$2000,"N")</f>
        <v>54</v>
      </c>
      <c r="J3" s="19" t="n">
        <f aca="false">SUMIFS(Sets!$K$2:$K$2000,Sets!$D$2:$D$2000,$A3,Sets!$J$2:$J$2000,"N")</f>
        <v>8700</v>
      </c>
    </row>
    <row r="4" customFormat="false" ht="15" hidden="false" customHeight="false" outlineLevel="0" collapsed="false">
      <c r="A4" s="17" t="s">
        <v>80</v>
      </c>
      <c r="B4" s="11" t="s">
        <v>72</v>
      </c>
      <c r="C4" s="11" t="s">
        <v>39</v>
      </c>
      <c r="D4" s="18" t="n">
        <f aca="false">_xlfn.MAXIFS(Sets!$H$2:$H$2000,Sets!$D$2:$D$2000,$A4,Sets!$J$2:$J$2000,"N")</f>
        <v>50</v>
      </c>
      <c r="E4" s="11" t="n">
        <f aca="false">IFERROR(INDEX(Sets!$I$2:$I$2000,MATCH($A4&amp;"|"&amp;$D4,Sets!$L$2:$L$2000,0)),"")</f>
        <v>8</v>
      </c>
      <c r="F4" s="10" t="n">
        <f aca="false">IFERROR(INDEX(Sets!$A$2:$A$2000,MATCH($A4&amp;"|"&amp;$D4,Sets!$L$2:$L$2000,0)),"")</f>
        <v>46044</v>
      </c>
      <c r="G4" s="10" t="n">
        <f aca="false">_xlfn.MAXIFS(Sets!$A$2:$A$2000,Sets!$D$2:$D$2000,$A4)</f>
        <v>46219</v>
      </c>
      <c r="H4" s="11" t="n">
        <f aca="false">_xlfn.MAXIFS(Sets!$H$2:$H$2000,Sets!$D$2:$D$2000,$A4,Sets!$A$2:$A$2000,$G4,Sets!$J$2:$J$2000,"N")</f>
        <v>50</v>
      </c>
      <c r="I4" s="11" t="n">
        <f aca="false">COUNTIFS(Sets!$D$2:$D$2000,$A4,Sets!$J$2:$J$2000,"N")</f>
        <v>49</v>
      </c>
      <c r="J4" s="19" t="n">
        <f aca="false">SUMIFS(Sets!$K$2:$K$2000,Sets!$D$2:$D$2000,$A4,Sets!$J$2:$J$2000,"N")</f>
        <v>17320</v>
      </c>
    </row>
    <row r="5" customFormat="false" ht="15" hidden="false" customHeight="false" outlineLevel="0" collapsed="false">
      <c r="A5" s="17" t="s">
        <v>110</v>
      </c>
      <c r="B5" s="11" t="s">
        <v>38</v>
      </c>
      <c r="C5" s="11" t="s">
        <v>39</v>
      </c>
      <c r="D5" s="18" t="n">
        <f aca="false">_xlfn.MAXIFS(Sets!$H$2:$H$2000,Sets!$D$2:$D$2000,$A5,Sets!$J$2:$J$2000,"N")</f>
        <v>110</v>
      </c>
      <c r="E5" s="11" t="n">
        <f aca="false">IFERROR(INDEX(Sets!$I$2:$I$2000,MATCH($A5&amp;"|"&amp;$D5,Sets!$L$2:$L$2000,0)),"")</f>
        <v>8</v>
      </c>
      <c r="F5" s="10" t="n">
        <f aca="false">IFERROR(INDEX(Sets!$A$2:$A$2000,MATCH($A5&amp;"|"&amp;$D5,Sets!$L$2:$L$2000,0)),"")</f>
        <v>46224</v>
      </c>
      <c r="G5" s="10" t="n">
        <f aca="false">_xlfn.MAXIFS(Sets!$A$2:$A$2000,Sets!$D$2:$D$2000,$A5)</f>
        <v>46224</v>
      </c>
      <c r="H5" s="11" t="n">
        <f aca="false">_xlfn.MAXIFS(Sets!$H$2:$H$2000,Sets!$D$2:$D$2000,$A5,Sets!$A$2:$A$2000,$G5,Sets!$J$2:$J$2000,"N")</f>
        <v>110</v>
      </c>
      <c r="I5" s="11" t="n">
        <f aca="false">COUNTIFS(Sets!$D$2:$D$2000,$A5,Sets!$J$2:$J$2000,"N")</f>
        <v>49</v>
      </c>
      <c r="J5" s="19" t="n">
        <f aca="false">SUMIFS(Sets!$K$2:$K$2000,Sets!$D$2:$D$2000,$A5,Sets!$J$2:$J$2000,"N")</f>
        <v>30760</v>
      </c>
    </row>
    <row r="6" customFormat="false" ht="15" hidden="false" customHeight="false" outlineLevel="0" collapsed="false">
      <c r="A6" s="17" t="s">
        <v>77</v>
      </c>
      <c r="B6" s="11" t="s">
        <v>72</v>
      </c>
      <c r="C6" s="11" t="s">
        <v>39</v>
      </c>
      <c r="D6" s="18" t="n">
        <f aca="false">_xlfn.MAXIFS(Sets!$H$2:$H$2000,Sets!$D$2:$D$2000,$A6,Sets!$J$2:$J$2000,"N")</f>
        <v>30</v>
      </c>
      <c r="E6" s="11" t="n">
        <f aca="false">IFERROR(INDEX(Sets!$I$2:$I$2000,MATCH($A6&amp;"|"&amp;$D6,Sets!$L$2:$L$2000,0)),"")</f>
        <v>8</v>
      </c>
      <c r="F6" s="10" t="n">
        <f aca="false">IFERROR(INDEX(Sets!$A$2:$A$2000,MATCH($A6&amp;"|"&amp;$D6,Sets!$L$2:$L$2000,0)),"")</f>
        <v>46044</v>
      </c>
      <c r="G6" s="10" t="n">
        <f aca="false">_xlfn.MAXIFS(Sets!$A$2:$A$2000,Sets!$D$2:$D$2000,$A6)</f>
        <v>46217</v>
      </c>
      <c r="H6" s="11" t="n">
        <f aca="false">_xlfn.MAXIFS(Sets!$H$2:$H$2000,Sets!$D$2:$D$2000,$A6,Sets!$A$2:$A$2000,$G6,Sets!$J$2:$J$2000,"N")</f>
        <v>30</v>
      </c>
      <c r="I6" s="11" t="n">
        <f aca="false">COUNTIFS(Sets!$D$2:$D$2000,$A6,Sets!$J$2:$J$2000,"N")</f>
        <v>35</v>
      </c>
      <c r="J6" s="19" t="n">
        <f aca="false">SUMIFS(Sets!$K$2:$K$2000,Sets!$D$2:$D$2000,$A6,Sets!$J$2:$J$2000,"N")</f>
        <v>7070</v>
      </c>
    </row>
    <row r="7" customFormat="false" ht="15" hidden="false" customHeight="false" outlineLevel="0" collapsed="false">
      <c r="A7" s="17" t="s">
        <v>91</v>
      </c>
      <c r="B7" s="11" t="s">
        <v>72</v>
      </c>
      <c r="C7" s="11" t="s">
        <v>39</v>
      </c>
      <c r="D7" s="18" t="n">
        <f aca="false">_xlfn.MAXIFS(Sets!$H$2:$H$2000,Sets!$D$2:$D$2000,$A7,Sets!$J$2:$J$2000,"N")</f>
        <v>50</v>
      </c>
      <c r="E7" s="11" t="n">
        <f aca="false">IFERROR(INDEX(Sets!$I$2:$I$2000,MATCH($A7&amp;"|"&amp;$D7,Sets!$L$2:$L$2000,0)),"")</f>
        <v>8</v>
      </c>
      <c r="F7" s="10" t="n">
        <f aca="false">IFERROR(INDEX(Sets!$A$2:$A$2000,MATCH($A7&amp;"|"&amp;$D7,Sets!$L$2:$L$2000,0)),"")</f>
        <v>46134</v>
      </c>
      <c r="G7" s="10" t="n">
        <f aca="false">_xlfn.MAXIFS(Sets!$A$2:$A$2000,Sets!$D$2:$D$2000,$A7)</f>
        <v>46222</v>
      </c>
      <c r="H7" s="11" t="n">
        <f aca="false">_xlfn.MAXIFS(Sets!$H$2:$H$2000,Sets!$D$2:$D$2000,$A7,Sets!$A$2:$A$2000,$G7,Sets!$J$2:$J$2000,"N")</f>
        <v>50</v>
      </c>
      <c r="I7" s="11" t="n">
        <f aca="false">COUNTIFS(Sets!$D$2:$D$2000,$A7,Sets!$J$2:$J$2000,"N")</f>
        <v>38</v>
      </c>
      <c r="J7" s="19" t="n">
        <f aca="false">SUMIFS(Sets!$K$2:$K$2000,Sets!$D$2:$D$2000,$A7,Sets!$J$2:$J$2000,"N")</f>
        <v>13800</v>
      </c>
    </row>
    <row r="8" customFormat="false" ht="15" hidden="false" customHeight="false" outlineLevel="0" collapsed="false">
      <c r="A8" s="17" t="s">
        <v>88</v>
      </c>
      <c r="B8" s="11" t="s">
        <v>38</v>
      </c>
      <c r="C8" s="11" t="s">
        <v>39</v>
      </c>
      <c r="D8" s="18" t="n">
        <f aca="false">_xlfn.MAXIFS(Sets!$H$2:$H$2000,Sets!$D$2:$D$2000,$A8,Sets!$J$2:$J$2000,"N")</f>
        <v>65</v>
      </c>
      <c r="E8" s="11" t="n">
        <f aca="false">IFERROR(INDEX(Sets!$I$2:$I$2000,MATCH($A8&amp;"|"&amp;$D8,Sets!$L$2:$L$2000,0)),"")</f>
        <v>8</v>
      </c>
      <c r="F8" s="10" t="n">
        <f aca="false">IFERROR(INDEX(Sets!$A$2:$A$2000,MATCH($A8&amp;"|"&amp;$D8,Sets!$L$2:$L$2000,0)),"")</f>
        <v>46134</v>
      </c>
      <c r="G8" s="10" t="n">
        <f aca="false">_xlfn.MAXIFS(Sets!$A$2:$A$2000,Sets!$D$2:$D$2000,$A8)</f>
        <v>46222</v>
      </c>
      <c r="H8" s="11" t="n">
        <f aca="false">_xlfn.MAXIFS(Sets!$H$2:$H$2000,Sets!$D$2:$D$2000,$A8,Sets!$A$2:$A$2000,$G8,Sets!$J$2:$J$2000,"N")</f>
        <v>65</v>
      </c>
      <c r="I8" s="11" t="n">
        <f aca="false">COUNTIFS(Sets!$D$2:$D$2000,$A8,Sets!$J$2:$J$2000,"N")</f>
        <v>36</v>
      </c>
      <c r="J8" s="19" t="n">
        <f aca="false">SUMIFS(Sets!$K$2:$K$2000,Sets!$D$2:$D$2000,$A8,Sets!$J$2:$J$2000,"N")</f>
        <v>15160</v>
      </c>
    </row>
    <row r="9" customFormat="false" ht="15" hidden="false" customHeight="false" outlineLevel="0" collapsed="false">
      <c r="A9" s="17" t="s">
        <v>63</v>
      </c>
      <c r="B9" s="11" t="s">
        <v>38</v>
      </c>
      <c r="C9" s="11" t="s">
        <v>39</v>
      </c>
      <c r="D9" s="18" t="n">
        <f aca="false">_xlfn.MAXIFS(Sets!$H$2:$H$2000,Sets!$D$2:$D$2000,$A9,Sets!$J$2:$J$2000,"N")</f>
        <v>55</v>
      </c>
      <c r="E9" s="11" t="n">
        <f aca="false">IFERROR(INDEX(Sets!$I$2:$I$2000,MATCH($A9&amp;"|"&amp;$D9,Sets!$L$2:$L$2000,0)),"")</f>
        <v>8</v>
      </c>
      <c r="F9" s="10" t="n">
        <f aca="false">IFERROR(INDEX(Sets!$A$2:$A$2000,MATCH($A9&amp;"|"&amp;$D9,Sets!$L$2:$L$2000,0)),"")</f>
        <v>46070</v>
      </c>
      <c r="G9" s="10" t="n">
        <f aca="false">_xlfn.MAXIFS(Sets!$A$2:$A$2000,Sets!$D$2:$D$2000,$A9)</f>
        <v>46221</v>
      </c>
      <c r="H9" s="11" t="n">
        <f aca="false">_xlfn.MAXIFS(Sets!$H$2:$H$2000,Sets!$D$2:$D$2000,$A9,Sets!$A$2:$A$2000,$G9,Sets!$J$2:$J$2000,"N")</f>
        <v>55</v>
      </c>
      <c r="I9" s="11" t="n">
        <f aca="false">COUNTIFS(Sets!$D$2:$D$2000,$A9,Sets!$J$2:$J$2000,"N")</f>
        <v>27</v>
      </c>
      <c r="J9" s="19" t="n">
        <f aca="false">SUMIFS(Sets!$K$2:$K$2000,Sets!$D$2:$D$2000,$A9,Sets!$J$2:$J$2000,"N")</f>
        <v>8640</v>
      </c>
    </row>
    <row r="10" customFormat="false" ht="15" hidden="false" customHeight="false" outlineLevel="0" collapsed="false">
      <c r="A10" s="17" t="s">
        <v>71</v>
      </c>
      <c r="B10" s="11" t="s">
        <v>72</v>
      </c>
      <c r="C10" s="11" t="s">
        <v>39</v>
      </c>
      <c r="D10" s="18" t="n">
        <f aca="false">_xlfn.MAXIFS(Sets!$H$2:$H$2000,Sets!$D$2:$D$2000,$A10,Sets!$J$2:$J$2000,"N")</f>
        <v>45</v>
      </c>
      <c r="E10" s="11" t="n">
        <f aca="false">IFERROR(INDEX(Sets!$I$2:$I$2000,MATCH($A10&amp;"|"&amp;$D10,Sets!$L$2:$L$2000,0)),"")</f>
        <v>8</v>
      </c>
      <c r="F10" s="10" t="n">
        <f aca="false">IFERROR(INDEX(Sets!$A$2:$A$2000,MATCH($A10&amp;"|"&amp;$D10,Sets!$L$2:$L$2000,0)),"")</f>
        <v>46062</v>
      </c>
      <c r="G10" s="10" t="n">
        <f aca="false">_xlfn.MAXIFS(Sets!$A$2:$A$2000,Sets!$D$2:$D$2000,$A10)</f>
        <v>46080</v>
      </c>
      <c r="H10" s="11" t="n">
        <f aca="false">_xlfn.MAXIFS(Sets!$H$2:$H$2000,Sets!$D$2:$D$2000,$A10,Sets!$A$2:$A$2000,$G10,Sets!$J$2:$J$2000,"N")</f>
        <v>45</v>
      </c>
      <c r="I10" s="11" t="n">
        <f aca="false">COUNTIFS(Sets!$D$2:$D$2000,$A10,Sets!$J$2:$J$2000,"N")</f>
        <v>18</v>
      </c>
      <c r="J10" s="19" t="n">
        <f aca="false">SUMIFS(Sets!$K$2:$K$2000,Sets!$D$2:$D$2000,$A10,Sets!$J$2:$J$2000,"N")</f>
        <v>5670</v>
      </c>
    </row>
    <row r="11" customFormat="false" ht="15" hidden="false" customHeight="false" outlineLevel="0" collapsed="false">
      <c r="A11" s="17" t="s">
        <v>79</v>
      </c>
      <c r="B11" s="11" t="s">
        <v>72</v>
      </c>
      <c r="C11" s="11" t="s">
        <v>39</v>
      </c>
      <c r="D11" s="18" t="n">
        <f aca="false">_xlfn.MAXIFS(Sets!$H$2:$H$2000,Sets!$D$2:$D$2000,$A11,Sets!$J$2:$J$2000,"N")</f>
        <v>30</v>
      </c>
      <c r="E11" s="11" t="n">
        <f aca="false">IFERROR(INDEX(Sets!$I$2:$I$2000,MATCH($A11&amp;"|"&amp;$D11,Sets!$L$2:$L$2000,0)),"")</f>
        <v>8</v>
      </c>
      <c r="F11" s="10" t="n">
        <f aca="false">IFERROR(INDEX(Sets!$A$2:$A$2000,MATCH($A11&amp;"|"&amp;$D11,Sets!$L$2:$L$2000,0)),"")</f>
        <v>46044</v>
      </c>
      <c r="G11" s="10" t="n">
        <f aca="false">_xlfn.MAXIFS(Sets!$A$2:$A$2000,Sets!$D$2:$D$2000,$A11)</f>
        <v>46156</v>
      </c>
      <c r="H11" s="11" t="n">
        <f aca="false">_xlfn.MAXIFS(Sets!$H$2:$H$2000,Sets!$D$2:$D$2000,$A11,Sets!$A$2:$A$2000,$G11,Sets!$J$2:$J$2000,"N")</f>
        <v>30</v>
      </c>
      <c r="I11" s="11" t="n">
        <f aca="false">COUNTIFS(Sets!$D$2:$D$2000,$A11,Sets!$J$2:$J$2000,"N")</f>
        <v>19</v>
      </c>
      <c r="J11" s="19" t="n">
        <f aca="false">SUMIFS(Sets!$K$2:$K$2000,Sets!$D$2:$D$2000,$A11,Sets!$J$2:$J$2000,"N")</f>
        <v>4144</v>
      </c>
    </row>
    <row r="12" customFormat="false" ht="15" hidden="false" customHeight="false" outlineLevel="0" collapsed="false">
      <c r="A12" s="17" t="s">
        <v>90</v>
      </c>
      <c r="B12" s="11" t="s">
        <v>72</v>
      </c>
      <c r="C12" s="11" t="s">
        <v>39</v>
      </c>
      <c r="D12" s="18" t="n">
        <f aca="false">_xlfn.MAXIFS(Sets!$H$2:$H$2000,Sets!$D$2:$D$2000,$A12,Sets!$J$2:$J$2000,"N")</f>
        <v>10</v>
      </c>
      <c r="E12" s="11" t="n">
        <f aca="false">IFERROR(INDEX(Sets!$I$2:$I$2000,MATCH($A12&amp;"|"&amp;$D12,Sets!$L$2:$L$2000,0)),"")</f>
        <v>12</v>
      </c>
      <c r="F12" s="10" t="n">
        <f aca="false">IFERROR(INDEX(Sets!$A$2:$A$2000,MATCH($A12&amp;"|"&amp;$D12,Sets!$L$2:$L$2000,0)),"")</f>
        <v>46049</v>
      </c>
      <c r="G12" s="10" t="n">
        <f aca="false">_xlfn.MAXIFS(Sets!$A$2:$A$2000,Sets!$D$2:$D$2000,$A12)</f>
        <v>46177</v>
      </c>
      <c r="H12" s="11" t="n">
        <f aca="false">_xlfn.MAXIFS(Sets!$H$2:$H$2000,Sets!$D$2:$D$2000,$A12,Sets!$A$2:$A$2000,$G12,Sets!$J$2:$J$2000,"N")</f>
        <v>10</v>
      </c>
      <c r="I12" s="11" t="n">
        <f aca="false">COUNTIFS(Sets!$D$2:$D$2000,$A12,Sets!$J$2:$J$2000,"N")</f>
        <v>13</v>
      </c>
      <c r="J12" s="19" t="n">
        <f aca="false">SUMIFS(Sets!$K$2:$K$2000,Sets!$D$2:$D$2000,$A12,Sets!$J$2:$J$2000,"N")</f>
        <v>1540</v>
      </c>
    </row>
    <row r="13" customFormat="false" ht="15" hidden="false" customHeight="false" outlineLevel="0" collapsed="false">
      <c r="A13" s="17" t="s">
        <v>62</v>
      </c>
      <c r="B13" s="11" t="s">
        <v>38</v>
      </c>
      <c r="C13" s="11" t="s">
        <v>39</v>
      </c>
      <c r="D13" s="18" t="n">
        <f aca="false">_xlfn.MAXIFS(Sets!$H$2:$H$2000,Sets!$D$2:$D$2000,$A13,Sets!$J$2:$J$2000,"N")</f>
        <v>50</v>
      </c>
      <c r="E13" s="11" t="n">
        <f aca="false">IFERROR(INDEX(Sets!$I$2:$I$2000,MATCH($A13&amp;"|"&amp;$D13,Sets!$L$2:$L$2000,0)),"")</f>
        <v>8</v>
      </c>
      <c r="F13" s="10" t="n">
        <f aca="false">IFERROR(INDEX(Sets!$A$2:$A$2000,MATCH($A13&amp;"|"&amp;$D13,Sets!$L$2:$L$2000,0)),"")</f>
        <v>46039</v>
      </c>
      <c r="G13" s="10" t="n">
        <f aca="false">_xlfn.MAXIFS(Sets!$A$2:$A$2000,Sets!$D$2:$D$2000,$A13)</f>
        <v>46070</v>
      </c>
      <c r="H13" s="11" t="n">
        <f aca="false">_xlfn.MAXIFS(Sets!$H$2:$H$2000,Sets!$D$2:$D$2000,$A13,Sets!$A$2:$A$2000,$G13,Sets!$J$2:$J$2000,"N")</f>
        <v>50</v>
      </c>
      <c r="I13" s="11" t="n">
        <f aca="false">COUNTIFS(Sets!$D$2:$D$2000,$A13,Sets!$J$2:$J$2000,"N")</f>
        <v>19</v>
      </c>
      <c r="J13" s="19" t="n">
        <f aca="false">SUMIFS(Sets!$K$2:$K$2000,Sets!$D$2:$D$2000,$A13,Sets!$J$2:$J$2000,"N")</f>
        <v>6680</v>
      </c>
    </row>
    <row r="14" customFormat="false" ht="15" hidden="false" customHeight="false" outlineLevel="0" collapsed="false">
      <c r="A14" s="17" t="s">
        <v>64</v>
      </c>
      <c r="B14" s="11" t="s">
        <v>38</v>
      </c>
      <c r="C14" s="11" t="s">
        <v>39</v>
      </c>
      <c r="D14" s="18" t="n">
        <f aca="false">_xlfn.MAXIFS(Sets!$H$2:$H$2000,Sets!$D$2:$D$2000,$A14,Sets!$J$2:$J$2000,"N")</f>
        <v>35</v>
      </c>
      <c r="E14" s="11" t="n">
        <f aca="false">IFERROR(INDEX(Sets!$I$2:$I$2000,MATCH($A14&amp;"|"&amp;$D14,Sets!$L$2:$L$2000,0)),"")</f>
        <v>15</v>
      </c>
      <c r="F14" s="10" t="n">
        <f aca="false">IFERROR(INDEX(Sets!$A$2:$A$2000,MATCH($A14&amp;"|"&amp;$D14,Sets!$L$2:$L$2000,0)),"")</f>
        <v>46051</v>
      </c>
      <c r="G14" s="10" t="n">
        <f aca="false">_xlfn.MAXIFS(Sets!$A$2:$A$2000,Sets!$D$2:$D$2000,$A14)</f>
        <v>46191</v>
      </c>
      <c r="H14" s="11" t="n">
        <f aca="false">_xlfn.MAXIFS(Sets!$H$2:$H$2000,Sets!$D$2:$D$2000,$A14,Sets!$A$2:$A$2000,$G14,Sets!$J$2:$J$2000,"N")</f>
        <v>35</v>
      </c>
      <c r="I14" s="11" t="n">
        <f aca="false">COUNTIFS(Sets!$D$2:$D$2000,$A14,Sets!$J$2:$J$2000,"N")</f>
        <v>14</v>
      </c>
      <c r="J14" s="19" t="n">
        <f aca="false">SUMIFS(Sets!$K$2:$K$2000,Sets!$D$2:$D$2000,$A14,Sets!$J$2:$J$2000,"N")</f>
        <v>5375</v>
      </c>
    </row>
    <row r="15" customFormat="false" ht="15" hidden="false" customHeight="false" outlineLevel="0" collapsed="false">
      <c r="A15" s="17" t="s">
        <v>113</v>
      </c>
      <c r="B15" s="11" t="s">
        <v>72</v>
      </c>
      <c r="C15" s="11" t="s">
        <v>39</v>
      </c>
      <c r="D15" s="18" t="n">
        <f aca="false">_xlfn.MAXIFS(Sets!$H$2:$H$2000,Sets!$D$2:$D$2000,$A15,Sets!$J$2:$J$2000,"N")</f>
        <v>40</v>
      </c>
      <c r="E15" s="11" t="n">
        <f aca="false">IFERROR(INDEX(Sets!$I$2:$I$2000,MATCH($A15&amp;"|"&amp;$D15,Sets!$L$2:$L$2000,0)),"")</f>
        <v>8</v>
      </c>
      <c r="F15" s="10" t="n">
        <f aca="false">IFERROR(INDEX(Sets!$A$2:$A$2000,MATCH($A15&amp;"|"&amp;$D15,Sets!$L$2:$L$2000,0)),"")</f>
        <v>46140</v>
      </c>
      <c r="G15" s="10" t="n">
        <f aca="false">_xlfn.MAXIFS(Sets!$A$2:$A$2000,Sets!$D$2:$D$2000,$A15)</f>
        <v>46219</v>
      </c>
      <c r="H15" s="11" t="n">
        <f aca="false">_xlfn.MAXIFS(Sets!$H$2:$H$2000,Sets!$D$2:$D$2000,$A15,Sets!$A$2:$A$2000,$G15,Sets!$J$2:$J$2000,"N")</f>
        <v>40</v>
      </c>
      <c r="I15" s="11" t="n">
        <f aca="false">COUNTIFS(Sets!$D$2:$D$2000,$A15,Sets!$J$2:$J$2000,"N")</f>
        <v>17</v>
      </c>
      <c r="J15" s="19" t="n">
        <f aca="false">SUMIFS(Sets!$K$2:$K$2000,Sets!$D$2:$D$2000,$A15,Sets!$J$2:$J$2000,"N")</f>
        <v>4720</v>
      </c>
    </row>
    <row r="16" customFormat="false" ht="15" hidden="false" customHeight="false" outlineLevel="0" collapsed="false">
      <c r="A16" s="17" t="s">
        <v>85</v>
      </c>
      <c r="B16" s="11" t="s">
        <v>72</v>
      </c>
      <c r="C16" s="11" t="s">
        <v>39</v>
      </c>
      <c r="D16" s="18" t="n">
        <f aca="false">_xlfn.MAXIFS(Sets!$H$2:$H$2000,Sets!$D$2:$D$2000,$A16,Sets!$J$2:$J$2000,"N")</f>
        <v>20</v>
      </c>
      <c r="E16" s="11" t="n">
        <f aca="false">IFERROR(INDEX(Sets!$I$2:$I$2000,MATCH($A16&amp;"|"&amp;$D16,Sets!$L$2:$L$2000,0)),"")</f>
        <v>10</v>
      </c>
      <c r="F16" s="10" t="n">
        <f aca="false">IFERROR(INDEX(Sets!$A$2:$A$2000,MATCH($A16&amp;"|"&amp;$D16,Sets!$L$2:$L$2000,0)),"")</f>
        <v>46047</v>
      </c>
      <c r="G16" s="10" t="n">
        <f aca="false">_xlfn.MAXIFS(Sets!$A$2:$A$2000,Sets!$D$2:$D$2000,$A16)</f>
        <v>46080</v>
      </c>
      <c r="H16" s="11" t="n">
        <f aca="false">_xlfn.MAXIFS(Sets!$H$2:$H$2000,Sets!$D$2:$D$2000,$A16,Sets!$A$2:$A$2000,$G16,Sets!$J$2:$J$2000,"N")</f>
        <v>20</v>
      </c>
      <c r="I16" s="11" t="n">
        <f aca="false">COUNTIFS(Sets!$D$2:$D$2000,$A16,Sets!$J$2:$J$2000,"N")</f>
        <v>15</v>
      </c>
      <c r="J16" s="19" t="n">
        <f aca="false">SUMIFS(Sets!$K$2:$K$2000,Sets!$D$2:$D$2000,$A16,Sets!$J$2:$J$2000,"N")</f>
        <v>2490</v>
      </c>
    </row>
    <row r="17" customFormat="false" ht="15" hidden="false" customHeight="false" outlineLevel="0" collapsed="false">
      <c r="A17" s="17" t="s">
        <v>65</v>
      </c>
      <c r="B17" s="11" t="s">
        <v>66</v>
      </c>
      <c r="C17" s="11" t="s">
        <v>67</v>
      </c>
      <c r="D17" s="18" t="n">
        <f aca="false">_xlfn.MAXIFS(Sets!$H$2:$H$2000,Sets!$D$2:$D$2000,$A17,Sets!$J$2:$J$2000,"N")</f>
        <v>0</v>
      </c>
      <c r="E17" s="11" t="n">
        <f aca="false">IFERROR(INDEX(Sets!$I$2:$I$2000,MATCH($A17&amp;"|"&amp;$D17,Sets!$L$2:$L$2000,0)),"")</f>
        <v>10</v>
      </c>
      <c r="F17" s="10" t="n">
        <f aca="false">IFERROR(INDEX(Sets!$A$2:$A$2000,MATCH($A17&amp;"|"&amp;$D17,Sets!$L$2:$L$2000,0)),"")</f>
        <v>46039</v>
      </c>
      <c r="G17" s="10" t="n">
        <f aca="false">_xlfn.MAXIFS(Sets!$A$2:$A$2000,Sets!$D$2:$D$2000,$A17)</f>
        <v>46063</v>
      </c>
      <c r="H17" s="11" t="n">
        <f aca="false">_xlfn.MAXIFS(Sets!$H$2:$H$2000,Sets!$D$2:$D$2000,$A17,Sets!$A$2:$A$2000,$G17,Sets!$J$2:$J$2000,"N")</f>
        <v>0</v>
      </c>
      <c r="I17" s="11" t="n">
        <f aca="false">COUNTIFS(Sets!$D$2:$D$2000,$A17,Sets!$J$2:$J$2000,"N")</f>
        <v>11</v>
      </c>
      <c r="J17" s="19" t="n">
        <f aca="false">SUMIFS(Sets!$K$2:$K$2000,Sets!$D$2:$D$2000,$A17,Sets!$J$2:$J$2000,"N")</f>
        <v>96</v>
      </c>
    </row>
    <row r="18" customFormat="false" ht="15" hidden="false" customHeight="false" outlineLevel="0" collapsed="false">
      <c r="A18" s="17" t="s">
        <v>134</v>
      </c>
      <c r="B18" s="11" t="s">
        <v>74</v>
      </c>
      <c r="C18" s="11" t="s">
        <v>75</v>
      </c>
      <c r="D18" s="18" t="n">
        <f aca="false">_xlfn.MAXIFS(Sets!$H$2:$H$2000,Sets!$D$2:$D$2000,$A18,Sets!$J$2:$J$2000,"N")</f>
        <v>22.5</v>
      </c>
      <c r="E18" s="11" t="n">
        <f aca="false">IFERROR(INDEX(Sets!$I$2:$I$2000,MATCH($A18&amp;"|"&amp;$D18,Sets!$L$2:$L$2000,0)),"")</f>
        <v>8</v>
      </c>
      <c r="F18" s="10" t="n">
        <f aca="false">IFERROR(INDEX(Sets!$A$2:$A$2000,MATCH($A18&amp;"|"&amp;$D18,Sets!$L$2:$L$2000,0)),"")</f>
        <v>46164</v>
      </c>
      <c r="G18" s="10" t="n">
        <f aca="false">_xlfn.MAXIFS(Sets!$A$2:$A$2000,Sets!$D$2:$D$2000,$A18)</f>
        <v>46224</v>
      </c>
      <c r="H18" s="11" t="n">
        <f aca="false">_xlfn.MAXIFS(Sets!$H$2:$H$2000,Sets!$D$2:$D$2000,$A18,Sets!$A$2:$A$2000,$G18,Sets!$J$2:$J$2000,"N")</f>
        <v>22.5</v>
      </c>
      <c r="I18" s="11" t="n">
        <f aca="false">COUNTIFS(Sets!$D$2:$D$2000,$A18,Sets!$J$2:$J$2000,"N")</f>
        <v>12</v>
      </c>
      <c r="J18" s="19" t="n">
        <f aca="false">SUMIFS(Sets!$K$2:$K$2000,Sets!$D$2:$D$2000,$A18,Sets!$J$2:$J$2000,"N")</f>
        <v>2020</v>
      </c>
    </row>
    <row r="19" customFormat="false" ht="15" hidden="false" customHeight="false" outlineLevel="0" collapsed="false">
      <c r="A19" s="17" t="s">
        <v>151</v>
      </c>
      <c r="B19" s="11" t="s">
        <v>72</v>
      </c>
      <c r="C19" s="11" t="s">
        <v>39</v>
      </c>
      <c r="D19" s="18" t="n">
        <f aca="false">_xlfn.MAXIFS(Sets!$H$2:$H$2000,Sets!$D$2:$D$2000,$A19,Sets!$J$2:$J$2000,"N")</f>
        <v>25</v>
      </c>
      <c r="E19" s="11" t="n">
        <f aca="false">IFERROR(INDEX(Sets!$I$2:$I$2000,MATCH($A19&amp;"|"&amp;$D19,Sets!$L$2:$L$2000,0)),"")</f>
        <v>15</v>
      </c>
      <c r="F19" s="10" t="n">
        <f aca="false">IFERROR(INDEX(Sets!$A$2:$A$2000,MATCH($A19&amp;"|"&amp;$D19,Sets!$L$2:$L$2000,0)),"")</f>
        <v>46213</v>
      </c>
      <c r="G19" s="10" t="n">
        <f aca="false">_xlfn.MAXIFS(Sets!$A$2:$A$2000,Sets!$D$2:$D$2000,$A19)</f>
        <v>46221</v>
      </c>
      <c r="H19" s="11" t="n">
        <f aca="false">_xlfn.MAXIFS(Sets!$H$2:$H$2000,Sets!$D$2:$D$2000,$A19,Sets!$A$2:$A$2000,$G19,Sets!$J$2:$J$2000,"N")</f>
        <v>25</v>
      </c>
      <c r="I19" s="11" t="n">
        <f aca="false">COUNTIFS(Sets!$D$2:$D$2000,$A19,Sets!$J$2:$J$2000,"N")</f>
        <v>8</v>
      </c>
      <c r="J19" s="19" t="n">
        <f aca="false">SUMIFS(Sets!$K$2:$K$2000,Sets!$D$2:$D$2000,$A19,Sets!$J$2:$J$2000,"N")</f>
        <v>2640</v>
      </c>
    </row>
    <row r="20" customFormat="false" ht="15" hidden="false" customHeight="false" outlineLevel="0" collapsed="false">
      <c r="A20" s="17" t="s">
        <v>103</v>
      </c>
      <c r="B20" s="11" t="s">
        <v>98</v>
      </c>
      <c r="C20" s="11" t="s">
        <v>39</v>
      </c>
      <c r="D20" s="18" t="n">
        <f aca="false">_xlfn.MAXIFS(Sets!$H$2:$H$2000,Sets!$D$2:$D$2000,$A20,Sets!$J$2:$J$2000,"N")</f>
        <v>85</v>
      </c>
      <c r="E20" s="11" t="n">
        <f aca="false">IFERROR(INDEX(Sets!$I$2:$I$2000,MATCH($A20&amp;"|"&amp;$D20,Sets!$L$2:$L$2000,0)),"")</f>
        <v>8</v>
      </c>
      <c r="F20" s="10" t="n">
        <f aca="false">IFERROR(INDEX(Sets!$A$2:$A$2000,MATCH($A20&amp;"|"&amp;$D20,Sets!$L$2:$L$2000,0)),"")</f>
        <v>46068</v>
      </c>
      <c r="G20" s="10" t="n">
        <f aca="false">_xlfn.MAXIFS(Sets!$A$2:$A$2000,Sets!$D$2:$D$2000,$A20)</f>
        <v>46068</v>
      </c>
      <c r="H20" s="11" t="n">
        <f aca="false">_xlfn.MAXIFS(Sets!$H$2:$H$2000,Sets!$D$2:$D$2000,$A20,Sets!$A$2:$A$2000,$G20,Sets!$J$2:$J$2000,"N")</f>
        <v>85</v>
      </c>
      <c r="I20" s="11" t="n">
        <f aca="false">COUNTIFS(Sets!$D$2:$D$2000,$A20,Sets!$J$2:$J$2000,"N")</f>
        <v>2</v>
      </c>
      <c r="J20" s="19" t="n">
        <f aca="false">SUMIFS(Sets!$K$2:$K$2000,Sets!$D$2:$D$2000,$A20,Sets!$J$2:$J$2000,"N")</f>
        <v>1240</v>
      </c>
    </row>
    <row r="21" customFormat="false" ht="15" hidden="false" customHeight="false" outlineLevel="0" collapsed="false">
      <c r="A21" s="17" t="s">
        <v>114</v>
      </c>
      <c r="B21" s="11" t="s">
        <v>74</v>
      </c>
      <c r="C21" s="11" t="s">
        <v>75</v>
      </c>
      <c r="D21" s="18" t="n">
        <f aca="false">_xlfn.MAXIFS(Sets!$H$2:$H$2000,Sets!$D$2:$D$2000,$A21,Sets!$J$2:$J$2000,"N")</f>
        <v>7.5</v>
      </c>
      <c r="E21" s="11" t="n">
        <f aca="false">IFERROR(INDEX(Sets!$I$2:$I$2000,MATCH($A21&amp;"|"&amp;$D21,Sets!$L$2:$L$2000,0)),"")</f>
        <v>8</v>
      </c>
      <c r="F21" s="10" t="n">
        <f aca="false">IFERROR(INDEX(Sets!$A$2:$A$2000,MATCH($A21&amp;"|"&amp;$D21,Sets!$L$2:$L$2000,0)),"")</f>
        <v>46125</v>
      </c>
      <c r="G21" s="10" t="n">
        <f aca="false">_xlfn.MAXIFS(Sets!$A$2:$A$2000,Sets!$D$2:$D$2000,$A21)</f>
        <v>46125</v>
      </c>
      <c r="H21" s="11" t="n">
        <f aca="false">_xlfn.MAXIFS(Sets!$H$2:$H$2000,Sets!$D$2:$D$2000,$A21,Sets!$A$2:$A$2000,$G21,Sets!$J$2:$J$2000,"N")</f>
        <v>7.5</v>
      </c>
      <c r="I21" s="11" t="n">
        <f aca="false">COUNTIFS(Sets!$D$2:$D$2000,$A21,Sets!$J$2:$J$2000,"N")</f>
        <v>3</v>
      </c>
      <c r="J21" s="19" t="n">
        <f aca="false">SUMIFS(Sets!$K$2:$K$2000,Sets!$D$2:$D$2000,$A21,Sets!$J$2:$J$2000,"N")</f>
        <v>180</v>
      </c>
    </row>
    <row r="22" customFormat="false" ht="15" hidden="false" customHeight="false" outlineLevel="0" collapsed="false">
      <c r="A22" s="17" t="s">
        <v>155</v>
      </c>
      <c r="B22" s="11" t="s">
        <v>66</v>
      </c>
      <c r="C22" s="11" t="s">
        <v>67</v>
      </c>
      <c r="D22" s="18" t="n">
        <f aca="false">_xlfn.MAXIFS(Sets!$H$2:$H$2000,Sets!$D$2:$D$2000,$A22,Sets!$J$2:$J$2000,"N")</f>
        <v>0</v>
      </c>
      <c r="E22" s="11" t="n">
        <f aca="false">IFERROR(INDEX(Sets!$I$2:$I$2000,MATCH($A22&amp;"|"&amp;$D22,Sets!$L$2:$L$2000,0)),"")</f>
        <v>8</v>
      </c>
      <c r="F22" s="10" t="n">
        <f aca="false">IFERROR(INDEX(Sets!$A$2:$A$2000,MATCH($A22&amp;"|"&amp;$D22,Sets!$L$2:$L$2000,0)),"")</f>
        <v>46221</v>
      </c>
      <c r="G22" s="10" t="n">
        <f aca="false">_xlfn.MAXIFS(Sets!$A$2:$A$2000,Sets!$D$2:$D$2000,$A22)</f>
        <v>46221</v>
      </c>
      <c r="H22" s="11" t="n">
        <f aca="false">_xlfn.MAXIFS(Sets!$H$2:$H$2000,Sets!$D$2:$D$2000,$A22,Sets!$A$2:$A$2000,$G22,Sets!$J$2:$J$2000,"N")</f>
        <v>0</v>
      </c>
      <c r="I22" s="11" t="n">
        <f aca="false">COUNTIFS(Sets!$D$2:$D$2000,$A22,Sets!$J$2:$J$2000,"N")</f>
        <v>3</v>
      </c>
      <c r="J22" s="19" t="n">
        <f aca="false">SUMIFS(Sets!$K$2:$K$2000,Sets!$D$2:$D$2000,$A22,Sets!$J$2:$J$2000,"N")</f>
        <v>24</v>
      </c>
    </row>
    <row r="23" customFormat="false" ht="15" hidden="false" customHeight="false" outlineLevel="0" collapsed="false">
      <c r="A23" s="17" t="s">
        <v>137</v>
      </c>
      <c r="B23" s="11" t="s">
        <v>74</v>
      </c>
      <c r="C23" s="11" t="s">
        <v>75</v>
      </c>
      <c r="D23" s="18" t="n">
        <f aca="false">_xlfn.MAXIFS(Sets!$H$2:$H$2000,Sets!$D$2:$D$2000,$A23,Sets!$J$2:$J$2000,"N")</f>
        <v>10</v>
      </c>
      <c r="E23" s="11" t="n">
        <f aca="false">IFERROR(INDEX(Sets!$I$2:$I$2000,MATCH($A23&amp;"|"&amp;$D23,Sets!$L$2:$L$2000,0)),"")</f>
        <v>8</v>
      </c>
      <c r="F23" s="10" t="n">
        <f aca="false">IFERROR(INDEX(Sets!$A$2:$A$2000,MATCH($A23&amp;"|"&amp;$D23,Sets!$L$2:$L$2000,0)),"")</f>
        <v>46172</v>
      </c>
      <c r="G23" s="10" t="n">
        <f aca="false">_xlfn.MAXIFS(Sets!$A$2:$A$2000,Sets!$D$2:$D$2000,$A23)</f>
        <v>46172</v>
      </c>
      <c r="H23" s="11" t="n">
        <f aca="false">_xlfn.MAXIFS(Sets!$H$2:$H$2000,Sets!$D$2:$D$2000,$A23,Sets!$A$2:$A$2000,$G23,Sets!$J$2:$J$2000,"N")</f>
        <v>10</v>
      </c>
      <c r="I23" s="11" t="n">
        <f aca="false">COUNTIFS(Sets!$D$2:$D$2000,$A23,Sets!$J$2:$J$2000,"N")</f>
        <v>4</v>
      </c>
      <c r="J23" s="19" t="n">
        <f aca="false">SUMIFS(Sets!$K$2:$K$2000,Sets!$D$2:$D$2000,$A23,Sets!$J$2:$J$2000,"N")</f>
        <v>260</v>
      </c>
    </row>
    <row r="24" customFormat="false" ht="15" hidden="false" customHeight="false" outlineLevel="0" collapsed="false">
      <c r="A24" s="17" t="s">
        <v>97</v>
      </c>
      <c r="B24" s="11" t="s">
        <v>98</v>
      </c>
      <c r="C24" s="11" t="s">
        <v>39</v>
      </c>
      <c r="D24" s="18" t="n">
        <f aca="false">_xlfn.MAXIFS(Sets!$H$2:$H$2000,Sets!$D$2:$D$2000,$A24,Sets!$J$2:$J$2000,"N")</f>
        <v>55</v>
      </c>
      <c r="E24" s="11" t="n">
        <f aca="false">IFERROR(INDEX(Sets!$I$2:$I$2000,MATCH($A24&amp;"|"&amp;$D24,Sets!$L$2:$L$2000,0)),"")</f>
        <v>8</v>
      </c>
      <c r="F24" s="10" t="n">
        <f aca="false">IFERROR(INDEX(Sets!$A$2:$A$2000,MATCH($A24&amp;"|"&amp;$D24,Sets!$L$2:$L$2000,0)),"")</f>
        <v>46066</v>
      </c>
      <c r="G24" s="10" t="n">
        <f aca="false">_xlfn.MAXIFS(Sets!$A$2:$A$2000,Sets!$D$2:$D$2000,$A24)</f>
        <v>46066</v>
      </c>
      <c r="H24" s="11" t="n">
        <f aca="false">_xlfn.MAXIFS(Sets!$H$2:$H$2000,Sets!$D$2:$D$2000,$A24,Sets!$A$2:$A$2000,$G24,Sets!$J$2:$J$2000,"N")</f>
        <v>55</v>
      </c>
      <c r="I24" s="11" t="n">
        <f aca="false">COUNTIFS(Sets!$D$2:$D$2000,$A24,Sets!$J$2:$J$2000,"N")</f>
        <v>1</v>
      </c>
      <c r="J24" s="19" t="n">
        <f aca="false">SUMIFS(Sets!$K$2:$K$2000,Sets!$D$2:$D$2000,$A24,Sets!$J$2:$J$2000,"N")</f>
        <v>440</v>
      </c>
    </row>
    <row r="25" customFormat="false" ht="15" hidden="false" customHeight="false" outlineLevel="0" collapsed="false">
      <c r="A25" s="17" t="s">
        <v>106</v>
      </c>
      <c r="B25" s="11" t="s">
        <v>66</v>
      </c>
      <c r="C25" s="11" t="s">
        <v>67</v>
      </c>
      <c r="D25" s="18" t="n">
        <f aca="false">_xlfn.MAXIFS(Sets!$H$2:$H$2000,Sets!$D$2:$D$2000,$A25,Sets!$J$2:$J$2000,"N")</f>
        <v>0</v>
      </c>
      <c r="E25" s="11" t="n">
        <f aca="false">IFERROR(INDEX(Sets!$I$2:$I$2000,MATCH($A25&amp;"|"&amp;$D25,Sets!$L$2:$L$2000,0)),"")</f>
        <v>8</v>
      </c>
      <c r="F25" s="10" t="n">
        <f aca="false">IFERROR(INDEX(Sets!$A$2:$A$2000,MATCH($A25&amp;"|"&amp;$D25,Sets!$L$2:$L$2000,0)),"")</f>
        <v>46068</v>
      </c>
      <c r="G25" s="10" t="n">
        <f aca="false">_xlfn.MAXIFS(Sets!$A$2:$A$2000,Sets!$D$2:$D$2000,$A25)</f>
        <v>46068</v>
      </c>
      <c r="H25" s="11" t="n">
        <f aca="false">_xlfn.MAXIFS(Sets!$H$2:$H$2000,Sets!$D$2:$D$2000,$A25,Sets!$A$2:$A$2000,$G25,Sets!$J$2:$J$2000,"N")</f>
        <v>0</v>
      </c>
      <c r="I25" s="11" t="n">
        <f aca="false">COUNTIFS(Sets!$D$2:$D$2000,$A25,Sets!$J$2:$J$2000,"N")</f>
        <v>1</v>
      </c>
      <c r="J25" s="19" t="n">
        <f aca="false">SUMIFS(Sets!$K$2:$K$2000,Sets!$D$2:$D$2000,$A25,Sets!$J$2:$J$2000,"N")</f>
        <v>8</v>
      </c>
    </row>
    <row r="26" customFormat="false" ht="15" hidden="false" customHeight="false" outlineLevel="0" collapsed="false">
      <c r="A26" s="17" t="s">
        <v>105</v>
      </c>
      <c r="B26" s="11" t="s">
        <v>98</v>
      </c>
      <c r="C26" s="11" t="s">
        <v>39</v>
      </c>
      <c r="D26" s="18" t="n">
        <f aca="false">_xlfn.MAXIFS(Sets!$H$2:$H$2000,Sets!$D$2:$D$2000,$A26,Sets!$J$2:$J$2000,"N")</f>
        <v>70</v>
      </c>
      <c r="E26" s="11" t="n">
        <f aca="false">IFERROR(INDEX(Sets!$I$2:$I$2000,MATCH($A26&amp;"|"&amp;$D26,Sets!$L$2:$L$2000,0)),"")</f>
        <v>8</v>
      </c>
      <c r="F26" s="10" t="n">
        <f aca="false">IFERROR(INDEX(Sets!$A$2:$A$2000,MATCH($A26&amp;"|"&amp;$D26,Sets!$L$2:$L$2000,0)),"")</f>
        <v>46068</v>
      </c>
      <c r="G26" s="10" t="n">
        <f aca="false">_xlfn.MAXIFS(Sets!$A$2:$A$2000,Sets!$D$2:$D$2000,$A26)</f>
        <v>46068</v>
      </c>
      <c r="H26" s="11" t="n">
        <f aca="false">_xlfn.MAXIFS(Sets!$H$2:$H$2000,Sets!$D$2:$D$2000,$A26,Sets!$A$2:$A$2000,$G26,Sets!$J$2:$J$2000,"N")</f>
        <v>70</v>
      </c>
      <c r="I26" s="11" t="n">
        <f aca="false">COUNTIFS(Sets!$D$2:$D$2000,$A26,Sets!$J$2:$J$2000,"N")</f>
        <v>3</v>
      </c>
      <c r="J26" s="19" t="n">
        <f aca="false">SUMIFS(Sets!$K$2:$K$2000,Sets!$D$2:$D$2000,$A26,Sets!$J$2:$J$2000,"N")</f>
        <v>1320</v>
      </c>
    </row>
    <row r="27" customFormat="false" ht="15" hidden="false" customHeight="false" outlineLevel="0" collapsed="false">
      <c r="A27" s="17" t="s">
        <v>121</v>
      </c>
      <c r="B27" s="11" t="s">
        <v>74</v>
      </c>
      <c r="C27" s="11" t="s">
        <v>75</v>
      </c>
      <c r="D27" s="18" t="n">
        <f aca="false">_xlfn.MAXIFS(Sets!$H$2:$H$2000,Sets!$D$2:$D$2000,$A27,Sets!$J$2:$J$2000,"N")</f>
        <v>7.5</v>
      </c>
      <c r="E27" s="11" t="n">
        <f aca="false">IFERROR(INDEX(Sets!$I$2:$I$2000,MATCH($A27&amp;"|"&amp;$D27,Sets!$L$2:$L$2000,0)),"")</f>
        <v>8</v>
      </c>
      <c r="F27" s="10" t="n">
        <f aca="false">IFERROR(INDEX(Sets!$A$2:$A$2000,MATCH($A27&amp;"|"&amp;$D27,Sets!$L$2:$L$2000,0)),"")</f>
        <v>46134</v>
      </c>
      <c r="G27" s="10" t="n">
        <f aca="false">_xlfn.MAXIFS(Sets!$A$2:$A$2000,Sets!$D$2:$D$2000,$A27)</f>
        <v>46134</v>
      </c>
      <c r="H27" s="11" t="n">
        <f aca="false">_xlfn.MAXIFS(Sets!$H$2:$H$2000,Sets!$D$2:$D$2000,$A27,Sets!$A$2:$A$2000,$G27,Sets!$J$2:$J$2000,"N")</f>
        <v>7.5</v>
      </c>
      <c r="I27" s="11" t="n">
        <f aca="false">COUNTIFS(Sets!$D$2:$D$2000,$A27,Sets!$J$2:$J$2000,"N")</f>
        <v>3</v>
      </c>
      <c r="J27" s="19" t="n">
        <f aca="false">SUMIFS(Sets!$K$2:$K$2000,Sets!$D$2:$D$2000,$A27,Sets!$J$2:$J$2000,"N")</f>
        <v>160</v>
      </c>
    </row>
    <row r="28" customFormat="false" ht="15" hidden="false" customHeight="false" outlineLevel="0" collapsed="false">
      <c r="A28" s="17" t="s">
        <v>149</v>
      </c>
      <c r="B28" s="11" t="s">
        <v>72</v>
      </c>
      <c r="C28" s="11" t="s">
        <v>39</v>
      </c>
      <c r="D28" s="18" t="n">
        <f aca="false">_xlfn.MAXIFS(Sets!$H$2:$H$2000,Sets!$D$2:$D$2000,$A28,Sets!$J$2:$J$2000,"N")</f>
        <v>15</v>
      </c>
      <c r="E28" s="11" t="n">
        <f aca="false">IFERROR(INDEX(Sets!$I$2:$I$2000,MATCH($A28&amp;"|"&amp;$D28,Sets!$L$2:$L$2000,0)),"")</f>
        <v>8</v>
      </c>
      <c r="F28" s="10" t="n">
        <f aca="false">IFERROR(INDEX(Sets!$A$2:$A$2000,MATCH($A28&amp;"|"&amp;$D28,Sets!$L$2:$L$2000,0)),"")</f>
        <v>46201</v>
      </c>
      <c r="G28" s="10" t="n">
        <f aca="false">_xlfn.MAXIFS(Sets!$A$2:$A$2000,Sets!$D$2:$D$2000,$A28)</f>
        <v>46201</v>
      </c>
      <c r="H28" s="11" t="n">
        <f aca="false">_xlfn.MAXIFS(Sets!$H$2:$H$2000,Sets!$D$2:$D$2000,$A28,Sets!$A$2:$A$2000,$G28,Sets!$J$2:$J$2000,"N")</f>
        <v>15</v>
      </c>
      <c r="I28" s="11" t="n">
        <f aca="false">COUNTIFS(Sets!$D$2:$D$2000,$A28,Sets!$J$2:$J$2000,"N")</f>
        <v>1</v>
      </c>
      <c r="J28" s="19" t="n">
        <f aca="false">SUMIFS(Sets!$K$2:$K$2000,Sets!$D$2:$D$2000,$A28,Sets!$J$2:$J$2000,"N")</f>
        <v>120</v>
      </c>
    </row>
    <row r="29" customFormat="false" ht="15" hidden="false" customHeight="false" outlineLevel="0" collapsed="false">
      <c r="A29" s="17" t="s">
        <v>123</v>
      </c>
      <c r="B29" s="11" t="s">
        <v>72</v>
      </c>
      <c r="C29" s="11" t="s">
        <v>39</v>
      </c>
      <c r="D29" s="18" t="n">
        <f aca="false">_xlfn.MAXIFS(Sets!$H$2:$H$2000,Sets!$D$2:$D$2000,$A29,Sets!$J$2:$J$2000,"N")</f>
        <v>25</v>
      </c>
      <c r="E29" s="11" t="n">
        <f aca="false">IFERROR(INDEX(Sets!$I$2:$I$2000,MATCH($A29&amp;"|"&amp;$D29,Sets!$L$2:$L$2000,0)),"")</f>
        <v>8</v>
      </c>
      <c r="F29" s="10" t="n">
        <f aca="false">IFERROR(INDEX(Sets!$A$2:$A$2000,MATCH($A29&amp;"|"&amp;$D29,Sets!$L$2:$L$2000,0)),"")</f>
        <v>46134</v>
      </c>
      <c r="G29" s="10" t="n">
        <f aca="false">_xlfn.MAXIFS(Sets!$A$2:$A$2000,Sets!$D$2:$D$2000,$A29)</f>
        <v>46134</v>
      </c>
      <c r="H29" s="11" t="n">
        <f aca="false">_xlfn.MAXIFS(Sets!$H$2:$H$2000,Sets!$D$2:$D$2000,$A29,Sets!$A$2:$A$2000,$G29,Sets!$J$2:$J$2000,"N")</f>
        <v>25</v>
      </c>
      <c r="I29" s="11" t="n">
        <f aca="false">COUNTIFS(Sets!$D$2:$D$2000,$A29,Sets!$J$2:$J$2000,"N")</f>
        <v>3</v>
      </c>
      <c r="J29" s="19" t="n">
        <f aca="false">SUMIFS(Sets!$K$2:$K$2000,Sets!$D$2:$D$2000,$A29,Sets!$J$2:$J$2000,"N")</f>
        <v>560</v>
      </c>
    </row>
    <row r="30" customFormat="false" ht="15" hidden="false" customHeight="false" outlineLevel="0" collapsed="false">
      <c r="A30" s="17" t="s">
        <v>128</v>
      </c>
      <c r="B30" s="11" t="s">
        <v>38</v>
      </c>
      <c r="C30" s="11" t="s">
        <v>39</v>
      </c>
      <c r="D30" s="18" t="n">
        <f aca="false">_xlfn.MAXIFS(Sets!$H$2:$H$2000,Sets!$D$2:$D$2000,$A30,Sets!$J$2:$J$2000,"N")</f>
        <v>70</v>
      </c>
      <c r="E30" s="11" t="n">
        <f aca="false">IFERROR(INDEX(Sets!$I$2:$I$2000,MATCH($A30&amp;"|"&amp;$D30,Sets!$L$2:$L$2000,0)),"")</f>
        <v>8</v>
      </c>
      <c r="F30" s="10" t="n">
        <f aca="false">IFERROR(INDEX(Sets!$A$2:$A$2000,MATCH($A30&amp;"|"&amp;$D30,Sets!$L$2:$L$2000,0)),"")</f>
        <v>46154</v>
      </c>
      <c r="G30" s="10" t="n">
        <f aca="false">_xlfn.MAXIFS(Sets!$A$2:$A$2000,Sets!$D$2:$D$2000,$A30)</f>
        <v>46154</v>
      </c>
      <c r="H30" s="11" t="n">
        <f aca="false">_xlfn.MAXIFS(Sets!$H$2:$H$2000,Sets!$D$2:$D$2000,$A30,Sets!$A$2:$A$2000,$G30,Sets!$J$2:$J$2000,"N")</f>
        <v>70</v>
      </c>
      <c r="I30" s="11" t="n">
        <f aca="false">COUNTIFS(Sets!$D$2:$D$2000,$A30,Sets!$J$2:$J$2000,"N")</f>
        <v>3</v>
      </c>
      <c r="J30" s="19" t="n">
        <f aca="false">SUMIFS(Sets!$K$2:$K$2000,Sets!$D$2:$D$2000,$A30,Sets!$J$2:$J$2000,"N")</f>
        <v>1520</v>
      </c>
    </row>
    <row r="31" customFormat="false" ht="15" hidden="false" customHeight="false" outlineLevel="0" collapsed="false">
      <c r="A31" s="17" t="s">
        <v>100</v>
      </c>
      <c r="B31" s="11" t="s">
        <v>98</v>
      </c>
      <c r="C31" s="11" t="s">
        <v>39</v>
      </c>
      <c r="D31" s="18" t="n">
        <f aca="false">_xlfn.MAXIFS(Sets!$H$2:$H$2000,Sets!$D$2:$D$2000,$A31,Sets!$J$2:$J$2000,"N")</f>
        <v>100</v>
      </c>
      <c r="E31" s="11" t="n">
        <f aca="false">IFERROR(INDEX(Sets!$I$2:$I$2000,MATCH($A31&amp;"|"&amp;$D31,Sets!$L$2:$L$2000,0)),"")</f>
        <v>8</v>
      </c>
      <c r="F31" s="10" t="n">
        <f aca="false">IFERROR(INDEX(Sets!$A$2:$A$2000,MATCH($A31&amp;"|"&amp;$D31,Sets!$L$2:$L$2000,0)),"")</f>
        <v>46066</v>
      </c>
      <c r="G31" s="10" t="n">
        <f aca="false">_xlfn.MAXIFS(Sets!$A$2:$A$2000,Sets!$D$2:$D$2000,$A31)</f>
        <v>46066</v>
      </c>
      <c r="H31" s="11" t="n">
        <f aca="false">_xlfn.MAXIFS(Sets!$H$2:$H$2000,Sets!$D$2:$D$2000,$A31,Sets!$A$2:$A$2000,$G31,Sets!$J$2:$J$2000,"N")</f>
        <v>100</v>
      </c>
      <c r="I31" s="11" t="n">
        <f aca="false">COUNTIFS(Sets!$D$2:$D$2000,$A31,Sets!$J$2:$J$2000,"N")</f>
        <v>1</v>
      </c>
      <c r="J31" s="19" t="n">
        <f aca="false">SUMIFS(Sets!$K$2:$K$2000,Sets!$D$2:$D$2000,$A31,Sets!$J$2:$J$2000,"N")</f>
        <v>800</v>
      </c>
    </row>
    <row r="32" customFormat="false" ht="15" hidden="false" customHeight="false" outlineLevel="0" collapsed="false">
      <c r="A32" s="17" t="s">
        <v>101</v>
      </c>
      <c r="B32" s="11" t="s">
        <v>98</v>
      </c>
      <c r="C32" s="11" t="s">
        <v>39</v>
      </c>
      <c r="D32" s="18" t="n">
        <f aca="false">_xlfn.MAXIFS(Sets!$H$2:$H$2000,Sets!$D$2:$D$2000,$A32,Sets!$J$2:$J$2000,"N")</f>
        <v>65</v>
      </c>
      <c r="E32" s="11" t="n">
        <f aca="false">IFERROR(INDEX(Sets!$I$2:$I$2000,MATCH($A32&amp;"|"&amp;$D32,Sets!$L$2:$L$2000,0)),"")</f>
        <v>6</v>
      </c>
      <c r="F32" s="10" t="n">
        <f aca="false">IFERROR(INDEX(Sets!$A$2:$A$2000,MATCH($A32&amp;"|"&amp;$D32,Sets!$L$2:$L$2000,0)),"")</f>
        <v>46066</v>
      </c>
      <c r="G32" s="10" t="n">
        <f aca="false">_xlfn.MAXIFS(Sets!$A$2:$A$2000,Sets!$D$2:$D$2000,$A32)</f>
        <v>46066</v>
      </c>
      <c r="H32" s="11" t="n">
        <f aca="false">_xlfn.MAXIFS(Sets!$H$2:$H$2000,Sets!$D$2:$D$2000,$A32,Sets!$A$2:$A$2000,$G32,Sets!$J$2:$J$2000,"N")</f>
        <v>65</v>
      </c>
      <c r="I32" s="11" t="n">
        <f aca="false">COUNTIFS(Sets!$D$2:$D$2000,$A32,Sets!$J$2:$J$2000,"N")</f>
        <v>1</v>
      </c>
      <c r="J32" s="19" t="n">
        <f aca="false">SUMIFS(Sets!$K$2:$K$2000,Sets!$D$2:$D$2000,$A32,Sets!$J$2:$J$2000,"N")</f>
        <v>390</v>
      </c>
    </row>
    <row r="33" customFormat="false" ht="15" hidden="false" customHeight="false" outlineLevel="0" collapsed="false">
      <c r="A33" s="17" t="s">
        <v>132</v>
      </c>
      <c r="B33" s="11" t="s">
        <v>74</v>
      </c>
      <c r="C33" s="11" t="s">
        <v>75</v>
      </c>
      <c r="D33" s="18" t="n">
        <f aca="false">_xlfn.MAXIFS(Sets!$H$2:$H$2000,Sets!$D$2:$D$2000,$A33,Sets!$J$2:$J$2000,"N")</f>
        <v>7.5</v>
      </c>
      <c r="E33" s="11" t="n">
        <f aca="false">IFERROR(INDEX(Sets!$I$2:$I$2000,MATCH($A33&amp;"|"&amp;$D33,Sets!$L$2:$L$2000,0)),"")</f>
        <v>8</v>
      </c>
      <c r="F33" s="10" t="n">
        <f aca="false">IFERROR(INDEX(Sets!$A$2:$A$2000,MATCH($A33&amp;"|"&amp;$D33,Sets!$L$2:$L$2000,0)),"")</f>
        <v>46157</v>
      </c>
      <c r="G33" s="10" t="n">
        <f aca="false">_xlfn.MAXIFS(Sets!$A$2:$A$2000,Sets!$D$2:$D$2000,$A33)</f>
        <v>46157</v>
      </c>
      <c r="H33" s="11" t="n">
        <f aca="false">_xlfn.MAXIFS(Sets!$H$2:$H$2000,Sets!$D$2:$D$2000,$A33,Sets!$A$2:$A$2000,$G33,Sets!$J$2:$J$2000,"N")</f>
        <v>7.5</v>
      </c>
      <c r="I33" s="11" t="n">
        <f aca="false">COUNTIFS(Sets!$D$2:$D$2000,$A33,Sets!$J$2:$J$2000,"N")</f>
        <v>1</v>
      </c>
      <c r="J33" s="19" t="n">
        <f aca="false">SUMIFS(Sets!$K$2:$K$2000,Sets!$D$2:$D$2000,$A33,Sets!$J$2:$J$2000,"N")</f>
        <v>60</v>
      </c>
    </row>
    <row r="34" customFormat="false" ht="15" hidden="false" customHeight="false" outlineLevel="0" collapsed="false">
      <c r="A34" s="17" t="s">
        <v>136</v>
      </c>
      <c r="B34" s="11" t="s">
        <v>74</v>
      </c>
      <c r="C34" s="11" t="s">
        <v>75</v>
      </c>
      <c r="D34" s="18" t="n">
        <f aca="false">_xlfn.MAXIFS(Sets!$H$2:$H$2000,Sets!$D$2:$D$2000,$A34,Sets!$J$2:$J$2000,"N")</f>
        <v>7.5</v>
      </c>
      <c r="E34" s="11" t="n">
        <f aca="false">IFERROR(INDEX(Sets!$I$2:$I$2000,MATCH($A34&amp;"|"&amp;$D34,Sets!$L$2:$L$2000,0)),"")</f>
        <v>8</v>
      </c>
      <c r="F34" s="10" t="n">
        <f aca="false">IFERROR(INDEX(Sets!$A$2:$A$2000,MATCH($A34&amp;"|"&amp;$D34,Sets!$L$2:$L$2000,0)),"")</f>
        <v>46165</v>
      </c>
      <c r="G34" s="10" t="n">
        <f aca="false">_xlfn.MAXIFS(Sets!$A$2:$A$2000,Sets!$D$2:$D$2000,$A34)</f>
        <v>46165</v>
      </c>
      <c r="H34" s="11" t="n">
        <f aca="false">_xlfn.MAXIFS(Sets!$H$2:$H$2000,Sets!$D$2:$D$2000,$A34,Sets!$A$2:$A$2000,$G34,Sets!$J$2:$J$2000,"N")</f>
        <v>7.5</v>
      </c>
      <c r="I34" s="11" t="n">
        <f aca="false">COUNTIFS(Sets!$D$2:$D$2000,$A34,Sets!$J$2:$J$2000,"N")</f>
        <v>4</v>
      </c>
      <c r="J34" s="19" t="n">
        <f aca="false">SUMIFS(Sets!$K$2:$K$2000,Sets!$D$2:$D$2000,$A34,Sets!$J$2:$J$2000,"N")</f>
        <v>160</v>
      </c>
    </row>
    <row r="36" customFormat="false" ht="15" hidden="false" customHeight="false" outlineLevel="0" collapsed="false">
      <c r="A36" s="5" t="s">
        <v>34</v>
      </c>
    </row>
    <row r="37" customFormat="false" ht="15" hidden="false" customHeight="false" outlineLevel="0" collapsed="false">
      <c r="A37" s="20" t="s">
        <v>247</v>
      </c>
    </row>
    <row r="38" customFormat="false" ht="15" hidden="false" customHeight="false" outlineLevel="0" collapsed="false">
      <c r="A38" s="20" t="s">
        <v>248</v>
      </c>
    </row>
    <row r="39" customFormat="false" ht="15" hidden="false" customHeight="false" outlineLevel="0" collapsed="false">
      <c r="A39" s="20" t="s">
        <v>249</v>
      </c>
    </row>
    <row r="40" customFormat="false" ht="15" hidden="false" customHeight="false" outlineLevel="0" collapsed="false">
      <c r="A40" s="20" t="s">
        <v>250</v>
      </c>
    </row>
    <row r="41" customFormat="false" ht="15" hidden="false" customHeight="false" outlineLevel="0" collapsed="false">
      <c r="A41" s="20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2026-07-24T00:22:44Z</dcterms:created>
  <dc:creator>openpyxl</dc:creator>
  <dc:description/>
  <dc:language>en-US</dc:language>
  <cp:lastModifiedBy/>
  <dcterms:modified xsi:type="dcterms:W3CDTF">2026-07-24T00:22:48Z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