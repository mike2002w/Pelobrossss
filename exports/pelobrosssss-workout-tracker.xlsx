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s" sheetId="2" state="visible" r:id="rId2"/>
    <sheet xmlns:r="http://schemas.openxmlformats.org/officeDocument/2006/relationships" name="Cardio" sheetId="3" state="visible" r:id="rId3"/>
    <sheet xmlns:r="http://schemas.openxmlformats.org/officeDocument/2006/relationships" name="Progress" sheetId="4" state="visible" r:id="rId4"/>
    <sheet xmlns:r="http://schemas.openxmlformats.org/officeDocument/2006/relationships" name="PR Summary" sheetId="5" state="visible" r:id="rId5"/>
    <sheet xmlns:r="http://schemas.openxmlformats.org/officeDocument/2006/relationships" name="Charts" sheetId="6" state="visible" r:id="rId6"/>
  </sheets>
  <definedNames>
    <definedName name="_xlnm._FilterDatabase" localSheetId="1" hidden="1">'Sets'!$A$1:$M$617</definedName>
    <definedName name="_xlnm._FilterDatabase" localSheetId="2" hidden="1">'Cardio'!$A$1:$K$58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08080"/>
      <sz val="10"/>
    </font>
    <font>
      <name val="Arial"/>
      <charset val="1"/>
      <family val="0"/>
      <i val="1"/>
      <color rgb="FF595959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bottom"/>
    </xf>
    <xf numFmtId="164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bottom" wrapText="1"/>
    </xf>
    <xf numFmtId="164" fontId="7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bottom"/>
    </xf>
    <xf numFmtId="164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5" fontId="0" fillId="0" borderId="0" pivotButton="0" quotePrefix="0" xfId="0"/>
    <xf numFmtId="0" fontId="9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bottom" wrapText="1"/>
    </xf>
    <xf numFmtId="164" fontId="7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Bench Press (Smith) (lbs)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Progress!E1</f>
              <strCache>
                <ptCount val="1"/>
                <pt idx="0">
                  <v>Bench Press (Smith)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4752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Progress!$A$2:$A$52</f>
              <strCache>
                <ptCount val="51"/>
                <pt idx="0">
                  <v>2026-01-17</v>
                </pt>
                <pt idx="1">
                  <v>2026-01-20</v>
                </pt>
                <pt idx="2">
                  <v>2026-01-22</v>
                </pt>
                <pt idx="3">
                  <v>2026-01-23</v>
                </pt>
                <pt idx="4">
                  <v>2026-01-25</v>
                </pt>
                <pt idx="5">
                  <v>2026-01-27</v>
                </pt>
                <pt idx="6">
                  <v>2026-01-29</v>
                </pt>
                <pt idx="7">
                  <v>2026-02-07</v>
                </pt>
                <pt idx="8">
                  <v>2026-02-09</v>
                </pt>
                <pt idx="9">
                  <v>2026-02-10</v>
                </pt>
                <pt idx="10">
                  <v>2026-02-13</v>
                </pt>
                <pt idx="11">
                  <v>2026-02-15</v>
                </pt>
                <pt idx="12">
                  <v>2026-02-17</v>
                </pt>
                <pt idx="13">
                  <v>2026-02-20</v>
                </pt>
                <pt idx="14">
                  <v>2026-02-21</v>
                </pt>
                <pt idx="15">
                  <v>2026-02-22</v>
                </pt>
                <pt idx="16">
                  <v>2026-02-27</v>
                </pt>
                <pt idx="17">
                  <v>2026-04-05</v>
                </pt>
                <pt idx="18">
                  <v>2026-04-13</v>
                </pt>
                <pt idx="19">
                  <v>2026-04-15</v>
                </pt>
                <pt idx="20">
                  <v>2026-04-16</v>
                </pt>
                <pt idx="21">
                  <v>2026-04-17</v>
                </pt>
                <pt idx="22">
                  <v>2026-04-19</v>
                </pt>
                <pt idx="23">
                  <v>2026-04-22</v>
                </pt>
                <pt idx="24">
                  <v>2026-04-28</v>
                </pt>
                <pt idx="25">
                  <v>2026-04-30</v>
                </pt>
                <pt idx="26">
                  <v>2026-05-03</v>
                </pt>
                <pt idx="27">
                  <v>2026-05-09</v>
                </pt>
                <pt idx="28">
                  <v>2026-05-12</v>
                </pt>
                <pt idx="29">
                  <v>2026-05-14</v>
                </pt>
                <pt idx="30">
                  <v>2026-05-15</v>
                </pt>
                <pt idx="31">
                  <v>2026-05-17</v>
                </pt>
                <pt idx="32">
                  <v>2026-05-22</v>
                </pt>
                <pt idx="33">
                  <v>2026-05-23</v>
                </pt>
                <pt idx="34">
                  <v>2026-05-30</v>
                </pt>
                <pt idx="35">
                  <v>2026-06-04</v>
                </pt>
                <pt idx="36">
                  <v>2026-06-07</v>
                </pt>
                <pt idx="37">
                  <v>2026-06-11</v>
                </pt>
                <pt idx="38">
                  <v>2026-06-12</v>
                </pt>
                <pt idx="39">
                  <v>2026-06-16</v>
                </pt>
                <pt idx="40">
                  <v>2026-06-18</v>
                </pt>
                <pt idx="41">
                  <v>2026-06-23</v>
                </pt>
                <pt idx="42">
                  <v>2026-06-25</v>
                </pt>
                <pt idx="43">
                  <v>2026-06-28</v>
                </pt>
                <pt idx="44">
                  <v>2026-07-09</v>
                </pt>
                <pt idx="45">
                  <v>2026-07-10</v>
                </pt>
                <pt idx="46">
                  <v>2026-07-14</v>
                </pt>
                <pt idx="47">
                  <v>2026-07-16</v>
                </pt>
                <pt idx="48">
                  <v>2026-07-18</v>
                </pt>
                <pt idx="49">
                  <v>2026-07-19</v>
                </pt>
                <pt idx="50">
                  <v>2026-07-21</v>
                </pt>
              </strCache>
            </strRef>
          </cat>
          <val>
            <numRef>
              <f>Progress!$E$2:$E$52</f>
              <numCache>
                <formatCode>General</formatCode>
                <ptCount val="51"/>
                <pt idx="15">
                  <v>60</v>
                </pt>
                <pt idx="17">
                  <v>70</v>
                </pt>
                <pt idx="19">
                  <v>75</v>
                </pt>
                <pt idx="22">
                  <v>80</v>
                </pt>
                <pt idx="24">
                  <v>80</v>
                </pt>
                <pt idx="26">
                  <v>90</v>
                </pt>
                <pt idx="28">
                  <v>95</v>
                </pt>
                <pt idx="32">
                  <v>95</v>
                </pt>
                <pt idx="35">
                  <v>100</v>
                </pt>
                <pt idx="38">
                  <v>100</v>
                </pt>
                <pt idx="39">
                  <v>105</v>
                </pt>
                <pt idx="42">
                  <v>105</v>
                </pt>
                <pt idx="44">
                  <v>95</v>
                </pt>
                <pt idx="47">
                  <v>105</v>
                </pt>
                <pt idx="50">
                  <v>110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50680978"/>
        <axId val="24201412"/>
      </lineChart>
      <catAx>
        <axId val="5068097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Session date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yyyy\-mm\-dd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4201412"/>
        <crosses val="autoZero"/>
        <auto val="1"/>
        <lblAlgn val="ctr"/>
        <lblOffset val="100"/>
        <noMultiLvlLbl val="0"/>
      </catAx>
      <valAx>
        <axId val="2420141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lbs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680978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Single Arm Lat Pulldown (kg)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Progress!C1</f>
              <strCache>
                <ptCount val="1"/>
                <pt idx="0">
                  <v>Single Arm Lat Pulldown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4752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Progress!$A$2:$A$52</f>
              <strCache>
                <ptCount val="51"/>
                <pt idx="0">
                  <v>2026-01-17</v>
                </pt>
                <pt idx="1">
                  <v>2026-01-20</v>
                </pt>
                <pt idx="2">
                  <v>2026-01-22</v>
                </pt>
                <pt idx="3">
                  <v>2026-01-23</v>
                </pt>
                <pt idx="4">
                  <v>2026-01-25</v>
                </pt>
                <pt idx="5">
                  <v>2026-01-27</v>
                </pt>
                <pt idx="6">
                  <v>2026-01-29</v>
                </pt>
                <pt idx="7">
                  <v>2026-02-07</v>
                </pt>
                <pt idx="8">
                  <v>2026-02-09</v>
                </pt>
                <pt idx="9">
                  <v>2026-02-10</v>
                </pt>
                <pt idx="10">
                  <v>2026-02-13</v>
                </pt>
                <pt idx="11">
                  <v>2026-02-15</v>
                </pt>
                <pt idx="12">
                  <v>2026-02-17</v>
                </pt>
                <pt idx="13">
                  <v>2026-02-20</v>
                </pt>
                <pt idx="14">
                  <v>2026-02-21</v>
                </pt>
                <pt idx="15">
                  <v>2026-02-22</v>
                </pt>
                <pt idx="16">
                  <v>2026-02-27</v>
                </pt>
                <pt idx="17">
                  <v>2026-04-05</v>
                </pt>
                <pt idx="18">
                  <v>2026-04-13</v>
                </pt>
                <pt idx="19">
                  <v>2026-04-15</v>
                </pt>
                <pt idx="20">
                  <v>2026-04-16</v>
                </pt>
                <pt idx="21">
                  <v>2026-04-17</v>
                </pt>
                <pt idx="22">
                  <v>2026-04-19</v>
                </pt>
                <pt idx="23">
                  <v>2026-04-22</v>
                </pt>
                <pt idx="24">
                  <v>2026-04-28</v>
                </pt>
                <pt idx="25">
                  <v>2026-04-30</v>
                </pt>
                <pt idx="26">
                  <v>2026-05-03</v>
                </pt>
                <pt idx="27">
                  <v>2026-05-09</v>
                </pt>
                <pt idx="28">
                  <v>2026-05-12</v>
                </pt>
                <pt idx="29">
                  <v>2026-05-14</v>
                </pt>
                <pt idx="30">
                  <v>2026-05-15</v>
                </pt>
                <pt idx="31">
                  <v>2026-05-17</v>
                </pt>
                <pt idx="32">
                  <v>2026-05-22</v>
                </pt>
                <pt idx="33">
                  <v>2026-05-23</v>
                </pt>
                <pt idx="34">
                  <v>2026-05-30</v>
                </pt>
                <pt idx="35">
                  <v>2026-06-04</v>
                </pt>
                <pt idx="36">
                  <v>2026-06-07</v>
                </pt>
                <pt idx="37">
                  <v>2026-06-11</v>
                </pt>
                <pt idx="38">
                  <v>2026-06-12</v>
                </pt>
                <pt idx="39">
                  <v>2026-06-16</v>
                </pt>
                <pt idx="40">
                  <v>2026-06-18</v>
                </pt>
                <pt idx="41">
                  <v>2026-06-23</v>
                </pt>
                <pt idx="42">
                  <v>2026-06-25</v>
                </pt>
                <pt idx="43">
                  <v>2026-06-28</v>
                </pt>
                <pt idx="44">
                  <v>2026-07-09</v>
                </pt>
                <pt idx="45">
                  <v>2026-07-10</v>
                </pt>
                <pt idx="46">
                  <v>2026-07-14</v>
                </pt>
                <pt idx="47">
                  <v>2026-07-16</v>
                </pt>
                <pt idx="48">
                  <v>2026-07-18</v>
                </pt>
                <pt idx="49">
                  <v>2026-07-19</v>
                </pt>
                <pt idx="50">
                  <v>2026-07-21</v>
                </pt>
              </strCache>
            </strRef>
          </cat>
          <val>
            <numRef>
              <f>Progress!$C$2:$C$52</f>
              <numCache>
                <formatCode>General</formatCode>
                <ptCount val="51"/>
                <pt idx="1">
                  <v>15</v>
                </pt>
                <pt idx="5">
                  <v>17.5</v>
                </pt>
                <pt idx="8">
                  <v>22.5</v>
                </pt>
                <pt idx="14">
                  <v>22.5</v>
                </pt>
                <pt idx="16">
                  <v>22.5</v>
                </pt>
                <pt idx="18">
                  <v>22.5</v>
                </pt>
                <pt idx="21">
                  <v>22.5</v>
                </pt>
                <pt idx="23">
                  <v>22.5</v>
                </pt>
                <pt idx="25">
                  <v>22.5</v>
                </pt>
                <pt idx="27">
                  <v>22.5</v>
                </pt>
                <pt idx="29">
                  <v>22.5</v>
                </pt>
                <pt idx="31">
                  <v>22.5</v>
                </pt>
                <pt idx="33">
                  <v>22.5</v>
                </pt>
                <pt idx="37">
                  <v>22.5</v>
                </pt>
                <pt idx="40">
                  <v>22.5</v>
                </pt>
                <pt idx="41">
                  <v>25</v>
                </pt>
                <pt idx="46">
                  <v>25</v>
                </pt>
                <pt idx="49">
                  <v>20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9746769"/>
        <axId val="74666847"/>
      </lineChart>
      <catAx>
        <axId val="9746769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Session date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yyyy\-mm\-dd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4666847"/>
        <crosses val="autoZero"/>
        <auto val="1"/>
        <lblAlgn val="ctr"/>
        <lblOffset val="100"/>
        <noMultiLvlLbl val="0"/>
      </catAx>
      <valAx>
        <axId val="7466684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746769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Smith Rows (lbs)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Progress!H1</f>
              <strCache>
                <ptCount val="1"/>
                <pt idx="0">
                  <v>Smith Rows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4752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Progress!$A$2:$A$52</f>
              <strCache>
                <ptCount val="51"/>
                <pt idx="0">
                  <v>2026-01-17</v>
                </pt>
                <pt idx="1">
                  <v>2026-01-20</v>
                </pt>
                <pt idx="2">
                  <v>2026-01-22</v>
                </pt>
                <pt idx="3">
                  <v>2026-01-23</v>
                </pt>
                <pt idx="4">
                  <v>2026-01-25</v>
                </pt>
                <pt idx="5">
                  <v>2026-01-27</v>
                </pt>
                <pt idx="6">
                  <v>2026-01-29</v>
                </pt>
                <pt idx="7">
                  <v>2026-02-07</v>
                </pt>
                <pt idx="8">
                  <v>2026-02-09</v>
                </pt>
                <pt idx="9">
                  <v>2026-02-10</v>
                </pt>
                <pt idx="10">
                  <v>2026-02-13</v>
                </pt>
                <pt idx="11">
                  <v>2026-02-15</v>
                </pt>
                <pt idx="12">
                  <v>2026-02-17</v>
                </pt>
                <pt idx="13">
                  <v>2026-02-20</v>
                </pt>
                <pt idx="14">
                  <v>2026-02-21</v>
                </pt>
                <pt idx="15">
                  <v>2026-02-22</v>
                </pt>
                <pt idx="16">
                  <v>2026-02-27</v>
                </pt>
                <pt idx="17">
                  <v>2026-04-05</v>
                </pt>
                <pt idx="18">
                  <v>2026-04-13</v>
                </pt>
                <pt idx="19">
                  <v>2026-04-15</v>
                </pt>
                <pt idx="20">
                  <v>2026-04-16</v>
                </pt>
                <pt idx="21">
                  <v>2026-04-17</v>
                </pt>
                <pt idx="22">
                  <v>2026-04-19</v>
                </pt>
                <pt idx="23">
                  <v>2026-04-22</v>
                </pt>
                <pt idx="24">
                  <v>2026-04-28</v>
                </pt>
                <pt idx="25">
                  <v>2026-04-30</v>
                </pt>
                <pt idx="26">
                  <v>2026-05-03</v>
                </pt>
                <pt idx="27">
                  <v>2026-05-09</v>
                </pt>
                <pt idx="28">
                  <v>2026-05-12</v>
                </pt>
                <pt idx="29">
                  <v>2026-05-14</v>
                </pt>
                <pt idx="30">
                  <v>2026-05-15</v>
                </pt>
                <pt idx="31">
                  <v>2026-05-17</v>
                </pt>
                <pt idx="32">
                  <v>2026-05-22</v>
                </pt>
                <pt idx="33">
                  <v>2026-05-23</v>
                </pt>
                <pt idx="34">
                  <v>2026-05-30</v>
                </pt>
                <pt idx="35">
                  <v>2026-06-04</v>
                </pt>
                <pt idx="36">
                  <v>2026-06-07</v>
                </pt>
                <pt idx="37">
                  <v>2026-06-11</v>
                </pt>
                <pt idx="38">
                  <v>2026-06-12</v>
                </pt>
                <pt idx="39">
                  <v>2026-06-16</v>
                </pt>
                <pt idx="40">
                  <v>2026-06-18</v>
                </pt>
                <pt idx="41">
                  <v>2026-06-23</v>
                </pt>
                <pt idx="42">
                  <v>2026-06-25</v>
                </pt>
                <pt idx="43">
                  <v>2026-06-28</v>
                </pt>
                <pt idx="44">
                  <v>2026-07-09</v>
                </pt>
                <pt idx="45">
                  <v>2026-07-10</v>
                </pt>
                <pt idx="46">
                  <v>2026-07-14</v>
                </pt>
                <pt idx="47">
                  <v>2026-07-16</v>
                </pt>
                <pt idx="48">
                  <v>2026-07-18</v>
                </pt>
                <pt idx="49">
                  <v>2026-07-19</v>
                </pt>
                <pt idx="50">
                  <v>2026-07-21</v>
                </pt>
              </strCache>
            </strRef>
          </cat>
          <val>
            <numRef>
              <f>Progress!$H$2:$H$52</f>
              <numCache>
                <formatCode>General</formatCode>
                <ptCount val="51"/>
                <pt idx="5">
                  <v>50</v>
                </pt>
                <pt idx="7">
                  <v>40</v>
                </pt>
                <pt idx="18">
                  <v>50</v>
                </pt>
                <pt idx="21">
                  <v>60</v>
                </pt>
                <pt idx="23">
                  <v>65</v>
                </pt>
                <pt idx="27">
                  <v>65</v>
                </pt>
                <pt idx="31">
                  <v>65</v>
                </pt>
                <pt idx="37">
                  <v>65</v>
                </pt>
                <pt idx="40">
                  <v>55</v>
                </pt>
                <pt idx="41">
                  <v>55</v>
                </pt>
                <pt idx="46">
                  <v>65</v>
                </pt>
                <pt idx="49">
                  <v>65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76219430"/>
        <axId val="28001744"/>
      </lineChart>
      <catAx>
        <axId val="76219430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Session date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yyyy\-mm\-dd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8001744"/>
        <crosses val="autoZero"/>
        <auto val="1"/>
        <lblAlgn val="ctr"/>
        <lblOffset val="100"/>
        <noMultiLvlLbl val="0"/>
      </catAx>
      <valAx>
        <axId val="2800174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lbs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6219430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Shoulder Press (lbs)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Progress!B1</f>
              <strCache>
                <ptCount val="1"/>
                <pt idx="0">
                  <v>Shoulder Press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4752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Progress!$A$2:$A$52</f>
              <strCache>
                <ptCount val="51"/>
                <pt idx="0">
                  <v>2026-01-17</v>
                </pt>
                <pt idx="1">
                  <v>2026-01-20</v>
                </pt>
                <pt idx="2">
                  <v>2026-01-22</v>
                </pt>
                <pt idx="3">
                  <v>2026-01-23</v>
                </pt>
                <pt idx="4">
                  <v>2026-01-25</v>
                </pt>
                <pt idx="5">
                  <v>2026-01-27</v>
                </pt>
                <pt idx="6">
                  <v>2026-01-29</v>
                </pt>
                <pt idx="7">
                  <v>2026-02-07</v>
                </pt>
                <pt idx="8">
                  <v>2026-02-09</v>
                </pt>
                <pt idx="9">
                  <v>2026-02-10</v>
                </pt>
                <pt idx="10">
                  <v>2026-02-13</v>
                </pt>
                <pt idx="11">
                  <v>2026-02-15</v>
                </pt>
                <pt idx="12">
                  <v>2026-02-17</v>
                </pt>
                <pt idx="13">
                  <v>2026-02-20</v>
                </pt>
                <pt idx="14">
                  <v>2026-02-21</v>
                </pt>
                <pt idx="15">
                  <v>2026-02-22</v>
                </pt>
                <pt idx="16">
                  <v>2026-02-27</v>
                </pt>
                <pt idx="17">
                  <v>2026-04-05</v>
                </pt>
                <pt idx="18">
                  <v>2026-04-13</v>
                </pt>
                <pt idx="19">
                  <v>2026-04-15</v>
                </pt>
                <pt idx="20">
                  <v>2026-04-16</v>
                </pt>
                <pt idx="21">
                  <v>2026-04-17</v>
                </pt>
                <pt idx="22">
                  <v>2026-04-19</v>
                </pt>
                <pt idx="23">
                  <v>2026-04-22</v>
                </pt>
                <pt idx="24">
                  <v>2026-04-28</v>
                </pt>
                <pt idx="25">
                  <v>2026-04-30</v>
                </pt>
                <pt idx="26">
                  <v>2026-05-03</v>
                </pt>
                <pt idx="27">
                  <v>2026-05-09</v>
                </pt>
                <pt idx="28">
                  <v>2026-05-12</v>
                </pt>
                <pt idx="29">
                  <v>2026-05-14</v>
                </pt>
                <pt idx="30">
                  <v>2026-05-15</v>
                </pt>
                <pt idx="31">
                  <v>2026-05-17</v>
                </pt>
                <pt idx="32">
                  <v>2026-05-22</v>
                </pt>
                <pt idx="33">
                  <v>2026-05-23</v>
                </pt>
                <pt idx="34">
                  <v>2026-05-30</v>
                </pt>
                <pt idx="35">
                  <v>2026-06-04</v>
                </pt>
                <pt idx="36">
                  <v>2026-06-07</v>
                </pt>
                <pt idx="37">
                  <v>2026-06-11</v>
                </pt>
                <pt idx="38">
                  <v>2026-06-12</v>
                </pt>
                <pt idx="39">
                  <v>2026-06-16</v>
                </pt>
                <pt idx="40">
                  <v>2026-06-18</v>
                </pt>
                <pt idx="41">
                  <v>2026-06-23</v>
                </pt>
                <pt idx="42">
                  <v>2026-06-25</v>
                </pt>
                <pt idx="43">
                  <v>2026-06-28</v>
                </pt>
                <pt idx="44">
                  <v>2026-07-09</v>
                </pt>
                <pt idx="45">
                  <v>2026-07-10</v>
                </pt>
                <pt idx="46">
                  <v>2026-07-14</v>
                </pt>
                <pt idx="47">
                  <v>2026-07-16</v>
                </pt>
                <pt idx="48">
                  <v>2026-07-18</v>
                </pt>
                <pt idx="49">
                  <v>2026-07-19</v>
                </pt>
                <pt idx="50">
                  <v>2026-07-21</v>
                </pt>
              </strCache>
            </strRef>
          </cat>
          <val>
            <numRef>
              <f>Progress!$B$2:$B$52</f>
              <numCache>
                <formatCode>General</formatCode>
                <ptCount val="51"/>
                <pt idx="1">
                  <v>30</v>
                </pt>
                <pt idx="5">
                  <v>35</v>
                </pt>
                <pt idx="13">
                  <v>30</v>
                </pt>
                <pt idx="15">
                  <v>30</v>
                </pt>
                <pt idx="16">
                  <v>35</v>
                </pt>
                <pt idx="17">
                  <v>30</v>
                </pt>
                <pt idx="19">
                  <v>35</v>
                </pt>
                <pt idx="22">
                  <v>35</v>
                </pt>
                <pt idx="26">
                  <v>30</v>
                </pt>
                <pt idx="28">
                  <v>35</v>
                </pt>
                <pt idx="30">
                  <v>35</v>
                </pt>
                <pt idx="32">
                  <v>30</v>
                </pt>
                <pt idx="35">
                  <v>30</v>
                </pt>
                <pt idx="38">
                  <v>35</v>
                </pt>
                <pt idx="39">
                  <v>25</v>
                </pt>
                <pt idx="42">
                  <v>35</v>
                </pt>
                <pt idx="44">
                  <v>30</v>
                </pt>
                <pt idx="47">
                  <v>30</v>
                </pt>
                <pt idx="50">
                  <v>35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8733599"/>
        <axId val="50582877"/>
      </lineChart>
      <catAx>
        <axId val="68733599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Session date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yyyy\-mm\-dd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582877"/>
        <crosses val="autoZero"/>
        <auto val="1"/>
        <lblAlgn val="ctr"/>
        <lblOffset val="100"/>
        <noMultiLvlLbl val="0"/>
      </catAx>
      <valAx>
        <axId val="5058287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lbs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8733599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RDLs (lbs)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Progress!I1</f>
              <strCache>
                <ptCount val="1"/>
                <pt idx="0">
                  <v>RDLs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4752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Progress!$A$2:$A$52</f>
              <strCache>
                <ptCount val="51"/>
                <pt idx="0">
                  <v>2026-01-17</v>
                </pt>
                <pt idx="1">
                  <v>2026-01-20</v>
                </pt>
                <pt idx="2">
                  <v>2026-01-22</v>
                </pt>
                <pt idx="3">
                  <v>2026-01-23</v>
                </pt>
                <pt idx="4">
                  <v>2026-01-25</v>
                </pt>
                <pt idx="5">
                  <v>2026-01-27</v>
                </pt>
                <pt idx="6">
                  <v>2026-01-29</v>
                </pt>
                <pt idx="7">
                  <v>2026-02-07</v>
                </pt>
                <pt idx="8">
                  <v>2026-02-09</v>
                </pt>
                <pt idx="9">
                  <v>2026-02-10</v>
                </pt>
                <pt idx="10">
                  <v>2026-02-13</v>
                </pt>
                <pt idx="11">
                  <v>2026-02-15</v>
                </pt>
                <pt idx="12">
                  <v>2026-02-17</v>
                </pt>
                <pt idx="13">
                  <v>2026-02-20</v>
                </pt>
                <pt idx="14">
                  <v>2026-02-21</v>
                </pt>
                <pt idx="15">
                  <v>2026-02-22</v>
                </pt>
                <pt idx="16">
                  <v>2026-02-27</v>
                </pt>
                <pt idx="17">
                  <v>2026-04-05</v>
                </pt>
                <pt idx="18">
                  <v>2026-04-13</v>
                </pt>
                <pt idx="19">
                  <v>2026-04-15</v>
                </pt>
                <pt idx="20">
                  <v>2026-04-16</v>
                </pt>
                <pt idx="21">
                  <v>2026-04-17</v>
                </pt>
                <pt idx="22">
                  <v>2026-04-19</v>
                </pt>
                <pt idx="23">
                  <v>2026-04-22</v>
                </pt>
                <pt idx="24">
                  <v>2026-04-28</v>
                </pt>
                <pt idx="25">
                  <v>2026-04-30</v>
                </pt>
                <pt idx="26">
                  <v>2026-05-03</v>
                </pt>
                <pt idx="27">
                  <v>2026-05-09</v>
                </pt>
                <pt idx="28">
                  <v>2026-05-12</v>
                </pt>
                <pt idx="29">
                  <v>2026-05-14</v>
                </pt>
                <pt idx="30">
                  <v>2026-05-15</v>
                </pt>
                <pt idx="31">
                  <v>2026-05-17</v>
                </pt>
                <pt idx="32">
                  <v>2026-05-22</v>
                </pt>
                <pt idx="33">
                  <v>2026-05-23</v>
                </pt>
                <pt idx="34">
                  <v>2026-05-30</v>
                </pt>
                <pt idx="35">
                  <v>2026-06-04</v>
                </pt>
                <pt idx="36">
                  <v>2026-06-07</v>
                </pt>
                <pt idx="37">
                  <v>2026-06-11</v>
                </pt>
                <pt idx="38">
                  <v>2026-06-12</v>
                </pt>
                <pt idx="39">
                  <v>2026-06-16</v>
                </pt>
                <pt idx="40">
                  <v>2026-06-18</v>
                </pt>
                <pt idx="41">
                  <v>2026-06-23</v>
                </pt>
                <pt idx="42">
                  <v>2026-06-25</v>
                </pt>
                <pt idx="43">
                  <v>2026-06-28</v>
                </pt>
                <pt idx="44">
                  <v>2026-07-09</v>
                </pt>
                <pt idx="45">
                  <v>2026-07-10</v>
                </pt>
                <pt idx="46">
                  <v>2026-07-14</v>
                </pt>
                <pt idx="47">
                  <v>2026-07-16</v>
                </pt>
                <pt idx="48">
                  <v>2026-07-18</v>
                </pt>
                <pt idx="49">
                  <v>2026-07-19</v>
                </pt>
                <pt idx="50">
                  <v>2026-07-21</v>
                </pt>
              </strCache>
            </strRef>
          </cat>
          <val>
            <numRef>
              <f>Progress!$I$2:$I$52</f>
              <numCache>
                <formatCode>General</formatCode>
                <ptCount val="51"/>
                <pt idx="0">
                  <v>20</v>
                </pt>
                <pt idx="3">
                  <v>30</v>
                </pt>
                <pt idx="6">
                  <v>45</v>
                </pt>
                <pt idx="9">
                  <v>50</v>
                </pt>
                <pt idx="12">
                  <v>55</v>
                </pt>
                <pt idx="38">
                  <v>40</v>
                </pt>
                <pt idx="40">
                  <v>35</v>
                </pt>
                <pt idx="43">
                  <v>50</v>
                </pt>
                <pt idx="45">
                  <v>50</v>
                </pt>
                <pt idx="48">
                  <v>55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86179900"/>
        <axId val="75815922"/>
      </lineChart>
      <catAx>
        <axId val="86179900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Session date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yyyy\-mm\-dd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5815922"/>
        <crosses val="autoZero"/>
        <auto val="1"/>
        <lblAlgn val="ctr"/>
        <lblOffset val="100"/>
        <noMultiLvlLbl val="0"/>
      </catAx>
      <valAx>
        <axId val="7581592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lbs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6179900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Bicep Curls (DB) (lbs)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Progress!F1</f>
              <strCache>
                <ptCount val="1"/>
                <pt idx="0">
                  <v>Bicep Curls (DB)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4752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Progress!$A$2:$A$52</f>
              <strCache>
                <ptCount val="51"/>
                <pt idx="0">
                  <v>2026-01-17</v>
                </pt>
                <pt idx="1">
                  <v>2026-01-20</v>
                </pt>
                <pt idx="2">
                  <v>2026-01-22</v>
                </pt>
                <pt idx="3">
                  <v>2026-01-23</v>
                </pt>
                <pt idx="4">
                  <v>2026-01-25</v>
                </pt>
                <pt idx="5">
                  <v>2026-01-27</v>
                </pt>
                <pt idx="6">
                  <v>2026-01-29</v>
                </pt>
                <pt idx="7">
                  <v>2026-02-07</v>
                </pt>
                <pt idx="8">
                  <v>2026-02-09</v>
                </pt>
                <pt idx="9">
                  <v>2026-02-10</v>
                </pt>
                <pt idx="10">
                  <v>2026-02-13</v>
                </pt>
                <pt idx="11">
                  <v>2026-02-15</v>
                </pt>
                <pt idx="12">
                  <v>2026-02-17</v>
                </pt>
                <pt idx="13">
                  <v>2026-02-20</v>
                </pt>
                <pt idx="14">
                  <v>2026-02-21</v>
                </pt>
                <pt idx="15">
                  <v>2026-02-22</v>
                </pt>
                <pt idx="16">
                  <v>2026-02-27</v>
                </pt>
                <pt idx="17">
                  <v>2026-04-05</v>
                </pt>
                <pt idx="18">
                  <v>2026-04-13</v>
                </pt>
                <pt idx="19">
                  <v>2026-04-15</v>
                </pt>
                <pt idx="20">
                  <v>2026-04-16</v>
                </pt>
                <pt idx="21">
                  <v>2026-04-17</v>
                </pt>
                <pt idx="22">
                  <v>2026-04-19</v>
                </pt>
                <pt idx="23">
                  <v>2026-04-22</v>
                </pt>
                <pt idx="24">
                  <v>2026-04-28</v>
                </pt>
                <pt idx="25">
                  <v>2026-04-30</v>
                </pt>
                <pt idx="26">
                  <v>2026-05-03</v>
                </pt>
                <pt idx="27">
                  <v>2026-05-09</v>
                </pt>
                <pt idx="28">
                  <v>2026-05-12</v>
                </pt>
                <pt idx="29">
                  <v>2026-05-14</v>
                </pt>
                <pt idx="30">
                  <v>2026-05-15</v>
                </pt>
                <pt idx="31">
                  <v>2026-05-17</v>
                </pt>
                <pt idx="32">
                  <v>2026-05-22</v>
                </pt>
                <pt idx="33">
                  <v>2026-05-23</v>
                </pt>
                <pt idx="34">
                  <v>2026-05-30</v>
                </pt>
                <pt idx="35">
                  <v>2026-06-04</v>
                </pt>
                <pt idx="36">
                  <v>2026-06-07</v>
                </pt>
                <pt idx="37">
                  <v>2026-06-11</v>
                </pt>
                <pt idx="38">
                  <v>2026-06-12</v>
                </pt>
                <pt idx="39">
                  <v>2026-06-16</v>
                </pt>
                <pt idx="40">
                  <v>2026-06-18</v>
                </pt>
                <pt idx="41">
                  <v>2026-06-23</v>
                </pt>
                <pt idx="42">
                  <v>2026-06-25</v>
                </pt>
                <pt idx="43">
                  <v>2026-06-28</v>
                </pt>
                <pt idx="44">
                  <v>2026-07-09</v>
                </pt>
                <pt idx="45">
                  <v>2026-07-10</v>
                </pt>
                <pt idx="46">
                  <v>2026-07-14</v>
                </pt>
                <pt idx="47">
                  <v>2026-07-16</v>
                </pt>
                <pt idx="48">
                  <v>2026-07-18</v>
                </pt>
                <pt idx="49">
                  <v>2026-07-19</v>
                </pt>
                <pt idx="50">
                  <v>2026-07-21</v>
                </pt>
              </strCache>
            </strRef>
          </cat>
          <val>
            <numRef>
              <f>Progress!$F$2:$F$52</f>
              <numCache>
                <formatCode>General</formatCode>
                <ptCount val="51"/>
                <pt idx="1">
                  <v>25</v>
                </pt>
                <pt idx="2">
                  <v>30</v>
                </pt>
                <pt idx="8">
                  <v>30</v>
                </pt>
                <pt idx="14">
                  <v>25</v>
                </pt>
                <pt idx="15">
                  <v>25</v>
                </pt>
                <pt idx="16">
                  <v>30</v>
                </pt>
                <pt idx="20">
                  <v>25</v>
                </pt>
                <pt idx="25">
                  <v>30</v>
                </pt>
                <pt idx="27">
                  <v>25</v>
                </pt>
                <pt idx="31">
                  <v>30</v>
                </pt>
                <pt idx="33">
                  <v>30</v>
                </pt>
                <pt idx="41">
                  <v>25</v>
                </pt>
                <pt idx="45">
                  <v>25</v>
                </pt>
                <pt idx="46">
                  <v>30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5159685"/>
        <axId val="34616731"/>
      </lineChart>
      <catAx>
        <axId val="6515968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Session date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yyyy\-mm\-dd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4616731"/>
        <crosses val="autoZero"/>
        <auto val="1"/>
        <lblAlgn val="ctr"/>
        <lblOffset val="100"/>
        <noMultiLvlLbl val="0"/>
      </catAx>
      <valAx>
        <axId val="3461673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lbs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5159685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Tricep Ext Overhead (lbs)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Progress!D1</f>
              <strCache>
                <ptCount val="1"/>
                <pt idx="0">
                  <v>Tricep Ext Overhead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4752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Progress!$A$2:$A$52</f>
              <strCache>
                <ptCount val="51"/>
                <pt idx="0">
                  <v>2026-01-17</v>
                </pt>
                <pt idx="1">
                  <v>2026-01-20</v>
                </pt>
                <pt idx="2">
                  <v>2026-01-22</v>
                </pt>
                <pt idx="3">
                  <v>2026-01-23</v>
                </pt>
                <pt idx="4">
                  <v>2026-01-25</v>
                </pt>
                <pt idx="5">
                  <v>2026-01-27</v>
                </pt>
                <pt idx="6">
                  <v>2026-01-29</v>
                </pt>
                <pt idx="7">
                  <v>2026-02-07</v>
                </pt>
                <pt idx="8">
                  <v>2026-02-09</v>
                </pt>
                <pt idx="9">
                  <v>2026-02-10</v>
                </pt>
                <pt idx="10">
                  <v>2026-02-13</v>
                </pt>
                <pt idx="11">
                  <v>2026-02-15</v>
                </pt>
                <pt idx="12">
                  <v>2026-02-17</v>
                </pt>
                <pt idx="13">
                  <v>2026-02-20</v>
                </pt>
                <pt idx="14">
                  <v>2026-02-21</v>
                </pt>
                <pt idx="15">
                  <v>2026-02-22</v>
                </pt>
                <pt idx="16">
                  <v>2026-02-27</v>
                </pt>
                <pt idx="17">
                  <v>2026-04-05</v>
                </pt>
                <pt idx="18">
                  <v>2026-04-13</v>
                </pt>
                <pt idx="19">
                  <v>2026-04-15</v>
                </pt>
                <pt idx="20">
                  <v>2026-04-16</v>
                </pt>
                <pt idx="21">
                  <v>2026-04-17</v>
                </pt>
                <pt idx="22">
                  <v>2026-04-19</v>
                </pt>
                <pt idx="23">
                  <v>2026-04-22</v>
                </pt>
                <pt idx="24">
                  <v>2026-04-28</v>
                </pt>
                <pt idx="25">
                  <v>2026-04-30</v>
                </pt>
                <pt idx="26">
                  <v>2026-05-03</v>
                </pt>
                <pt idx="27">
                  <v>2026-05-09</v>
                </pt>
                <pt idx="28">
                  <v>2026-05-12</v>
                </pt>
                <pt idx="29">
                  <v>2026-05-14</v>
                </pt>
                <pt idx="30">
                  <v>2026-05-15</v>
                </pt>
                <pt idx="31">
                  <v>2026-05-17</v>
                </pt>
                <pt idx="32">
                  <v>2026-05-22</v>
                </pt>
                <pt idx="33">
                  <v>2026-05-23</v>
                </pt>
                <pt idx="34">
                  <v>2026-05-30</v>
                </pt>
                <pt idx="35">
                  <v>2026-06-04</v>
                </pt>
                <pt idx="36">
                  <v>2026-06-07</v>
                </pt>
                <pt idx="37">
                  <v>2026-06-11</v>
                </pt>
                <pt idx="38">
                  <v>2026-06-12</v>
                </pt>
                <pt idx="39">
                  <v>2026-06-16</v>
                </pt>
                <pt idx="40">
                  <v>2026-06-18</v>
                </pt>
                <pt idx="41">
                  <v>2026-06-23</v>
                </pt>
                <pt idx="42">
                  <v>2026-06-25</v>
                </pt>
                <pt idx="43">
                  <v>2026-06-28</v>
                </pt>
                <pt idx="44">
                  <v>2026-07-09</v>
                </pt>
                <pt idx="45">
                  <v>2026-07-10</v>
                </pt>
                <pt idx="46">
                  <v>2026-07-14</v>
                </pt>
                <pt idx="47">
                  <v>2026-07-16</v>
                </pt>
                <pt idx="48">
                  <v>2026-07-18</v>
                </pt>
                <pt idx="49">
                  <v>2026-07-19</v>
                </pt>
                <pt idx="50">
                  <v>2026-07-21</v>
                </pt>
              </strCache>
            </strRef>
          </cat>
          <val>
            <numRef>
              <f>Progress!$D$2:$D$52</f>
              <numCache>
                <formatCode>General</formatCode>
                <ptCount val="51"/>
                <pt idx="2">
                  <v>50</v>
                </pt>
                <pt idx="4">
                  <v>50</v>
                </pt>
                <pt idx="8">
                  <v>45</v>
                </pt>
                <pt idx="15">
                  <v>45</v>
                </pt>
                <pt idx="17">
                  <v>50</v>
                </pt>
                <pt idx="19">
                  <v>45</v>
                </pt>
                <pt idx="20">
                  <v>45</v>
                </pt>
                <pt idx="22">
                  <v>50</v>
                </pt>
                <pt idx="24">
                  <v>45</v>
                </pt>
                <pt idx="26">
                  <v>45</v>
                </pt>
                <pt idx="28">
                  <v>50</v>
                </pt>
                <pt idx="30">
                  <v>50</v>
                </pt>
                <pt idx="38">
                  <v>50</v>
                </pt>
                <pt idx="39">
                  <v>50</v>
                </pt>
                <pt idx="42">
                  <v>45</v>
                </pt>
                <pt idx="44">
                  <v>40</v>
                </pt>
                <pt idx="47">
                  <v>50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35365939"/>
        <axId val="1428403"/>
      </lineChart>
      <catAx>
        <axId val="35365939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Session date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yyyy\-mm\-dd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428403"/>
        <crosses val="autoZero"/>
        <auto val="1"/>
        <lblAlgn val="ctr"/>
        <lblOffset val="100"/>
        <noMultiLvlLbl val="0"/>
      </catAx>
      <valAx>
        <axId val="142840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lbs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5365939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Incline Bench (DB) (lbs)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Progress!O1</f>
              <strCache>
                <ptCount val="1"/>
                <pt idx="0">
                  <v>Incline Bench (DB)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4752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Progress!$A$2:$A$52</f>
              <strCache>
                <ptCount val="51"/>
                <pt idx="0">
                  <v>2026-01-17</v>
                </pt>
                <pt idx="1">
                  <v>2026-01-20</v>
                </pt>
                <pt idx="2">
                  <v>2026-01-22</v>
                </pt>
                <pt idx="3">
                  <v>2026-01-23</v>
                </pt>
                <pt idx="4">
                  <v>2026-01-25</v>
                </pt>
                <pt idx="5">
                  <v>2026-01-27</v>
                </pt>
                <pt idx="6">
                  <v>2026-01-29</v>
                </pt>
                <pt idx="7">
                  <v>2026-02-07</v>
                </pt>
                <pt idx="8">
                  <v>2026-02-09</v>
                </pt>
                <pt idx="9">
                  <v>2026-02-10</v>
                </pt>
                <pt idx="10">
                  <v>2026-02-13</v>
                </pt>
                <pt idx="11">
                  <v>2026-02-15</v>
                </pt>
                <pt idx="12">
                  <v>2026-02-17</v>
                </pt>
                <pt idx="13">
                  <v>2026-02-20</v>
                </pt>
                <pt idx="14">
                  <v>2026-02-21</v>
                </pt>
                <pt idx="15">
                  <v>2026-02-22</v>
                </pt>
                <pt idx="16">
                  <v>2026-02-27</v>
                </pt>
                <pt idx="17">
                  <v>2026-04-05</v>
                </pt>
                <pt idx="18">
                  <v>2026-04-13</v>
                </pt>
                <pt idx="19">
                  <v>2026-04-15</v>
                </pt>
                <pt idx="20">
                  <v>2026-04-16</v>
                </pt>
                <pt idx="21">
                  <v>2026-04-17</v>
                </pt>
                <pt idx="22">
                  <v>2026-04-19</v>
                </pt>
                <pt idx="23">
                  <v>2026-04-22</v>
                </pt>
                <pt idx="24">
                  <v>2026-04-28</v>
                </pt>
                <pt idx="25">
                  <v>2026-04-30</v>
                </pt>
                <pt idx="26">
                  <v>2026-05-03</v>
                </pt>
                <pt idx="27">
                  <v>2026-05-09</v>
                </pt>
                <pt idx="28">
                  <v>2026-05-12</v>
                </pt>
                <pt idx="29">
                  <v>2026-05-14</v>
                </pt>
                <pt idx="30">
                  <v>2026-05-15</v>
                </pt>
                <pt idx="31">
                  <v>2026-05-17</v>
                </pt>
                <pt idx="32">
                  <v>2026-05-22</v>
                </pt>
                <pt idx="33">
                  <v>2026-05-23</v>
                </pt>
                <pt idx="34">
                  <v>2026-05-30</v>
                </pt>
                <pt idx="35">
                  <v>2026-06-04</v>
                </pt>
                <pt idx="36">
                  <v>2026-06-07</v>
                </pt>
                <pt idx="37">
                  <v>2026-06-11</v>
                </pt>
                <pt idx="38">
                  <v>2026-06-12</v>
                </pt>
                <pt idx="39">
                  <v>2026-06-16</v>
                </pt>
                <pt idx="40">
                  <v>2026-06-18</v>
                </pt>
                <pt idx="41">
                  <v>2026-06-23</v>
                </pt>
                <pt idx="42">
                  <v>2026-06-25</v>
                </pt>
                <pt idx="43">
                  <v>2026-06-28</v>
                </pt>
                <pt idx="44">
                  <v>2026-07-09</v>
                </pt>
                <pt idx="45">
                  <v>2026-07-10</v>
                </pt>
                <pt idx="46">
                  <v>2026-07-14</v>
                </pt>
                <pt idx="47">
                  <v>2026-07-16</v>
                </pt>
                <pt idx="48">
                  <v>2026-07-18</v>
                </pt>
                <pt idx="49">
                  <v>2026-07-19</v>
                </pt>
                <pt idx="50">
                  <v>2026-07-21</v>
                </pt>
              </strCache>
            </strRef>
          </cat>
          <val>
            <numRef>
              <f>Progress!$O$2:$O$52</f>
              <numCache>
                <formatCode>General</formatCode>
                <ptCount val="51"/>
                <pt idx="17">
                  <v>30</v>
                </pt>
                <pt idx="22">
                  <v>35</v>
                </pt>
                <pt idx="24">
                  <v>40</v>
                </pt>
                <pt idx="26">
                  <v>40</v>
                </pt>
                <pt idx="47">
                  <v>40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59355780"/>
        <axId val="91458260"/>
      </lineChart>
      <catAx>
        <axId val="59355780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Session date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yyyy\-mm\-dd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1458260"/>
        <crosses val="autoZero"/>
        <auto val="1"/>
        <lblAlgn val="ctr"/>
        <lblOffset val="100"/>
        <noMultiLvlLbl val="0"/>
      </catAx>
      <valAx>
        <axId val="9145826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lbs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9355780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Cardio calories per bout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Cardio!H1</f>
              <strCache>
                <ptCount val="1"/>
                <pt idx="0">
                  <v>Calories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4752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Cardio!$A$2:$A$58</f>
              <strCache>
                <ptCount val="57"/>
                <pt idx="0">
                  <v>2026-01-16</v>
                </pt>
                <pt idx="1">
                  <v>2026-01-20</v>
                </pt>
                <pt idx="2">
                  <v>2026-01-23</v>
                </pt>
                <pt idx="3">
                  <v>2026-01-25</v>
                </pt>
                <pt idx="4">
                  <v>2026-01-29</v>
                </pt>
                <pt idx="5">
                  <v>2026-02-07</v>
                </pt>
                <pt idx="6">
                  <v>2026-02-09</v>
                </pt>
                <pt idx="7">
                  <v>2026-02-10</v>
                </pt>
                <pt idx="8">
                  <v>2026-02-21</v>
                </pt>
                <pt idx="9">
                  <v>2026-04-05</v>
                </pt>
                <pt idx="10">
                  <v>2026-04-07</v>
                </pt>
                <pt idx="11">
                  <v>2026-04-13</v>
                </pt>
                <pt idx="12">
                  <v>2026-04-15</v>
                </pt>
                <pt idx="13">
                  <v>2026-04-17</v>
                </pt>
                <pt idx="14">
                  <v>2026-04-19</v>
                </pt>
                <pt idx="15">
                  <v>2026-04-22</v>
                </pt>
                <pt idx="16">
                  <v>2026-04-28</v>
                </pt>
                <pt idx="17">
                  <v>2026-04-28</v>
                </pt>
                <pt idx="18">
                  <v>2026-04-30</v>
                </pt>
                <pt idx="19">
                  <v>2026-05-03</v>
                </pt>
                <pt idx="20">
                  <v>2026-05-03</v>
                </pt>
                <pt idx="21">
                  <v>2026-05-03</v>
                </pt>
                <pt idx="22">
                  <v>2026-05-03</v>
                </pt>
                <pt idx="23">
                  <v>2026-05-12</v>
                </pt>
                <pt idx="24">
                  <v>2026-05-14</v>
                </pt>
                <pt idx="25">
                  <v>2026-05-15</v>
                </pt>
                <pt idx="26">
                  <v>2026-05-19</v>
                </pt>
                <pt idx="27">
                  <v>2026-05-22</v>
                </pt>
                <pt idx="28">
                  <v>2026-05-23</v>
                </pt>
                <pt idx="29">
                  <v>2026-05-23</v>
                </pt>
                <pt idx="30">
                  <v>2026-05-25</v>
                </pt>
                <pt idx="31">
                  <v>2026-05-25</v>
                </pt>
                <pt idx="32">
                  <v>2026-05-28</v>
                </pt>
                <pt idx="33">
                  <v>2026-05-28</v>
                </pt>
                <pt idx="34">
                  <v>2026-05-29</v>
                </pt>
                <pt idx="35">
                  <v>2026-05-30</v>
                </pt>
                <pt idx="36">
                  <v>2026-06-07</v>
                </pt>
                <pt idx="37">
                  <v>2026-06-08</v>
                </pt>
                <pt idx="38">
                  <v>2026-06-09</v>
                </pt>
                <pt idx="39">
                  <v>2026-06-09</v>
                </pt>
                <pt idx="40">
                  <v>2026-06-11</v>
                </pt>
                <pt idx="41">
                  <v>2026-06-12</v>
                </pt>
                <pt idx="42">
                  <v>2026-06-16</v>
                </pt>
                <pt idx="43">
                  <v>2026-06-18</v>
                </pt>
                <pt idx="44">
                  <v>2026-06-23</v>
                </pt>
                <pt idx="45">
                  <v>2026-06-25</v>
                </pt>
                <pt idx="46">
                  <v>2026-06-28</v>
                </pt>
                <pt idx="47">
                  <v>2026-07-09</v>
                </pt>
                <pt idx="48">
                  <v>2026-07-10</v>
                </pt>
                <pt idx="49">
                  <v>2026-07-14</v>
                </pt>
                <pt idx="50">
                  <v>2026-07-14</v>
                </pt>
                <pt idx="51">
                  <v>2026-07-16</v>
                </pt>
                <pt idx="52">
                  <v>2026-07-17</v>
                </pt>
                <pt idx="53">
                  <v>2026-07-18</v>
                </pt>
                <pt idx="54">
                  <v>2026-07-19</v>
                </pt>
                <pt idx="55">
                  <v>2026-07-19</v>
                </pt>
                <pt idx="56">
                  <v>2026-07-21</v>
                </pt>
              </strCache>
            </strRef>
          </cat>
          <val>
            <numRef>
              <f>Cardio!$H$2:$H$58</f>
              <numCache>
                <formatCode>General</formatCode>
                <ptCount val="57"/>
                <pt idx="9">
                  <v>136</v>
                </pt>
                <pt idx="10">
                  <v>245</v>
                </pt>
                <pt idx="11">
                  <v>133</v>
                </pt>
                <pt idx="12">
                  <v>198</v>
                </pt>
                <pt idx="13">
                  <v>303</v>
                </pt>
                <pt idx="14">
                  <v>168</v>
                </pt>
                <pt idx="15">
                  <v>120</v>
                </pt>
                <pt idx="16">
                  <v>211</v>
                </pt>
                <pt idx="18">
                  <v>216</v>
                </pt>
                <pt idx="19">
                  <v>95</v>
                </pt>
                <pt idx="23">
                  <v>259</v>
                </pt>
                <pt idx="24">
                  <v>369</v>
                </pt>
                <pt idx="25">
                  <v>224</v>
                </pt>
                <pt idx="26">
                  <v>279</v>
                </pt>
                <pt idx="27">
                  <v>266</v>
                </pt>
                <pt idx="28">
                  <v>124</v>
                </pt>
                <pt idx="29">
                  <v>112</v>
                </pt>
                <pt idx="30">
                  <v>177</v>
                </pt>
                <pt idx="31">
                  <v>133</v>
                </pt>
                <pt idx="32">
                  <v>127</v>
                </pt>
                <pt idx="33">
                  <v>144</v>
                </pt>
                <pt idx="34">
                  <v>274</v>
                </pt>
                <pt idx="35">
                  <v>148</v>
                </pt>
                <pt idx="38">
                  <v>235</v>
                </pt>
                <pt idx="39">
                  <v>123</v>
                </pt>
                <pt idx="40">
                  <v>281</v>
                </pt>
                <pt idx="41">
                  <v>186</v>
                </pt>
                <pt idx="42">
                  <v>305</v>
                </pt>
                <pt idx="43">
                  <v>204</v>
                </pt>
                <pt idx="44">
                  <v>302</v>
                </pt>
                <pt idx="45">
                  <v>315</v>
                </pt>
                <pt idx="46">
                  <v>98</v>
                </pt>
                <pt idx="47">
                  <v>225</v>
                </pt>
                <pt idx="48">
                  <v>144</v>
                </pt>
                <pt idx="49">
                  <v>164</v>
                </pt>
                <pt idx="50">
                  <v>179</v>
                </pt>
                <pt idx="51">
                  <v>330</v>
                </pt>
                <pt idx="53">
                  <v>126</v>
                </pt>
                <pt idx="54">
                  <v>202</v>
                </pt>
                <pt idx="55">
                  <v>106</v>
                </pt>
                <pt idx="56">
                  <v>222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7520991"/>
        <axId val="83646471"/>
      </lineChart>
      <catAx>
        <axId val="7520991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yyyy\-mm\-dd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3646471"/>
        <crosses val="autoZero"/>
        <auto val="1"/>
        <lblAlgn val="ctr"/>
        <lblOffset val="100"/>
        <noMultiLvlLbl val="0"/>
      </catAx>
      <valAx>
        <axId val="8364647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Calories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52099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</row>
      <rowOff>160920</rowOff>
    </from>
    <to>
      <col>8</col>
      <colOff>507600</colOff>
      <row>17</row>
      <rowOff>2880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9</col>
      <colOff>0</colOff>
      <row>2</row>
      <rowOff>160920</rowOff>
    </from>
    <to>
      <col>17</col>
      <colOff>507600</colOff>
      <row>17</row>
      <rowOff>2880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17</row>
      <rowOff>160560</rowOff>
    </from>
    <to>
      <col>8</col>
      <colOff>507600</colOff>
      <row>32</row>
      <rowOff>2880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9</col>
      <colOff>0</colOff>
      <row>17</row>
      <rowOff>160560</rowOff>
    </from>
    <to>
      <col>17</col>
      <colOff>507600</colOff>
      <row>32</row>
      <rowOff>2880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0</col>
      <colOff>0</colOff>
      <row>32</row>
      <rowOff>160920</rowOff>
    </from>
    <to>
      <col>8</col>
      <colOff>507600</colOff>
      <row>47</row>
      <rowOff>2880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9</col>
      <colOff>0</colOff>
      <row>32</row>
      <rowOff>160920</rowOff>
    </from>
    <to>
      <col>17</col>
      <colOff>507600</colOff>
      <row>47</row>
      <rowOff>2880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 editAs="oneCell">
    <from>
      <col>0</col>
      <colOff>0</colOff>
      <row>47</row>
      <rowOff>160560</rowOff>
    </from>
    <to>
      <col>8</col>
      <colOff>507600</colOff>
      <row>62</row>
      <rowOff>2880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 editAs="oneCell">
    <from>
      <col>9</col>
      <colOff>0</colOff>
      <row>47</row>
      <rowOff>160560</rowOff>
    </from>
    <to>
      <col>17</col>
      <colOff>507600</colOff>
      <row>62</row>
      <rowOff>2880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 editAs="oneCell">
    <from>
      <col>0</col>
      <colOff>0</colOff>
      <row>62</row>
      <rowOff>160920</rowOff>
    </from>
    <to>
      <col>8</col>
      <colOff>507600</colOff>
      <row>77</row>
      <rowOff>2880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21" min="1" max="1"/>
    <col width="95" customWidth="1" style="21" min="2" max="2"/>
    <col width="12" customWidth="1" style="21" min="3" max="13"/>
  </cols>
  <sheetData>
    <row r="1" ht="17.35" customHeight="1" s="22">
      <c r="A1" s="23" t="inlineStr">
        <is>
          <t>PELOBROSSSSS - WORKOUT TRACKER</t>
        </is>
      </c>
    </row>
    <row r="2" ht="15" customHeight="1" s="22">
      <c r="A2" s="24" t="inlineStr">
        <is>
          <t>Complete training log, January 16 - July 21, 2026</t>
        </is>
      </c>
    </row>
    <row r="3" ht="15" customHeight="1" s="22">
      <c r="A3" s="25" t="n"/>
      <c r="B3" s="26" t="n"/>
    </row>
    <row r="4" ht="15" customHeight="1" s="22">
      <c r="A4" s="27" t="inlineStr">
        <is>
          <t>WHAT'S IN HERE</t>
        </is>
      </c>
    </row>
    <row r="5" ht="15" customHeight="1" s="22">
      <c r="A5" s="25" t="inlineStr">
        <is>
          <t>Sets</t>
        </is>
      </c>
      <c r="B5" s="26" t="inlineStr">
        <is>
          <t>One row per set lifted. This is the source of truth - everything else reads from it.</t>
        </is>
      </c>
    </row>
    <row r="6" ht="15" customHeight="1" s="22">
      <c r="A6" s="25" t="inlineStr">
        <is>
          <t>Cardio</t>
        </is>
      </c>
      <c r="B6" s="26" t="inlineStr">
        <is>
          <t>One row per cardio bout (elliptical, treadmill, stairs, rowing, runs).</t>
        </is>
      </c>
    </row>
    <row r="7" ht="15" customHeight="1" s="22">
      <c r="A7" s="25" t="inlineStr">
        <is>
          <t>PR Summary</t>
        </is>
      </c>
      <c r="B7" s="26" t="inlineStr">
        <is>
          <t>Auto-calculated best weight, date it was first hit, and most recent performance per exercise.</t>
        </is>
      </c>
    </row>
    <row r="8" ht="15" customHeight="1" s="22">
      <c r="A8" s="25" t="inlineStr">
        <is>
          <t>Progress</t>
        </is>
      </c>
      <c r="B8" s="26" t="inlineStr">
        <is>
          <t>Top working weight per exercise per session. Feeds the charts.</t>
        </is>
      </c>
    </row>
    <row r="9" ht="15" customHeight="1" s="22">
      <c r="A9" s="25" t="inlineStr">
        <is>
          <t>Charts</t>
        </is>
      </c>
      <c r="B9" s="26" t="inlineStr">
        <is>
          <t>Progression lines for the main lifts.</t>
        </is>
      </c>
    </row>
    <row r="10" ht="15" customHeight="1" s="22">
      <c r="A10" s="25" t="n"/>
      <c r="B10" s="26" t="n"/>
    </row>
    <row r="11" ht="15" customHeight="1" s="22">
      <c r="A11" s="27" t="inlineStr">
        <is>
          <t>HOW TO ADD A NEW WORKOUT</t>
        </is>
      </c>
    </row>
    <row r="12" ht="15" customHeight="1" s="22">
      <c r="A12" s="25" t="inlineStr">
        <is>
          <t>1.</t>
        </is>
      </c>
      <c r="B12" s="26" t="inlineStr">
        <is>
          <t>Go to the Sets tab and type new rows directly underneath the last one.</t>
        </is>
      </c>
    </row>
    <row r="13" ht="15" customHeight="1" s="22">
      <c r="A13" s="25" t="inlineStr">
        <is>
          <t>2.</t>
        </is>
      </c>
      <c r="B13" s="26" t="inlineStr">
        <is>
          <t>Add the date to column A of the Progress tab (next empty row) and drag the formulas across.</t>
        </is>
      </c>
    </row>
    <row r="14" ht="15" customHeight="1" s="22">
      <c r="A14" s="25" t="inlineStr">
        <is>
          <t>3.</t>
        </is>
      </c>
      <c r="B14" s="26" t="inlineStr">
        <is>
          <t>Log cardio on the Cardio tab. PR Summary updates itself.</t>
        </is>
      </c>
    </row>
    <row r="15" ht="15" customHeight="1" s="22">
      <c r="A15" s="25" t="n"/>
      <c r="B15" s="26" t="inlineStr">
        <is>
          <t>All formulas are pre-extended to row 2000, so there is room for roughly two more years of logging.</t>
        </is>
      </c>
    </row>
    <row r="16" ht="15" customHeight="1" s="22">
      <c r="A16" s="25" t="n"/>
      <c r="B16" s="26" t="n"/>
    </row>
    <row r="17" ht="15" customHeight="1" s="22">
      <c r="A17" s="27" t="inlineStr">
        <is>
          <t>EXAMPLE ROW (Sets tab) - copy this format</t>
        </is>
      </c>
    </row>
    <row r="18" ht="15" customHeight="1" s="22">
      <c r="A18" s="28" t="inlineStr">
        <is>
          <t>Date</t>
        </is>
      </c>
      <c r="B18" s="28" t="inlineStr">
        <is>
          <t>Day</t>
        </is>
      </c>
      <c r="C18" s="28" t="inlineStr">
        <is>
          <t>Workout Type</t>
        </is>
      </c>
      <c r="D18" s="28" t="inlineStr">
        <is>
          <t>Exercise</t>
        </is>
      </c>
      <c r="E18" s="28" t="inlineStr">
        <is>
          <t>Equipment</t>
        </is>
      </c>
      <c r="F18" s="28" t="inlineStr">
        <is>
          <t>Unit</t>
        </is>
      </c>
      <c r="G18" s="28" t="inlineStr">
        <is>
          <t>Set #</t>
        </is>
      </c>
      <c r="H18" s="28" t="inlineStr">
        <is>
          <t>Weight</t>
        </is>
      </c>
      <c r="I18" s="28" t="inlineStr">
        <is>
          <t>Reps</t>
        </is>
      </c>
      <c r="J18" s="28" t="inlineStr">
        <is>
          <t>Warmup?</t>
        </is>
      </c>
      <c r="K18" s="28" t="inlineStr">
        <is>
          <t>Volume</t>
        </is>
      </c>
      <c r="L18" s="28" t="inlineStr">
        <is>
          <t>Key</t>
        </is>
      </c>
      <c r="M18" s="28" t="inlineStr">
        <is>
          <t>Notes</t>
        </is>
      </c>
    </row>
    <row r="19" ht="15" customHeight="1" s="22">
      <c r="A19" s="29" t="n">
        <v>46226</v>
      </c>
      <c r="B19" s="30" t="inlineStr">
        <is>
          <t>Thu</t>
        </is>
      </c>
      <c r="C19" s="30" t="inlineStr">
        <is>
          <t>Push</t>
        </is>
      </c>
      <c r="D19" s="30" t="inlineStr">
        <is>
          <t>Bench Press</t>
        </is>
      </c>
      <c r="E19" s="30" t="inlineStr">
        <is>
          <t>Smith</t>
        </is>
      </c>
      <c r="F19" s="30" t="inlineStr">
        <is>
          <t>lbs</t>
        </is>
      </c>
      <c r="G19" s="30" t="n">
        <v>4</v>
      </c>
      <c r="H19" s="30" t="n">
        <v>110</v>
      </c>
      <c r="I19" s="30" t="n">
        <v>8</v>
      </c>
      <c r="J19" s="30" t="inlineStr">
        <is>
          <t>N</t>
        </is>
      </c>
      <c r="K19" s="30" t="inlineStr">
        <is>
          <t>(formula)</t>
        </is>
      </c>
      <c r="L19" s="30" t="inlineStr">
        <is>
          <t>(formula)</t>
        </is>
      </c>
      <c r="M19" s="30" t="inlineStr">
        <is>
          <t>felt strong</t>
        </is>
      </c>
    </row>
    <row r="21" ht="15" customHeight="1" s="22">
      <c r="A21" s="27" t="inlineStr">
        <is>
          <t>CONVENTIONS</t>
        </is>
      </c>
    </row>
    <row r="22" ht="15" customHeight="1" s="22">
      <c r="A22" s="25" t="inlineStr">
        <is>
          <t>Weight</t>
        </is>
      </c>
      <c r="B22" s="26" t="inlineStr">
        <is>
          <t>Dumbbell weights are PER HAND. Smith machine and barbell weights are TOTAL.</t>
        </is>
      </c>
    </row>
    <row r="23" ht="15" customHeight="1" s="22">
      <c r="A23" s="25" t="inlineStr">
        <is>
          <t>Unit</t>
        </is>
      </c>
      <c r="B23" s="26" t="inlineStr">
        <is>
          <t>lbs for dumbbells / Smith / machines. kg for the cable stack. BW for bodyweight moves.</t>
        </is>
      </c>
    </row>
    <row r="24" ht="15" customHeight="1" s="22">
      <c r="A24" s="25" t="inlineStr">
        <is>
          <t>Warmup?</t>
        </is>
      </c>
      <c r="B24" s="26" t="inlineStr">
        <is>
          <t>Y = warmup set (excluded from PR and volume calcs). N = working set.</t>
        </is>
      </c>
    </row>
    <row r="25" ht="15" customHeight="1" s="22">
      <c r="A25" s="25" t="inlineStr">
        <is>
          <t>Reps</t>
        </is>
      </c>
      <c r="B25" s="26" t="inlineStr">
        <is>
          <t>Defaults to 8 unless a different number was logged.</t>
        </is>
      </c>
    </row>
    <row r="26" ht="15" customHeight="1" s="22">
      <c r="A26" s="25" t="inlineStr">
        <is>
          <t>Cardio</t>
        </is>
      </c>
      <c r="B26" s="26" t="inlineStr">
        <is>
          <t>All indoor cycling is logged as 'Elliptical' per longstanding preference.</t>
        </is>
      </c>
    </row>
    <row r="27" ht="15" customHeight="1" s="22">
      <c r="A27" s="25" t="inlineStr">
        <is>
          <t>Volume</t>
        </is>
      </c>
      <c r="B27" s="26" t="inlineStr">
        <is>
          <t>Weight x Reps for working sets. For bodyweight moves it just counts reps.</t>
        </is>
      </c>
    </row>
    <row r="28" ht="15" customHeight="1" s="22">
      <c r="A28" s="25" t="n"/>
      <c r="B28" s="26" t="n"/>
    </row>
    <row r="29" ht="15" customHeight="1" s="22">
      <c r="A29" s="27" t="inlineStr">
        <is>
          <t>DATA NOTES</t>
        </is>
      </c>
    </row>
    <row r="30" ht="15" customHeight="1" s="22">
      <c r="A30" s="25" t="inlineStr">
        <is>
          <t>Approximate dates</t>
        </is>
      </c>
      <c r="B30" s="26" t="inlineStr">
        <is>
          <t>A handful of February and early-April sessions were reconstructed from a transfer document</t>
        </is>
      </c>
    </row>
    <row r="31" ht="15" customHeight="1" s="22">
      <c r="A31" s="25" t="n"/>
      <c r="B31" s="26" t="inlineStr">
        <is>
          <t>and carry an estimated date. They are flagged in the Notes column of the Sets tab.</t>
        </is>
      </c>
    </row>
    <row r="32" ht="15" customHeight="1" s="22">
      <c r="A32" s="25" t="inlineStr">
        <is>
          <t>Missing period</t>
        </is>
      </c>
      <c r="B32" s="26" t="inlineStr">
        <is>
          <t>No sessions logged Mar 1 - Apr 4 (knee injury period) or Jun 29 - Jul 8 (vacation).</t>
        </is>
      </c>
    </row>
    <row r="33" ht="15" customHeight="1" s="22">
      <c r="A33" s="25" t="inlineStr">
        <is>
          <t>Partial logs</t>
        </is>
      </c>
      <c r="B33" s="26" t="inlineStr">
        <is>
          <t>Two New Orleans hotel-gym sessions (Jun 7-8) have incomplete weight data.</t>
        </is>
      </c>
    </row>
    <row r="34" ht="15" customHeight="1" s="22">
      <c r="A34" s="25" t="inlineStr">
        <is>
          <t>Source</t>
        </is>
      </c>
      <c r="B34" s="26" t="inlineStr">
        <is>
          <t>All data transcribed from the coaching conversation log.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2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1" min="1" max="1"/>
    <col width="6" customWidth="1" style="21" min="2" max="2"/>
    <col width="18" customWidth="1" style="21" min="3" max="3"/>
    <col width="26" customWidth="1" style="21" min="4" max="4"/>
    <col width="12" customWidth="1" style="21" min="5" max="5"/>
    <col width="7" customWidth="1" style="21" min="6" max="7"/>
    <col width="9" customWidth="1" style="21" min="8" max="8"/>
    <col width="7" customWidth="1" style="21" min="9" max="9"/>
    <col width="10" customWidth="1" style="21" min="10" max="11"/>
    <col width="30" customWidth="1" style="21" min="12" max="12"/>
    <col width="40" customWidth="1" style="21" min="13" max="13"/>
  </cols>
  <sheetData>
    <row r="1" ht="15" customHeight="1" s="22">
      <c r="A1" s="31" t="inlineStr">
        <is>
          <t>Date</t>
        </is>
      </c>
      <c r="B1" s="31" t="inlineStr">
        <is>
          <t>Day</t>
        </is>
      </c>
      <c r="C1" s="31" t="inlineStr">
        <is>
          <t>Workout Type</t>
        </is>
      </c>
      <c r="D1" s="31" t="inlineStr">
        <is>
          <t>Exercise</t>
        </is>
      </c>
      <c r="E1" s="31" t="inlineStr">
        <is>
          <t>Equipment</t>
        </is>
      </c>
      <c r="F1" s="31" t="inlineStr">
        <is>
          <t>Unit</t>
        </is>
      </c>
      <c r="G1" s="31" t="inlineStr">
        <is>
          <t>Set #</t>
        </is>
      </c>
      <c r="H1" s="31" t="inlineStr">
        <is>
          <t>Weight</t>
        </is>
      </c>
      <c r="I1" s="31" t="inlineStr">
        <is>
          <t>Reps</t>
        </is>
      </c>
      <c r="J1" s="31" t="inlineStr">
        <is>
          <t>Warmup?</t>
        </is>
      </c>
      <c r="K1" s="31" t="inlineStr">
        <is>
          <t>Volume</t>
        </is>
      </c>
      <c r="L1" s="31" t="inlineStr">
        <is>
          <t>Key</t>
        </is>
      </c>
      <c r="M1" s="31" t="inlineStr">
        <is>
          <t>Notes</t>
        </is>
      </c>
    </row>
    <row r="2" ht="15" customHeight="1" s="22">
      <c r="A2" s="32" t="n">
        <v>46039</v>
      </c>
      <c r="B2" s="33" t="inlineStr">
        <is>
          <t>Sat</t>
        </is>
      </c>
      <c r="C2" s="33" t="inlineStr">
        <is>
          <t>Legs</t>
        </is>
      </c>
      <c r="D2" s="33" t="inlineStr">
        <is>
          <t>Squats</t>
        </is>
      </c>
      <c r="E2" s="33" t="inlineStr">
        <is>
          <t>Smith</t>
        </is>
      </c>
      <c r="F2" s="33" t="inlineStr">
        <is>
          <t>lbs</t>
        </is>
      </c>
      <c r="G2" s="33" t="n">
        <v>1</v>
      </c>
      <c r="H2" s="33" t="n">
        <v>50</v>
      </c>
      <c r="I2" s="33" t="n">
        <v>8</v>
      </c>
      <c r="J2" s="33" t="inlineStr">
        <is>
          <t>N</t>
        </is>
      </c>
      <c r="K2" s="33">
        <f>IF($J2="Y","",IF($F2="BW",$I2,$H2*$I2))</f>
        <v/>
      </c>
      <c r="L2" s="33">
        <f>$D2&amp;"|"&amp;$H2</f>
        <v/>
      </c>
      <c r="M2" s="33" t="n"/>
    </row>
    <row r="3" ht="15" customHeight="1" s="22">
      <c r="A3" s="32" t="n">
        <v>46039</v>
      </c>
      <c r="B3" s="33" t="inlineStr">
        <is>
          <t>Sat</t>
        </is>
      </c>
      <c r="C3" s="33" t="inlineStr">
        <is>
          <t>Legs</t>
        </is>
      </c>
      <c r="D3" s="33" t="inlineStr">
        <is>
          <t>Squats</t>
        </is>
      </c>
      <c r="E3" s="33" t="inlineStr">
        <is>
          <t>Smith</t>
        </is>
      </c>
      <c r="F3" s="33" t="inlineStr">
        <is>
          <t>lbs</t>
        </is>
      </c>
      <c r="G3" s="33" t="n">
        <v>2</v>
      </c>
      <c r="H3" s="33" t="n">
        <v>50</v>
      </c>
      <c r="I3" s="33" t="n">
        <v>8</v>
      </c>
      <c r="J3" s="33" t="inlineStr">
        <is>
          <t>N</t>
        </is>
      </c>
      <c r="K3" s="33">
        <f>IF($J3="Y","",IF($F3="BW",$I3,$H3*$I3))</f>
        <v/>
      </c>
      <c r="L3" s="33">
        <f>$D3&amp;"|"&amp;$H3</f>
        <v/>
      </c>
      <c r="M3" s="33" t="n"/>
    </row>
    <row r="4" ht="15" customHeight="1" s="22">
      <c r="A4" s="32" t="n">
        <v>46039</v>
      </c>
      <c r="B4" s="33" t="inlineStr">
        <is>
          <t>Sat</t>
        </is>
      </c>
      <c r="C4" s="33" t="inlineStr">
        <is>
          <t>Legs</t>
        </is>
      </c>
      <c r="D4" s="33" t="inlineStr">
        <is>
          <t>Squats</t>
        </is>
      </c>
      <c r="E4" s="33" t="inlineStr">
        <is>
          <t>Smith</t>
        </is>
      </c>
      <c r="F4" s="33" t="inlineStr">
        <is>
          <t>lbs</t>
        </is>
      </c>
      <c r="G4" s="33" t="n">
        <v>3</v>
      </c>
      <c r="H4" s="33" t="n">
        <v>50</v>
      </c>
      <c r="I4" s="33" t="n">
        <v>8</v>
      </c>
      <c r="J4" s="33" t="inlineStr">
        <is>
          <t>N</t>
        </is>
      </c>
      <c r="K4" s="33">
        <f>IF($J4="Y","",IF($F4="BW",$I4,$H4*$I4))</f>
        <v/>
      </c>
      <c r="L4" s="33">
        <f>$D4&amp;"|"&amp;$H4</f>
        <v/>
      </c>
      <c r="M4" s="33" t="n"/>
    </row>
    <row r="5" ht="15" customHeight="1" s="22">
      <c r="A5" s="32" t="n">
        <v>46039</v>
      </c>
      <c r="B5" s="33" t="inlineStr">
        <is>
          <t>Sat</t>
        </is>
      </c>
      <c r="C5" s="33" t="inlineStr">
        <is>
          <t>Legs</t>
        </is>
      </c>
      <c r="D5" s="33" t="inlineStr">
        <is>
          <t>RDLs</t>
        </is>
      </c>
      <c r="E5" s="33" t="inlineStr">
        <is>
          <t>Smith</t>
        </is>
      </c>
      <c r="F5" s="33" t="inlineStr">
        <is>
          <t>lbs</t>
        </is>
      </c>
      <c r="G5" s="33" t="n">
        <v>1</v>
      </c>
      <c r="H5" s="33" t="n">
        <v>20</v>
      </c>
      <c r="I5" s="33" t="n">
        <v>8</v>
      </c>
      <c r="J5" s="33" t="inlineStr">
        <is>
          <t>N</t>
        </is>
      </c>
      <c r="K5" s="33">
        <f>IF($J5="Y","",IF($F5="BW",$I5,$H5*$I5))</f>
        <v/>
      </c>
      <c r="L5" s="33">
        <f>$D5&amp;"|"&amp;$H5</f>
        <v/>
      </c>
      <c r="M5" s="33" t="n"/>
    </row>
    <row r="6" ht="15" customHeight="1" s="22">
      <c r="A6" s="32" t="n">
        <v>46039</v>
      </c>
      <c r="B6" s="33" t="inlineStr">
        <is>
          <t>Sat</t>
        </is>
      </c>
      <c r="C6" s="33" t="inlineStr">
        <is>
          <t>Legs</t>
        </is>
      </c>
      <c r="D6" s="33" t="inlineStr">
        <is>
          <t>RDLs</t>
        </is>
      </c>
      <c r="E6" s="33" t="inlineStr">
        <is>
          <t>Smith</t>
        </is>
      </c>
      <c r="F6" s="33" t="inlineStr">
        <is>
          <t>lbs</t>
        </is>
      </c>
      <c r="G6" s="33" t="n">
        <v>2</v>
      </c>
      <c r="H6" s="33" t="n">
        <v>20</v>
      </c>
      <c r="I6" s="33" t="n">
        <v>8</v>
      </c>
      <c r="J6" s="33" t="inlineStr">
        <is>
          <t>N</t>
        </is>
      </c>
      <c r="K6" s="33">
        <f>IF($J6="Y","",IF($F6="BW",$I6,$H6*$I6))</f>
        <v/>
      </c>
      <c r="L6" s="33">
        <f>$D6&amp;"|"&amp;$H6</f>
        <v/>
      </c>
      <c r="M6" s="33" t="n"/>
    </row>
    <row r="7" ht="15" customHeight="1" s="22">
      <c r="A7" s="32" t="n">
        <v>46039</v>
      </c>
      <c r="B7" s="33" t="inlineStr">
        <is>
          <t>Sat</t>
        </is>
      </c>
      <c r="C7" s="33" t="inlineStr">
        <is>
          <t>Legs</t>
        </is>
      </c>
      <c r="D7" s="33" t="inlineStr">
        <is>
          <t>RDLs</t>
        </is>
      </c>
      <c r="E7" s="33" t="inlineStr">
        <is>
          <t>Smith</t>
        </is>
      </c>
      <c r="F7" s="33" t="inlineStr">
        <is>
          <t>lbs</t>
        </is>
      </c>
      <c r="G7" s="33" t="n">
        <v>3</v>
      </c>
      <c r="H7" s="33" t="n">
        <v>20</v>
      </c>
      <c r="I7" s="33" t="n">
        <v>8</v>
      </c>
      <c r="J7" s="33" t="inlineStr">
        <is>
          <t>N</t>
        </is>
      </c>
      <c r="K7" s="33">
        <f>IF($J7="Y","",IF($F7="BW",$I7,$H7*$I7))</f>
        <v/>
      </c>
      <c r="L7" s="33">
        <f>$D7&amp;"|"&amp;$H7</f>
        <v/>
      </c>
      <c r="M7" s="33" t="n"/>
    </row>
    <row r="8" ht="15" customHeight="1" s="22">
      <c r="A8" s="32" t="n">
        <v>46039</v>
      </c>
      <c r="B8" s="33" t="inlineStr">
        <is>
          <t>Sat</t>
        </is>
      </c>
      <c r="C8" s="33" t="inlineStr">
        <is>
          <t>Legs</t>
        </is>
      </c>
      <c r="D8" s="33" t="inlineStr">
        <is>
          <t>Calf Raises (Smith)</t>
        </is>
      </c>
      <c r="E8" s="33" t="inlineStr">
        <is>
          <t>Smith</t>
        </is>
      </c>
      <c r="F8" s="33" t="inlineStr">
        <is>
          <t>lbs</t>
        </is>
      </c>
      <c r="G8" s="33" t="n">
        <v>1</v>
      </c>
      <c r="H8" s="33" t="n">
        <v>20</v>
      </c>
      <c r="I8" s="33" t="n">
        <v>15</v>
      </c>
      <c r="J8" s="33" t="inlineStr">
        <is>
          <t>N</t>
        </is>
      </c>
      <c r="K8" s="33">
        <f>IF($J8="Y","",IF($F8="BW",$I8,$H8*$I8))</f>
        <v/>
      </c>
      <c r="L8" s="33">
        <f>$D8&amp;"|"&amp;$H8</f>
        <v/>
      </c>
      <c r="M8" s="33" t="n"/>
    </row>
    <row r="9" ht="15" customHeight="1" s="22">
      <c r="A9" s="32" t="n">
        <v>46039</v>
      </c>
      <c r="B9" s="33" t="inlineStr">
        <is>
          <t>Sat</t>
        </is>
      </c>
      <c r="C9" s="33" t="inlineStr">
        <is>
          <t>Legs</t>
        </is>
      </c>
      <c r="D9" s="33" t="inlineStr">
        <is>
          <t>Calf Raises (Smith)</t>
        </is>
      </c>
      <c r="E9" s="33" t="inlineStr">
        <is>
          <t>Smith</t>
        </is>
      </c>
      <c r="F9" s="33" t="inlineStr">
        <is>
          <t>lbs</t>
        </is>
      </c>
      <c r="G9" s="33" t="n">
        <v>2</v>
      </c>
      <c r="H9" s="33" t="n">
        <v>20</v>
      </c>
      <c r="I9" s="33" t="n">
        <v>15</v>
      </c>
      <c r="J9" s="33" t="inlineStr">
        <is>
          <t>N</t>
        </is>
      </c>
      <c r="K9" s="33">
        <f>IF($J9="Y","",IF($F9="BW",$I9,$H9*$I9))</f>
        <v/>
      </c>
      <c r="L9" s="33">
        <f>$D9&amp;"|"&amp;$H9</f>
        <v/>
      </c>
      <c r="M9" s="33" t="n"/>
    </row>
    <row r="10" ht="15" customHeight="1" s="22">
      <c r="A10" s="32" t="n">
        <v>46039</v>
      </c>
      <c r="B10" s="33" t="inlineStr">
        <is>
          <t>Sat</t>
        </is>
      </c>
      <c r="C10" s="33" t="inlineStr">
        <is>
          <t>Legs</t>
        </is>
      </c>
      <c r="D10" s="33" t="inlineStr">
        <is>
          <t>Calf Raises (Smith)</t>
        </is>
      </c>
      <c r="E10" s="33" t="inlineStr">
        <is>
          <t>Smith</t>
        </is>
      </c>
      <c r="F10" s="33" t="inlineStr">
        <is>
          <t>lbs</t>
        </is>
      </c>
      <c r="G10" s="33" t="n">
        <v>3</v>
      </c>
      <c r="H10" s="33" t="n">
        <v>20</v>
      </c>
      <c r="I10" s="33" t="n">
        <v>15</v>
      </c>
      <c r="J10" s="33" t="inlineStr">
        <is>
          <t>N</t>
        </is>
      </c>
      <c r="K10" s="33">
        <f>IF($J10="Y","",IF($F10="BW",$I10,$H10*$I10))</f>
        <v/>
      </c>
      <c r="L10" s="33">
        <f>$D10&amp;"|"&amp;$H10</f>
        <v/>
      </c>
      <c r="M10" s="33" t="n"/>
    </row>
    <row r="11" ht="15" customHeight="1" s="22">
      <c r="A11" s="32" t="n">
        <v>46039</v>
      </c>
      <c r="B11" s="33" t="inlineStr">
        <is>
          <t>Sat</t>
        </is>
      </c>
      <c r="C11" s="33" t="inlineStr">
        <is>
          <t>Legs</t>
        </is>
      </c>
      <c r="D11" s="33" t="inlineStr">
        <is>
          <t>Lunges</t>
        </is>
      </c>
      <c r="E11" s="33" t="inlineStr">
        <is>
          <t>Bodyweight</t>
        </is>
      </c>
      <c r="F11" s="33" t="inlineStr">
        <is>
          <t>BW</t>
        </is>
      </c>
      <c r="G11" s="33" t="n">
        <v>1</v>
      </c>
      <c r="H11" s="33" t="n">
        <v>0</v>
      </c>
      <c r="I11" s="33" t="n">
        <v>10</v>
      </c>
      <c r="J11" s="33" t="inlineStr">
        <is>
          <t>N</t>
        </is>
      </c>
      <c r="K11" s="33">
        <f>IF($J11="Y","",IF($F11="BW",$I11,$H11*$I11))</f>
        <v/>
      </c>
      <c r="L11" s="33">
        <f>$D11&amp;"|"&amp;$H11</f>
        <v/>
      </c>
      <c r="M11" s="33" t="n"/>
    </row>
    <row r="12" ht="15" customHeight="1" s="22">
      <c r="A12" s="32" t="n">
        <v>46039</v>
      </c>
      <c r="B12" s="33" t="inlineStr">
        <is>
          <t>Sat</t>
        </is>
      </c>
      <c r="C12" s="33" t="inlineStr">
        <is>
          <t>Legs</t>
        </is>
      </c>
      <c r="D12" s="33" t="inlineStr">
        <is>
          <t>Lunges</t>
        </is>
      </c>
      <c r="E12" s="33" t="inlineStr">
        <is>
          <t>Bodyweight</t>
        </is>
      </c>
      <c r="F12" s="33" t="inlineStr">
        <is>
          <t>BW</t>
        </is>
      </c>
      <c r="G12" s="33" t="n">
        <v>2</v>
      </c>
      <c r="H12" s="33" t="n">
        <v>0</v>
      </c>
      <c r="I12" s="33" t="n">
        <v>10</v>
      </c>
      <c r="J12" s="33" t="inlineStr">
        <is>
          <t>N</t>
        </is>
      </c>
      <c r="K12" s="33">
        <f>IF($J12="Y","",IF($F12="BW",$I12,$H12*$I12))</f>
        <v/>
      </c>
      <c r="L12" s="33">
        <f>$D12&amp;"|"&amp;$H12</f>
        <v/>
      </c>
      <c r="M12" s="33" t="n"/>
    </row>
    <row r="13" ht="15" customHeight="1" s="22">
      <c r="A13" s="32" t="n">
        <v>46039</v>
      </c>
      <c r="B13" s="33" t="inlineStr">
        <is>
          <t>Sat</t>
        </is>
      </c>
      <c r="C13" s="33" t="inlineStr">
        <is>
          <t>Legs</t>
        </is>
      </c>
      <c r="D13" s="33" t="inlineStr">
        <is>
          <t>Lunges</t>
        </is>
      </c>
      <c r="E13" s="33" t="inlineStr">
        <is>
          <t>Bodyweight</t>
        </is>
      </c>
      <c r="F13" s="33" t="inlineStr">
        <is>
          <t>BW</t>
        </is>
      </c>
      <c r="G13" s="33" t="n">
        <v>3</v>
      </c>
      <c r="H13" s="33" t="n">
        <v>0</v>
      </c>
      <c r="I13" s="33" t="n">
        <v>10</v>
      </c>
      <c r="J13" s="33" t="inlineStr">
        <is>
          <t>N</t>
        </is>
      </c>
      <c r="K13" s="33">
        <f>IF($J13="Y","",IF($F13="BW",$I13,$H13*$I13))</f>
        <v/>
      </c>
      <c r="L13" s="33">
        <f>$D13&amp;"|"&amp;$H13</f>
        <v/>
      </c>
      <c r="M13" s="33" t="n"/>
    </row>
    <row r="14" ht="15" customHeight="1" s="22">
      <c r="A14" s="32" t="n">
        <v>46042</v>
      </c>
      <c r="B14" s="33" t="inlineStr">
        <is>
          <t>Tue</t>
        </is>
      </c>
      <c r="C14" s="33" t="inlineStr">
        <is>
          <t>Push + Pull</t>
        </is>
      </c>
      <c r="D14" s="33" t="inlineStr">
        <is>
          <t>Bench Press (DB)</t>
        </is>
      </c>
      <c r="E14" s="33" t="inlineStr">
        <is>
          <t>Dumbbell</t>
        </is>
      </c>
      <c r="F14" s="33" t="inlineStr">
        <is>
          <t>lbs</t>
        </is>
      </c>
      <c r="G14" s="33" t="n">
        <v>1</v>
      </c>
      <c r="H14" s="33" t="n">
        <v>20</v>
      </c>
      <c r="I14" s="33" t="n">
        <v>10</v>
      </c>
      <c r="J14" s="33" t="inlineStr">
        <is>
          <t>N</t>
        </is>
      </c>
      <c r="K14" s="33">
        <f>IF($J14="Y","",IF($F14="BW",$I14,$H14*$I14))</f>
        <v/>
      </c>
      <c r="L14" s="33">
        <f>$D14&amp;"|"&amp;$H14</f>
        <v/>
      </c>
      <c r="M14" s="33" t="n"/>
    </row>
    <row r="15" ht="15" customHeight="1" s="22">
      <c r="A15" s="32" t="n">
        <v>46042</v>
      </c>
      <c r="B15" s="33" t="inlineStr">
        <is>
          <t>Tue</t>
        </is>
      </c>
      <c r="C15" s="33" t="inlineStr">
        <is>
          <t>Push + Pull</t>
        </is>
      </c>
      <c r="D15" s="33" t="inlineStr">
        <is>
          <t>Bench Press (DB)</t>
        </is>
      </c>
      <c r="E15" s="33" t="inlineStr">
        <is>
          <t>Dumbbell</t>
        </is>
      </c>
      <c r="F15" s="33" t="inlineStr">
        <is>
          <t>lbs</t>
        </is>
      </c>
      <c r="G15" s="33" t="n">
        <v>2</v>
      </c>
      <c r="H15" s="33" t="n">
        <v>35</v>
      </c>
      <c r="I15" s="33" t="n">
        <v>10</v>
      </c>
      <c r="J15" s="33" t="inlineStr">
        <is>
          <t>N</t>
        </is>
      </c>
      <c r="K15" s="33">
        <f>IF($J15="Y","",IF($F15="BW",$I15,$H15*$I15))</f>
        <v/>
      </c>
      <c r="L15" s="33">
        <f>$D15&amp;"|"&amp;$H15</f>
        <v/>
      </c>
      <c r="M15" s="33" t="n"/>
    </row>
    <row r="16" ht="15" customHeight="1" s="22">
      <c r="A16" s="32" t="n">
        <v>46042</v>
      </c>
      <c r="B16" s="33" t="inlineStr">
        <is>
          <t>Tue</t>
        </is>
      </c>
      <c r="C16" s="33" t="inlineStr">
        <is>
          <t>Push + Pull</t>
        </is>
      </c>
      <c r="D16" s="33" t="inlineStr">
        <is>
          <t>Bench Press (DB)</t>
        </is>
      </c>
      <c r="E16" s="33" t="inlineStr">
        <is>
          <t>Dumbbell</t>
        </is>
      </c>
      <c r="F16" s="33" t="inlineStr">
        <is>
          <t>lbs</t>
        </is>
      </c>
      <c r="G16" s="33" t="n">
        <v>3</v>
      </c>
      <c r="H16" s="33" t="n">
        <v>40</v>
      </c>
      <c r="I16" s="33" t="n">
        <v>10</v>
      </c>
      <c r="J16" s="33" t="inlineStr">
        <is>
          <t>N</t>
        </is>
      </c>
      <c r="K16" s="33">
        <f>IF($J16="Y","",IF($F16="BW",$I16,$H16*$I16))</f>
        <v/>
      </c>
      <c r="L16" s="33">
        <f>$D16&amp;"|"&amp;$H16</f>
        <v/>
      </c>
      <c r="M16" s="33" t="n"/>
    </row>
    <row r="17" ht="15" customHeight="1" s="22">
      <c r="A17" s="32" t="n">
        <v>46042</v>
      </c>
      <c r="B17" s="33" t="inlineStr">
        <is>
          <t>Tue</t>
        </is>
      </c>
      <c r="C17" s="33" t="inlineStr">
        <is>
          <t>Push + Pull</t>
        </is>
      </c>
      <c r="D17" s="33" t="inlineStr">
        <is>
          <t>Bench Press (DB)</t>
        </is>
      </c>
      <c r="E17" s="33" t="inlineStr">
        <is>
          <t>Dumbbell</t>
        </is>
      </c>
      <c r="F17" s="33" t="inlineStr">
        <is>
          <t>lbs</t>
        </is>
      </c>
      <c r="G17" s="33" t="n">
        <v>4</v>
      </c>
      <c r="H17" s="33" t="n">
        <v>40</v>
      </c>
      <c r="I17" s="33" t="n">
        <v>10</v>
      </c>
      <c r="J17" s="33" t="inlineStr">
        <is>
          <t>N</t>
        </is>
      </c>
      <c r="K17" s="33">
        <f>IF($J17="Y","",IF($F17="BW",$I17,$H17*$I17))</f>
        <v/>
      </c>
      <c r="L17" s="33">
        <f>$D17&amp;"|"&amp;$H17</f>
        <v/>
      </c>
      <c r="M17" s="33" t="n"/>
    </row>
    <row r="18" ht="15" customHeight="1" s="22">
      <c r="A18" s="32" t="n">
        <v>46042</v>
      </c>
      <c r="B18" s="33" t="inlineStr">
        <is>
          <t>Tue</t>
        </is>
      </c>
      <c r="C18" s="33" t="inlineStr">
        <is>
          <t>Push + Pull</t>
        </is>
      </c>
      <c r="D18" s="33" t="inlineStr">
        <is>
          <t>Single Arm Lat Pulldown</t>
        </is>
      </c>
      <c r="E18" s="33" t="inlineStr">
        <is>
          <t>Cable</t>
        </is>
      </c>
      <c r="F18" s="33" t="inlineStr">
        <is>
          <t>kg</t>
        </is>
      </c>
      <c r="G18" s="33" t="n">
        <v>1</v>
      </c>
      <c r="H18" s="33" t="n">
        <v>12.5</v>
      </c>
      <c r="I18" s="33" t="n">
        <v>8</v>
      </c>
      <c r="J18" s="33" t="inlineStr">
        <is>
          <t>N</t>
        </is>
      </c>
      <c r="K18" s="33">
        <f>IF($J18="Y","",IF($F18="BW",$I18,$H18*$I18))</f>
        <v/>
      </c>
      <c r="L18" s="33">
        <f>$D18&amp;"|"&amp;$H18</f>
        <v/>
      </c>
      <c r="M18" s="33" t="n"/>
    </row>
    <row r="19" ht="15" customHeight="1" s="22">
      <c r="A19" s="32" t="n">
        <v>46042</v>
      </c>
      <c r="B19" s="33" t="inlineStr">
        <is>
          <t>Tue</t>
        </is>
      </c>
      <c r="C19" s="33" t="inlineStr">
        <is>
          <t>Push + Pull</t>
        </is>
      </c>
      <c r="D19" s="33" t="inlineStr">
        <is>
          <t>Single Arm Lat Pulldown</t>
        </is>
      </c>
      <c r="E19" s="33" t="inlineStr">
        <is>
          <t>Cable</t>
        </is>
      </c>
      <c r="F19" s="33" t="inlineStr">
        <is>
          <t>kg</t>
        </is>
      </c>
      <c r="G19" s="33" t="n">
        <v>2</v>
      </c>
      <c r="H19" s="33" t="n">
        <v>15</v>
      </c>
      <c r="I19" s="33" t="n">
        <v>8</v>
      </c>
      <c r="J19" s="33" t="inlineStr">
        <is>
          <t>N</t>
        </is>
      </c>
      <c r="K19" s="33">
        <f>IF($J19="Y","",IF($F19="BW",$I19,$H19*$I19))</f>
        <v/>
      </c>
      <c r="L19" s="33">
        <f>$D19&amp;"|"&amp;$H19</f>
        <v/>
      </c>
      <c r="M19" s="33" t="n"/>
    </row>
    <row r="20" ht="15" customHeight="1" s="22">
      <c r="A20" s="32" t="n">
        <v>46042</v>
      </c>
      <c r="B20" s="33" t="inlineStr">
        <is>
          <t>Tue</t>
        </is>
      </c>
      <c r="C20" s="33" t="inlineStr">
        <is>
          <t>Push + Pull</t>
        </is>
      </c>
      <c r="D20" s="33" t="inlineStr">
        <is>
          <t>Single Arm Lat Pulldown</t>
        </is>
      </c>
      <c r="E20" s="33" t="inlineStr">
        <is>
          <t>Cable</t>
        </is>
      </c>
      <c r="F20" s="33" t="inlineStr">
        <is>
          <t>kg</t>
        </is>
      </c>
      <c r="G20" s="33" t="n">
        <v>3</v>
      </c>
      <c r="H20" s="33" t="n">
        <v>15</v>
      </c>
      <c r="I20" s="33" t="n">
        <v>8</v>
      </c>
      <c r="J20" s="33" t="inlineStr">
        <is>
          <t>N</t>
        </is>
      </c>
      <c r="K20" s="33">
        <f>IF($J20="Y","",IF($F20="BW",$I20,$H20*$I20))</f>
        <v/>
      </c>
      <c r="L20" s="33">
        <f>$D20&amp;"|"&amp;$H20</f>
        <v/>
      </c>
      <c r="M20" s="33" t="n"/>
    </row>
    <row r="21" ht="15" customHeight="1" s="22">
      <c r="A21" s="32" t="n">
        <v>46042</v>
      </c>
      <c r="B21" s="33" t="inlineStr">
        <is>
          <t>Tue</t>
        </is>
      </c>
      <c r="C21" s="33" t="inlineStr">
        <is>
          <t>Push + Pull</t>
        </is>
      </c>
      <c r="D21" s="33" t="inlineStr">
        <is>
          <t>Shoulder Press</t>
        </is>
      </c>
      <c r="E21" s="33" t="inlineStr">
        <is>
          <t>Dumbbell</t>
        </is>
      </c>
      <c r="F21" s="33" t="inlineStr">
        <is>
          <t>lbs</t>
        </is>
      </c>
      <c r="G21" s="33" t="n">
        <v>1</v>
      </c>
      <c r="H21" s="33" t="n">
        <v>25</v>
      </c>
      <c r="I21" s="33" t="n">
        <v>8</v>
      </c>
      <c r="J21" s="33" t="inlineStr">
        <is>
          <t>N</t>
        </is>
      </c>
      <c r="K21" s="33">
        <f>IF($J21="Y","",IF($F21="BW",$I21,$H21*$I21))</f>
        <v/>
      </c>
      <c r="L21" s="33">
        <f>$D21&amp;"|"&amp;$H21</f>
        <v/>
      </c>
      <c r="M21" s="33" t="n"/>
    </row>
    <row r="22" ht="15" customHeight="1" s="22">
      <c r="A22" s="32" t="n">
        <v>46042</v>
      </c>
      <c r="B22" s="33" t="inlineStr">
        <is>
          <t>Tue</t>
        </is>
      </c>
      <c r="C22" s="33" t="inlineStr">
        <is>
          <t>Push + Pull</t>
        </is>
      </c>
      <c r="D22" s="33" t="inlineStr">
        <is>
          <t>Shoulder Press</t>
        </is>
      </c>
      <c r="E22" s="33" t="inlineStr">
        <is>
          <t>Dumbbell</t>
        </is>
      </c>
      <c r="F22" s="33" t="inlineStr">
        <is>
          <t>lbs</t>
        </is>
      </c>
      <c r="G22" s="33" t="n">
        <v>2</v>
      </c>
      <c r="H22" s="33" t="n">
        <v>30</v>
      </c>
      <c r="I22" s="33" t="n">
        <v>8</v>
      </c>
      <c r="J22" s="33" t="inlineStr">
        <is>
          <t>N</t>
        </is>
      </c>
      <c r="K22" s="33">
        <f>IF($J22="Y","",IF($F22="BW",$I22,$H22*$I22))</f>
        <v/>
      </c>
      <c r="L22" s="33">
        <f>$D22&amp;"|"&amp;$H22</f>
        <v/>
      </c>
      <c r="M22" s="33" t="n"/>
    </row>
    <row r="23" ht="15" customHeight="1" s="22">
      <c r="A23" s="32" t="n">
        <v>46042</v>
      </c>
      <c r="B23" s="33" t="inlineStr">
        <is>
          <t>Tue</t>
        </is>
      </c>
      <c r="C23" s="33" t="inlineStr">
        <is>
          <t>Push + Pull</t>
        </is>
      </c>
      <c r="D23" s="33" t="inlineStr">
        <is>
          <t>Bicep Curls (DB)</t>
        </is>
      </c>
      <c r="E23" s="33" t="inlineStr">
        <is>
          <t>Dumbbell</t>
        </is>
      </c>
      <c r="F23" s="33" t="inlineStr">
        <is>
          <t>lbs</t>
        </is>
      </c>
      <c r="G23" s="33" t="n">
        <v>1</v>
      </c>
      <c r="H23" s="33" t="n">
        <v>25</v>
      </c>
      <c r="I23" s="33" t="n">
        <v>8</v>
      </c>
      <c r="J23" s="33" t="inlineStr">
        <is>
          <t>N</t>
        </is>
      </c>
      <c r="K23" s="33">
        <f>IF($J23="Y","",IF($F23="BW",$I23,$H23*$I23))</f>
        <v/>
      </c>
      <c r="L23" s="33">
        <f>$D23&amp;"|"&amp;$H23</f>
        <v/>
      </c>
      <c r="M23" s="33" t="n"/>
    </row>
    <row r="24" ht="15" customHeight="1" s="22">
      <c r="A24" s="32" t="n">
        <v>46042</v>
      </c>
      <c r="B24" s="33" t="inlineStr">
        <is>
          <t>Tue</t>
        </is>
      </c>
      <c r="C24" s="33" t="inlineStr">
        <is>
          <t>Push + Pull</t>
        </is>
      </c>
      <c r="D24" s="33" t="inlineStr">
        <is>
          <t>Bicep Curls (DB)</t>
        </is>
      </c>
      <c r="E24" s="33" t="inlineStr">
        <is>
          <t>Dumbbell</t>
        </is>
      </c>
      <c r="F24" s="33" t="inlineStr">
        <is>
          <t>lbs</t>
        </is>
      </c>
      <c r="G24" s="33" t="n">
        <v>2</v>
      </c>
      <c r="H24" s="33" t="n">
        <v>25</v>
      </c>
      <c r="I24" s="33" t="n">
        <v>8</v>
      </c>
      <c r="J24" s="33" t="inlineStr">
        <is>
          <t>N</t>
        </is>
      </c>
      <c r="K24" s="33">
        <f>IF($J24="Y","",IF($F24="BW",$I24,$H24*$I24))</f>
        <v/>
      </c>
      <c r="L24" s="33">
        <f>$D24&amp;"|"&amp;$H24</f>
        <v/>
      </c>
      <c r="M24" s="33" t="n"/>
    </row>
    <row r="25" ht="15" customHeight="1" s="22">
      <c r="A25" s="32" t="n">
        <v>46044</v>
      </c>
      <c r="B25" s="33" t="inlineStr">
        <is>
          <t>Thu</t>
        </is>
      </c>
      <c r="C25" s="33" t="inlineStr">
        <is>
          <t>Pull + Arms</t>
        </is>
      </c>
      <c r="D25" s="33" t="inlineStr">
        <is>
          <t>DB Rows</t>
        </is>
      </c>
      <c r="E25" s="33" t="inlineStr">
        <is>
          <t>Dumbbell</t>
        </is>
      </c>
      <c r="F25" s="33" t="inlineStr">
        <is>
          <t>lbs</t>
        </is>
      </c>
      <c r="G25" s="33" t="n">
        <v>1</v>
      </c>
      <c r="H25" s="33" t="n">
        <v>15</v>
      </c>
      <c r="I25" s="33" t="n">
        <v>8</v>
      </c>
      <c r="J25" s="33" t="inlineStr">
        <is>
          <t>N</t>
        </is>
      </c>
      <c r="K25" s="33">
        <f>IF($J25="Y","",IF($F25="BW",$I25,$H25*$I25))</f>
        <v/>
      </c>
      <c r="L25" s="33">
        <f>$D25&amp;"|"&amp;$H25</f>
        <v/>
      </c>
      <c r="M25" s="33" t="n"/>
    </row>
    <row r="26" ht="15" customHeight="1" s="22">
      <c r="A26" s="32" t="n">
        <v>46044</v>
      </c>
      <c r="B26" s="33" t="inlineStr">
        <is>
          <t>Thu</t>
        </is>
      </c>
      <c r="C26" s="33" t="inlineStr">
        <is>
          <t>Pull + Arms</t>
        </is>
      </c>
      <c r="D26" s="33" t="inlineStr">
        <is>
          <t>DB Rows</t>
        </is>
      </c>
      <c r="E26" s="33" t="inlineStr">
        <is>
          <t>Dumbbell</t>
        </is>
      </c>
      <c r="F26" s="33" t="inlineStr">
        <is>
          <t>lbs</t>
        </is>
      </c>
      <c r="G26" s="33" t="n">
        <v>2</v>
      </c>
      <c r="H26" s="33" t="n">
        <v>25</v>
      </c>
      <c r="I26" s="33" t="n">
        <v>8</v>
      </c>
      <c r="J26" s="33" t="inlineStr">
        <is>
          <t>N</t>
        </is>
      </c>
      <c r="K26" s="33">
        <f>IF($J26="Y","",IF($F26="BW",$I26,$H26*$I26))</f>
        <v/>
      </c>
      <c r="L26" s="33">
        <f>$D26&amp;"|"&amp;$H26</f>
        <v/>
      </c>
      <c r="M26" s="33" t="n"/>
    </row>
    <row r="27" ht="15" customHeight="1" s="22">
      <c r="A27" s="32" t="n">
        <v>46044</v>
      </c>
      <c r="B27" s="33" t="inlineStr">
        <is>
          <t>Thu</t>
        </is>
      </c>
      <c r="C27" s="33" t="inlineStr">
        <is>
          <t>Pull + Arms</t>
        </is>
      </c>
      <c r="D27" s="33" t="inlineStr">
        <is>
          <t>DB Rows</t>
        </is>
      </c>
      <c r="E27" s="33" t="inlineStr">
        <is>
          <t>Dumbbell</t>
        </is>
      </c>
      <c r="F27" s="33" t="inlineStr">
        <is>
          <t>lbs</t>
        </is>
      </c>
      <c r="G27" s="33" t="n">
        <v>3</v>
      </c>
      <c r="H27" s="33" t="n">
        <v>30</v>
      </c>
      <c r="I27" s="33" t="n">
        <v>8</v>
      </c>
      <c r="J27" s="33" t="inlineStr">
        <is>
          <t>N</t>
        </is>
      </c>
      <c r="K27" s="33">
        <f>IF($J27="Y","",IF($F27="BW",$I27,$H27*$I27))</f>
        <v/>
      </c>
      <c r="L27" s="33">
        <f>$D27&amp;"|"&amp;$H27</f>
        <v/>
      </c>
      <c r="M27" s="33" t="n"/>
    </row>
    <row r="28" ht="15" customHeight="1" s="22">
      <c r="A28" s="32" t="n">
        <v>46044</v>
      </c>
      <c r="B28" s="33" t="inlineStr">
        <is>
          <t>Thu</t>
        </is>
      </c>
      <c r="C28" s="33" t="inlineStr">
        <is>
          <t>Pull + Arms</t>
        </is>
      </c>
      <c r="D28" s="33" t="inlineStr">
        <is>
          <t>DB Rows</t>
        </is>
      </c>
      <c r="E28" s="33" t="inlineStr">
        <is>
          <t>Dumbbell</t>
        </is>
      </c>
      <c r="F28" s="33" t="inlineStr">
        <is>
          <t>lbs</t>
        </is>
      </c>
      <c r="G28" s="33" t="n">
        <v>4</v>
      </c>
      <c r="H28" s="33" t="n">
        <v>30</v>
      </c>
      <c r="I28" s="33" t="n">
        <v>8</v>
      </c>
      <c r="J28" s="33" t="inlineStr">
        <is>
          <t>N</t>
        </is>
      </c>
      <c r="K28" s="33">
        <f>IF($J28="Y","",IF($F28="BW",$I28,$H28*$I28))</f>
        <v/>
      </c>
      <c r="L28" s="33">
        <f>$D28&amp;"|"&amp;$H28</f>
        <v/>
      </c>
      <c r="M28" s="33" t="n"/>
    </row>
    <row r="29" ht="15" customHeight="1" s="22">
      <c r="A29" s="32" t="n">
        <v>46044</v>
      </c>
      <c r="B29" s="33" t="inlineStr">
        <is>
          <t>Thu</t>
        </is>
      </c>
      <c r="C29" s="33" t="inlineStr">
        <is>
          <t>Pull + Arms</t>
        </is>
      </c>
      <c r="D29" s="33" t="inlineStr">
        <is>
          <t>Bicep Curls (DB)</t>
        </is>
      </c>
      <c r="E29" s="33" t="inlineStr">
        <is>
          <t>Dumbbell</t>
        </is>
      </c>
      <c r="F29" s="33" t="inlineStr">
        <is>
          <t>lbs</t>
        </is>
      </c>
      <c r="G29" s="33" t="n">
        <v>1</v>
      </c>
      <c r="H29" s="33" t="n">
        <v>25</v>
      </c>
      <c r="I29" s="33" t="n">
        <v>8</v>
      </c>
      <c r="J29" s="33" t="inlineStr">
        <is>
          <t>N</t>
        </is>
      </c>
      <c r="K29" s="33">
        <f>IF($J29="Y","",IF($F29="BW",$I29,$H29*$I29))</f>
        <v/>
      </c>
      <c r="L29" s="33">
        <f>$D29&amp;"|"&amp;$H29</f>
        <v/>
      </c>
      <c r="M29" s="33" t="n"/>
    </row>
    <row r="30" ht="15" customHeight="1" s="22">
      <c r="A30" s="32" t="n">
        <v>46044</v>
      </c>
      <c r="B30" s="33" t="inlineStr">
        <is>
          <t>Thu</t>
        </is>
      </c>
      <c r="C30" s="33" t="inlineStr">
        <is>
          <t>Pull + Arms</t>
        </is>
      </c>
      <c r="D30" s="33" t="inlineStr">
        <is>
          <t>Bicep Curls (DB)</t>
        </is>
      </c>
      <c r="E30" s="33" t="inlineStr">
        <is>
          <t>Dumbbell</t>
        </is>
      </c>
      <c r="F30" s="33" t="inlineStr">
        <is>
          <t>lbs</t>
        </is>
      </c>
      <c r="G30" s="33" t="n">
        <v>2</v>
      </c>
      <c r="H30" s="33" t="n">
        <v>30</v>
      </c>
      <c r="I30" s="33" t="n">
        <v>8</v>
      </c>
      <c r="J30" s="33" t="inlineStr">
        <is>
          <t>N</t>
        </is>
      </c>
      <c r="K30" s="33">
        <f>IF($J30="Y","",IF($F30="BW",$I30,$H30*$I30))</f>
        <v/>
      </c>
      <c r="L30" s="33">
        <f>$D30&amp;"|"&amp;$H30</f>
        <v/>
      </c>
      <c r="M30" s="33" t="n"/>
    </row>
    <row r="31" ht="15" customHeight="1" s="22">
      <c r="A31" s="32" t="n">
        <v>46044</v>
      </c>
      <c r="B31" s="33" t="inlineStr">
        <is>
          <t>Thu</t>
        </is>
      </c>
      <c r="C31" s="33" t="inlineStr">
        <is>
          <t>Pull + Arms</t>
        </is>
      </c>
      <c r="D31" s="33" t="inlineStr">
        <is>
          <t>Bicep Curls (DB)</t>
        </is>
      </c>
      <c r="E31" s="33" t="inlineStr">
        <is>
          <t>Dumbbell</t>
        </is>
      </c>
      <c r="F31" s="33" t="inlineStr">
        <is>
          <t>lbs</t>
        </is>
      </c>
      <c r="G31" s="33" t="n">
        <v>3</v>
      </c>
      <c r="H31" s="33" t="n">
        <v>30</v>
      </c>
      <c r="I31" s="33" t="n">
        <v>8</v>
      </c>
      <c r="J31" s="33" t="inlineStr">
        <is>
          <t>N</t>
        </is>
      </c>
      <c r="K31" s="33">
        <f>IF($J31="Y","",IF($F31="BW",$I31,$H31*$I31))</f>
        <v/>
      </c>
      <c r="L31" s="33">
        <f>$D31&amp;"|"&amp;$H31</f>
        <v/>
      </c>
      <c r="M31" s="33" t="n"/>
    </row>
    <row r="32" ht="15" customHeight="1" s="22">
      <c r="A32" s="32" t="n">
        <v>46044</v>
      </c>
      <c r="B32" s="33" t="inlineStr">
        <is>
          <t>Thu</t>
        </is>
      </c>
      <c r="C32" s="33" t="inlineStr">
        <is>
          <t>Pull + Arms</t>
        </is>
      </c>
      <c r="D32" s="33" t="inlineStr">
        <is>
          <t>Tricep Ext Overhead</t>
        </is>
      </c>
      <c r="E32" s="33" t="inlineStr">
        <is>
          <t>Dumbbell</t>
        </is>
      </c>
      <c r="F32" s="33" t="inlineStr">
        <is>
          <t>lbs</t>
        </is>
      </c>
      <c r="G32" s="33" t="n">
        <v>1</v>
      </c>
      <c r="H32" s="33" t="n">
        <v>20</v>
      </c>
      <c r="I32" s="33" t="n">
        <v>8</v>
      </c>
      <c r="J32" s="33" t="inlineStr">
        <is>
          <t>N</t>
        </is>
      </c>
      <c r="K32" s="33">
        <f>IF($J32="Y","",IF($F32="BW",$I32,$H32*$I32))</f>
        <v/>
      </c>
      <c r="L32" s="33">
        <f>$D32&amp;"|"&amp;$H32</f>
        <v/>
      </c>
      <c r="M32" s="33" t="n"/>
    </row>
    <row r="33" ht="15" customHeight="1" s="22">
      <c r="A33" s="32" t="n">
        <v>46044</v>
      </c>
      <c r="B33" s="33" t="inlineStr">
        <is>
          <t>Thu</t>
        </is>
      </c>
      <c r="C33" s="33" t="inlineStr">
        <is>
          <t>Pull + Arms</t>
        </is>
      </c>
      <c r="D33" s="33" t="inlineStr">
        <is>
          <t>Tricep Ext Overhead</t>
        </is>
      </c>
      <c r="E33" s="33" t="inlineStr">
        <is>
          <t>Dumbbell</t>
        </is>
      </c>
      <c r="F33" s="33" t="inlineStr">
        <is>
          <t>lbs</t>
        </is>
      </c>
      <c r="G33" s="33" t="n">
        <v>2</v>
      </c>
      <c r="H33" s="33" t="n">
        <v>40</v>
      </c>
      <c r="I33" s="33" t="n">
        <v>8</v>
      </c>
      <c r="J33" s="33" t="inlineStr">
        <is>
          <t>N</t>
        </is>
      </c>
      <c r="K33" s="33">
        <f>IF($J33="Y","",IF($F33="BW",$I33,$H33*$I33))</f>
        <v/>
      </c>
      <c r="L33" s="33">
        <f>$D33&amp;"|"&amp;$H33</f>
        <v/>
      </c>
      <c r="M33" s="33" t="n"/>
    </row>
    <row r="34" ht="15" customHeight="1" s="22">
      <c r="A34" s="32" t="n">
        <v>46044</v>
      </c>
      <c r="B34" s="33" t="inlineStr">
        <is>
          <t>Thu</t>
        </is>
      </c>
      <c r="C34" s="33" t="inlineStr">
        <is>
          <t>Pull + Arms</t>
        </is>
      </c>
      <c r="D34" s="33" t="inlineStr">
        <is>
          <t>Tricep Ext Overhead</t>
        </is>
      </c>
      <c r="E34" s="33" t="inlineStr">
        <is>
          <t>Dumbbell</t>
        </is>
      </c>
      <c r="F34" s="33" t="inlineStr">
        <is>
          <t>lbs</t>
        </is>
      </c>
      <c r="G34" s="33" t="n">
        <v>3</v>
      </c>
      <c r="H34" s="33" t="n">
        <v>50</v>
      </c>
      <c r="I34" s="33" t="n">
        <v>8</v>
      </c>
      <c r="J34" s="33" t="inlineStr">
        <is>
          <t>N</t>
        </is>
      </c>
      <c r="K34" s="33">
        <f>IF($J34="Y","",IF($F34="BW",$I34,$H34*$I34))</f>
        <v/>
      </c>
      <c r="L34" s="33">
        <f>$D34&amp;"|"&amp;$H34</f>
        <v/>
      </c>
      <c r="M34" s="33" t="n"/>
    </row>
    <row r="35" ht="15" customHeight="1" s="22">
      <c r="A35" s="32" t="n">
        <v>46044</v>
      </c>
      <c r="B35" s="33" t="inlineStr">
        <is>
          <t>Thu</t>
        </is>
      </c>
      <c r="C35" s="33" t="inlineStr">
        <is>
          <t>Pull + Arms</t>
        </is>
      </c>
      <c r="D35" s="33" t="inlineStr">
        <is>
          <t>Tricep Ext Overhead</t>
        </is>
      </c>
      <c r="E35" s="33" t="inlineStr">
        <is>
          <t>Dumbbell</t>
        </is>
      </c>
      <c r="F35" s="33" t="inlineStr">
        <is>
          <t>lbs</t>
        </is>
      </c>
      <c r="G35" s="33" t="n">
        <v>4</v>
      </c>
      <c r="H35" s="33" t="n">
        <v>50</v>
      </c>
      <c r="I35" s="33" t="n">
        <v>8</v>
      </c>
      <c r="J35" s="33" t="inlineStr">
        <is>
          <t>N</t>
        </is>
      </c>
      <c r="K35" s="33">
        <f>IF($J35="Y","",IF($F35="BW",$I35,$H35*$I35))</f>
        <v/>
      </c>
      <c r="L35" s="33">
        <f>$D35&amp;"|"&amp;$H35</f>
        <v/>
      </c>
      <c r="M35" s="33" t="n"/>
    </row>
    <row r="36" ht="15" customHeight="1" s="22">
      <c r="A36" s="32" t="n">
        <v>46045</v>
      </c>
      <c r="B36" s="33" t="inlineStr">
        <is>
          <t>Fri</t>
        </is>
      </c>
      <c r="C36" s="33" t="inlineStr">
        <is>
          <t>Legs</t>
        </is>
      </c>
      <c r="D36" s="33" t="inlineStr">
        <is>
          <t>Squats</t>
        </is>
      </c>
      <c r="E36" s="33" t="inlineStr">
        <is>
          <t>Smith</t>
        </is>
      </c>
      <c r="F36" s="33" t="inlineStr">
        <is>
          <t>lbs</t>
        </is>
      </c>
      <c r="G36" s="33" t="n">
        <v>1</v>
      </c>
      <c r="H36" s="33" t="n">
        <v>50</v>
      </c>
      <c r="I36" s="33" t="n">
        <v>8</v>
      </c>
      <c r="J36" s="33" t="inlineStr">
        <is>
          <t>N</t>
        </is>
      </c>
      <c r="K36" s="33">
        <f>IF($J36="Y","",IF($F36="BW",$I36,$H36*$I36))</f>
        <v/>
      </c>
      <c r="L36" s="33">
        <f>$D36&amp;"|"&amp;$H36</f>
        <v/>
      </c>
      <c r="M36" s="33" t="n"/>
    </row>
    <row r="37" ht="15" customHeight="1" s="22">
      <c r="A37" s="32" t="n">
        <v>46045</v>
      </c>
      <c r="B37" s="33" t="inlineStr">
        <is>
          <t>Fri</t>
        </is>
      </c>
      <c r="C37" s="33" t="inlineStr">
        <is>
          <t>Legs</t>
        </is>
      </c>
      <c r="D37" s="33" t="inlineStr">
        <is>
          <t>Squats</t>
        </is>
      </c>
      <c r="E37" s="33" t="inlineStr">
        <is>
          <t>Smith</t>
        </is>
      </c>
      <c r="F37" s="33" t="inlineStr">
        <is>
          <t>lbs</t>
        </is>
      </c>
      <c r="G37" s="33" t="n">
        <v>2</v>
      </c>
      <c r="H37" s="33" t="n">
        <v>50</v>
      </c>
      <c r="I37" s="33" t="n">
        <v>8</v>
      </c>
      <c r="J37" s="33" t="inlineStr">
        <is>
          <t>N</t>
        </is>
      </c>
      <c r="K37" s="33">
        <f>IF($J37="Y","",IF($F37="BW",$I37,$H37*$I37))</f>
        <v/>
      </c>
      <c r="L37" s="33">
        <f>$D37&amp;"|"&amp;$H37</f>
        <v/>
      </c>
      <c r="M37" s="33" t="n"/>
    </row>
    <row r="38" ht="15" customHeight="1" s="22">
      <c r="A38" s="32" t="n">
        <v>46045</v>
      </c>
      <c r="B38" s="33" t="inlineStr">
        <is>
          <t>Fri</t>
        </is>
      </c>
      <c r="C38" s="33" t="inlineStr">
        <is>
          <t>Legs</t>
        </is>
      </c>
      <c r="D38" s="33" t="inlineStr">
        <is>
          <t>Squats</t>
        </is>
      </c>
      <c r="E38" s="33" t="inlineStr">
        <is>
          <t>Smith</t>
        </is>
      </c>
      <c r="F38" s="33" t="inlineStr">
        <is>
          <t>lbs</t>
        </is>
      </c>
      <c r="G38" s="33" t="n">
        <v>3</v>
      </c>
      <c r="H38" s="33" t="n">
        <v>50</v>
      </c>
      <c r="I38" s="33" t="n">
        <v>8</v>
      </c>
      <c r="J38" s="33" t="inlineStr">
        <is>
          <t>N</t>
        </is>
      </c>
      <c r="K38" s="33">
        <f>IF($J38="Y","",IF($F38="BW",$I38,$H38*$I38))</f>
        <v/>
      </c>
      <c r="L38" s="33">
        <f>$D38&amp;"|"&amp;$H38</f>
        <v/>
      </c>
      <c r="M38" s="33" t="n"/>
    </row>
    <row r="39" ht="15" customHeight="1" s="22">
      <c r="A39" s="32" t="n">
        <v>46045</v>
      </c>
      <c r="B39" s="33" t="inlineStr">
        <is>
          <t>Fri</t>
        </is>
      </c>
      <c r="C39" s="33" t="inlineStr">
        <is>
          <t>Legs</t>
        </is>
      </c>
      <c r="D39" s="33" t="inlineStr">
        <is>
          <t>Lunges</t>
        </is>
      </c>
      <c r="E39" s="33" t="inlineStr">
        <is>
          <t>Bodyweight</t>
        </is>
      </c>
      <c r="F39" s="33" t="inlineStr">
        <is>
          <t>BW</t>
        </is>
      </c>
      <c r="G39" s="33" t="n">
        <v>1</v>
      </c>
      <c r="H39" s="33" t="n">
        <v>0</v>
      </c>
      <c r="I39" s="33" t="n">
        <v>10</v>
      </c>
      <c r="J39" s="33" t="inlineStr">
        <is>
          <t>N</t>
        </is>
      </c>
      <c r="K39" s="33">
        <f>IF($J39="Y","",IF($F39="BW",$I39,$H39*$I39))</f>
        <v/>
      </c>
      <c r="L39" s="33">
        <f>$D39&amp;"|"&amp;$H39</f>
        <v/>
      </c>
      <c r="M39" s="33" t="n"/>
    </row>
    <row r="40" ht="15" customHeight="1" s="22">
      <c r="A40" s="32" t="n">
        <v>46045</v>
      </c>
      <c r="B40" s="33" t="inlineStr">
        <is>
          <t>Fri</t>
        </is>
      </c>
      <c r="C40" s="33" t="inlineStr">
        <is>
          <t>Legs</t>
        </is>
      </c>
      <c r="D40" s="33" t="inlineStr">
        <is>
          <t>Lunges</t>
        </is>
      </c>
      <c r="E40" s="33" t="inlineStr">
        <is>
          <t>Bodyweight</t>
        </is>
      </c>
      <c r="F40" s="33" t="inlineStr">
        <is>
          <t>BW</t>
        </is>
      </c>
      <c r="G40" s="33" t="n">
        <v>2</v>
      </c>
      <c r="H40" s="33" t="n">
        <v>0</v>
      </c>
      <c r="I40" s="33" t="n">
        <v>8</v>
      </c>
      <c r="J40" s="33" t="inlineStr">
        <is>
          <t>N</t>
        </is>
      </c>
      <c r="K40" s="33">
        <f>IF($J40="Y","",IF($F40="BW",$I40,$H40*$I40))</f>
        <v/>
      </c>
      <c r="L40" s="33">
        <f>$D40&amp;"|"&amp;$H40</f>
        <v/>
      </c>
      <c r="M40" s="33" t="n"/>
    </row>
    <row r="41" ht="15" customHeight="1" s="22">
      <c r="A41" s="32" t="n">
        <v>46045</v>
      </c>
      <c r="B41" s="33" t="inlineStr">
        <is>
          <t>Fri</t>
        </is>
      </c>
      <c r="C41" s="33" t="inlineStr">
        <is>
          <t>Legs</t>
        </is>
      </c>
      <c r="D41" s="33" t="inlineStr">
        <is>
          <t>RDLs</t>
        </is>
      </c>
      <c r="E41" s="33" t="inlineStr">
        <is>
          <t>Smith</t>
        </is>
      </c>
      <c r="F41" s="33" t="inlineStr">
        <is>
          <t>lbs</t>
        </is>
      </c>
      <c r="G41" s="33" t="n">
        <v>1</v>
      </c>
      <c r="H41" s="33" t="n">
        <v>20</v>
      </c>
      <c r="I41" s="33" t="n">
        <v>8</v>
      </c>
      <c r="J41" s="33" t="inlineStr">
        <is>
          <t>N</t>
        </is>
      </c>
      <c r="K41" s="33">
        <f>IF($J41="Y","",IF($F41="BW",$I41,$H41*$I41))</f>
        <v/>
      </c>
      <c r="L41" s="33">
        <f>$D41&amp;"|"&amp;$H41</f>
        <v/>
      </c>
      <c r="M41" s="33" t="n"/>
    </row>
    <row r="42" ht="15" customHeight="1" s="22">
      <c r="A42" s="32" t="n">
        <v>46045</v>
      </c>
      <c r="B42" s="33" t="inlineStr">
        <is>
          <t>Fri</t>
        </is>
      </c>
      <c r="C42" s="33" t="inlineStr">
        <is>
          <t>Legs</t>
        </is>
      </c>
      <c r="D42" s="33" t="inlineStr">
        <is>
          <t>RDLs</t>
        </is>
      </c>
      <c r="E42" s="33" t="inlineStr">
        <is>
          <t>Smith</t>
        </is>
      </c>
      <c r="F42" s="33" t="inlineStr">
        <is>
          <t>lbs</t>
        </is>
      </c>
      <c r="G42" s="33" t="n">
        <v>2</v>
      </c>
      <c r="H42" s="33" t="n">
        <v>25</v>
      </c>
      <c r="I42" s="33" t="n">
        <v>8</v>
      </c>
      <c r="J42" s="33" t="inlineStr">
        <is>
          <t>N</t>
        </is>
      </c>
      <c r="K42" s="33">
        <f>IF($J42="Y","",IF($F42="BW",$I42,$H42*$I42))</f>
        <v/>
      </c>
      <c r="L42" s="33">
        <f>$D42&amp;"|"&amp;$H42</f>
        <v/>
      </c>
      <c r="M42" s="33" t="n"/>
    </row>
    <row r="43" ht="15" customHeight="1" s="22">
      <c r="A43" s="32" t="n">
        <v>46045</v>
      </c>
      <c r="B43" s="33" t="inlineStr">
        <is>
          <t>Fri</t>
        </is>
      </c>
      <c r="C43" s="33" t="inlineStr">
        <is>
          <t>Legs</t>
        </is>
      </c>
      <c r="D43" s="33" t="inlineStr">
        <is>
          <t>RDLs</t>
        </is>
      </c>
      <c r="E43" s="33" t="inlineStr">
        <is>
          <t>Smith</t>
        </is>
      </c>
      <c r="F43" s="33" t="inlineStr">
        <is>
          <t>lbs</t>
        </is>
      </c>
      <c r="G43" s="33" t="n">
        <v>3</v>
      </c>
      <c r="H43" s="33" t="n">
        <v>30</v>
      </c>
      <c r="I43" s="33" t="n">
        <v>8</v>
      </c>
      <c r="J43" s="33" t="inlineStr">
        <is>
          <t>N</t>
        </is>
      </c>
      <c r="K43" s="33">
        <f>IF($J43="Y","",IF($F43="BW",$I43,$H43*$I43))</f>
        <v/>
      </c>
      <c r="L43" s="33">
        <f>$D43&amp;"|"&amp;$H43</f>
        <v/>
      </c>
      <c r="M43" s="33" t="n"/>
    </row>
    <row r="44" ht="15" customHeight="1" s="22">
      <c r="A44" s="32" t="n">
        <v>46045</v>
      </c>
      <c r="B44" s="33" t="inlineStr">
        <is>
          <t>Fri</t>
        </is>
      </c>
      <c r="C44" s="33" t="inlineStr">
        <is>
          <t>Legs</t>
        </is>
      </c>
      <c r="D44" s="33" t="inlineStr">
        <is>
          <t>Calf Raises (Smith)</t>
        </is>
      </c>
      <c r="E44" s="33" t="inlineStr">
        <is>
          <t>Smith</t>
        </is>
      </c>
      <c r="F44" s="33" t="inlineStr">
        <is>
          <t>lbs</t>
        </is>
      </c>
      <c r="G44" s="33" t="n">
        <v>1</v>
      </c>
      <c r="H44" s="33" t="n">
        <v>25</v>
      </c>
      <c r="I44" s="33" t="n">
        <v>8</v>
      </c>
      <c r="J44" s="33" t="inlineStr">
        <is>
          <t>N</t>
        </is>
      </c>
      <c r="K44" s="33">
        <f>IF($J44="Y","",IF($F44="BW",$I44,$H44*$I44))</f>
        <v/>
      </c>
      <c r="L44" s="33">
        <f>$D44&amp;"|"&amp;$H44</f>
        <v/>
      </c>
      <c r="M44" s="33" t="n"/>
    </row>
    <row r="45" ht="15" customHeight="1" s="22">
      <c r="A45" s="32" t="n">
        <v>46045</v>
      </c>
      <c r="B45" s="33" t="inlineStr">
        <is>
          <t>Fri</t>
        </is>
      </c>
      <c r="C45" s="33" t="inlineStr">
        <is>
          <t>Legs</t>
        </is>
      </c>
      <c r="D45" s="33" t="inlineStr">
        <is>
          <t>Calf Raises (Smith)</t>
        </is>
      </c>
      <c r="E45" s="33" t="inlineStr">
        <is>
          <t>Smith</t>
        </is>
      </c>
      <c r="F45" s="33" t="inlineStr">
        <is>
          <t>lbs</t>
        </is>
      </c>
      <c r="G45" s="33" t="n">
        <v>2</v>
      </c>
      <c r="H45" s="33" t="n">
        <v>30</v>
      </c>
      <c r="I45" s="33" t="n">
        <v>15</v>
      </c>
      <c r="J45" s="33" t="inlineStr">
        <is>
          <t>N</t>
        </is>
      </c>
      <c r="K45" s="33">
        <f>IF($J45="Y","",IF($F45="BW",$I45,$H45*$I45))</f>
        <v/>
      </c>
      <c r="L45" s="33">
        <f>$D45&amp;"|"&amp;$H45</f>
        <v/>
      </c>
      <c r="M45" s="33" t="n"/>
    </row>
    <row r="46" ht="15" customHeight="1" s="22">
      <c r="A46" s="32" t="n">
        <v>46045</v>
      </c>
      <c r="B46" s="33" t="inlineStr">
        <is>
          <t>Fri</t>
        </is>
      </c>
      <c r="C46" s="33" t="inlineStr">
        <is>
          <t>Legs</t>
        </is>
      </c>
      <c r="D46" s="33" t="inlineStr">
        <is>
          <t>Calf Raises (Smith)</t>
        </is>
      </c>
      <c r="E46" s="33" t="inlineStr">
        <is>
          <t>Smith</t>
        </is>
      </c>
      <c r="F46" s="33" t="inlineStr">
        <is>
          <t>lbs</t>
        </is>
      </c>
      <c r="G46" s="33" t="n">
        <v>3</v>
      </c>
      <c r="H46" s="33" t="n">
        <v>30</v>
      </c>
      <c r="I46" s="33" t="n">
        <v>17</v>
      </c>
      <c r="J46" s="33" t="inlineStr">
        <is>
          <t>N</t>
        </is>
      </c>
      <c r="K46" s="33">
        <f>IF($J46="Y","",IF($F46="BW",$I46,$H46*$I46))</f>
        <v/>
      </c>
      <c r="L46" s="33">
        <f>$D46&amp;"|"&amp;$H46</f>
        <v/>
      </c>
      <c r="M46" s="33" t="n"/>
    </row>
    <row r="47" ht="15" customHeight="1" s="22">
      <c r="A47" s="34" t="n">
        <v>46047</v>
      </c>
      <c r="B47" s="35" t="inlineStr">
        <is>
          <t>Sun</t>
        </is>
      </c>
      <c r="C47" s="35" t="inlineStr">
        <is>
          <t>Push</t>
        </is>
      </c>
      <c r="D47" s="35" t="inlineStr">
        <is>
          <t>Bench Press (DB)</t>
        </is>
      </c>
      <c r="E47" s="35" t="inlineStr">
        <is>
          <t>Dumbbell</t>
        </is>
      </c>
      <c r="F47" s="35" t="inlineStr">
        <is>
          <t>lbs</t>
        </is>
      </c>
      <c r="G47" s="35" t="n">
        <v>1</v>
      </c>
      <c r="H47" s="35" t="n">
        <v>20</v>
      </c>
      <c r="I47" s="35" t="n">
        <v>8</v>
      </c>
      <c r="J47" s="35" t="inlineStr">
        <is>
          <t>Y</t>
        </is>
      </c>
      <c r="K47" s="35">
        <f>IF($J47="Y","",IF($F47="BW",$I47,$H47*$I47))</f>
        <v/>
      </c>
      <c r="L47" s="35">
        <f>$D47&amp;"|"&amp;$H47</f>
        <v/>
      </c>
      <c r="M47" s="35" t="n"/>
    </row>
    <row r="48" ht="15" customHeight="1" s="22">
      <c r="A48" s="32" t="n">
        <v>46047</v>
      </c>
      <c r="B48" s="33" t="inlineStr">
        <is>
          <t>Sun</t>
        </is>
      </c>
      <c r="C48" s="33" t="inlineStr">
        <is>
          <t>Push</t>
        </is>
      </c>
      <c r="D48" s="33" t="inlineStr">
        <is>
          <t>Bench Press (DB)</t>
        </is>
      </c>
      <c r="E48" s="33" t="inlineStr">
        <is>
          <t>Dumbbell</t>
        </is>
      </c>
      <c r="F48" s="33" t="inlineStr">
        <is>
          <t>lbs</t>
        </is>
      </c>
      <c r="G48" s="33" t="n">
        <v>2</v>
      </c>
      <c r="H48" s="33" t="n">
        <v>35</v>
      </c>
      <c r="I48" s="33" t="n">
        <v>8</v>
      </c>
      <c r="J48" s="33" t="inlineStr">
        <is>
          <t>N</t>
        </is>
      </c>
      <c r="K48" s="33">
        <f>IF($J48="Y","",IF($F48="BW",$I48,$H48*$I48))</f>
        <v/>
      </c>
      <c r="L48" s="33">
        <f>$D48&amp;"|"&amp;$H48</f>
        <v/>
      </c>
      <c r="M48" s="33" t="n"/>
    </row>
    <row r="49" ht="15" customHeight="1" s="22">
      <c r="A49" s="32" t="n">
        <v>46047</v>
      </c>
      <c r="B49" s="33" t="inlineStr">
        <is>
          <t>Sun</t>
        </is>
      </c>
      <c r="C49" s="33" t="inlineStr">
        <is>
          <t>Push</t>
        </is>
      </c>
      <c r="D49" s="33" t="inlineStr">
        <is>
          <t>Bench Press (DB)</t>
        </is>
      </c>
      <c r="E49" s="33" t="inlineStr">
        <is>
          <t>Dumbbell</t>
        </is>
      </c>
      <c r="F49" s="33" t="inlineStr">
        <is>
          <t>lbs</t>
        </is>
      </c>
      <c r="G49" s="33" t="n">
        <v>3</v>
      </c>
      <c r="H49" s="33" t="n">
        <v>40</v>
      </c>
      <c r="I49" s="33" t="n">
        <v>8</v>
      </c>
      <c r="J49" s="33" t="inlineStr">
        <is>
          <t>N</t>
        </is>
      </c>
      <c r="K49" s="33">
        <f>IF($J49="Y","",IF($F49="BW",$I49,$H49*$I49))</f>
        <v/>
      </c>
      <c r="L49" s="33">
        <f>$D49&amp;"|"&amp;$H49</f>
        <v/>
      </c>
      <c r="M49" s="33" t="n"/>
    </row>
    <row r="50" ht="15" customHeight="1" s="22">
      <c r="A50" s="32" t="n">
        <v>46047</v>
      </c>
      <c r="B50" s="33" t="inlineStr">
        <is>
          <t>Sun</t>
        </is>
      </c>
      <c r="C50" s="33" t="inlineStr">
        <is>
          <t>Push</t>
        </is>
      </c>
      <c r="D50" s="33" t="inlineStr">
        <is>
          <t>Bench Press (DB)</t>
        </is>
      </c>
      <c r="E50" s="33" t="inlineStr">
        <is>
          <t>Dumbbell</t>
        </is>
      </c>
      <c r="F50" s="33" t="inlineStr">
        <is>
          <t>lbs</t>
        </is>
      </c>
      <c r="G50" s="33" t="n">
        <v>4</v>
      </c>
      <c r="H50" s="33" t="n">
        <v>40</v>
      </c>
      <c r="I50" s="33" t="n">
        <v>8</v>
      </c>
      <c r="J50" s="33" t="inlineStr">
        <is>
          <t>N</t>
        </is>
      </c>
      <c r="K50" s="33">
        <f>IF($J50="Y","",IF($F50="BW",$I50,$H50*$I50))</f>
        <v/>
      </c>
      <c r="L50" s="33">
        <f>$D50&amp;"|"&amp;$H50</f>
        <v/>
      </c>
      <c r="M50" s="33" t="n"/>
    </row>
    <row r="51" ht="15" customHeight="1" s="22">
      <c r="A51" s="32" t="n">
        <v>46047</v>
      </c>
      <c r="B51" s="33" t="inlineStr">
        <is>
          <t>Sun</t>
        </is>
      </c>
      <c r="C51" s="33" t="inlineStr">
        <is>
          <t>Push</t>
        </is>
      </c>
      <c r="D51" s="33" t="inlineStr">
        <is>
          <t>Incline Flyes</t>
        </is>
      </c>
      <c r="E51" s="33" t="inlineStr">
        <is>
          <t>Dumbbell</t>
        </is>
      </c>
      <c r="F51" s="33" t="inlineStr">
        <is>
          <t>lbs</t>
        </is>
      </c>
      <c r="G51" s="33" t="n">
        <v>1</v>
      </c>
      <c r="H51" s="33" t="n">
        <v>15</v>
      </c>
      <c r="I51" s="33" t="n">
        <v>10</v>
      </c>
      <c r="J51" s="33" t="inlineStr">
        <is>
          <t>N</t>
        </is>
      </c>
      <c r="K51" s="33">
        <f>IF($J51="Y","",IF($F51="BW",$I51,$H51*$I51))</f>
        <v/>
      </c>
      <c r="L51" s="33">
        <f>$D51&amp;"|"&amp;$H51</f>
        <v/>
      </c>
      <c r="M51" s="33" t="n"/>
    </row>
    <row r="52" ht="15" customHeight="1" s="22">
      <c r="A52" s="32" t="n">
        <v>46047</v>
      </c>
      <c r="B52" s="33" t="inlineStr">
        <is>
          <t>Sun</t>
        </is>
      </c>
      <c r="C52" s="33" t="inlineStr">
        <is>
          <t>Push</t>
        </is>
      </c>
      <c r="D52" s="33" t="inlineStr">
        <is>
          <t>Incline Flyes</t>
        </is>
      </c>
      <c r="E52" s="33" t="inlineStr">
        <is>
          <t>Dumbbell</t>
        </is>
      </c>
      <c r="F52" s="33" t="inlineStr">
        <is>
          <t>lbs</t>
        </is>
      </c>
      <c r="G52" s="33" t="n">
        <v>2</v>
      </c>
      <c r="H52" s="33" t="n">
        <v>20</v>
      </c>
      <c r="I52" s="33" t="n">
        <v>10</v>
      </c>
      <c r="J52" s="33" t="inlineStr">
        <is>
          <t>N</t>
        </is>
      </c>
      <c r="K52" s="33">
        <f>IF($J52="Y","",IF($F52="BW",$I52,$H52*$I52))</f>
        <v/>
      </c>
      <c r="L52" s="33">
        <f>$D52&amp;"|"&amp;$H52</f>
        <v/>
      </c>
      <c r="M52" s="33" t="n"/>
    </row>
    <row r="53" ht="15" customHeight="1" s="22">
      <c r="A53" s="32" t="n">
        <v>46047</v>
      </c>
      <c r="B53" s="33" t="inlineStr">
        <is>
          <t>Sun</t>
        </is>
      </c>
      <c r="C53" s="33" t="inlineStr">
        <is>
          <t>Push</t>
        </is>
      </c>
      <c r="D53" s="33" t="inlineStr">
        <is>
          <t>Incline Flyes</t>
        </is>
      </c>
      <c r="E53" s="33" t="inlineStr">
        <is>
          <t>Dumbbell</t>
        </is>
      </c>
      <c r="F53" s="33" t="inlineStr">
        <is>
          <t>lbs</t>
        </is>
      </c>
      <c r="G53" s="33" t="n">
        <v>3</v>
      </c>
      <c r="H53" s="33" t="n">
        <v>20</v>
      </c>
      <c r="I53" s="33" t="n">
        <v>10</v>
      </c>
      <c r="J53" s="33" t="inlineStr">
        <is>
          <t>N</t>
        </is>
      </c>
      <c r="K53" s="33">
        <f>IF($J53="Y","",IF($F53="BW",$I53,$H53*$I53))</f>
        <v/>
      </c>
      <c r="L53" s="33">
        <f>$D53&amp;"|"&amp;$H53</f>
        <v/>
      </c>
      <c r="M53" s="33" t="n"/>
    </row>
    <row r="54" ht="15" customHeight="1" s="22">
      <c r="A54" s="34" t="n">
        <v>46047</v>
      </c>
      <c r="B54" s="35" t="inlineStr">
        <is>
          <t>Sun</t>
        </is>
      </c>
      <c r="C54" s="35" t="inlineStr">
        <is>
          <t>Push</t>
        </is>
      </c>
      <c r="D54" s="35" t="inlineStr">
        <is>
          <t>Tricep Ext Overhead</t>
        </is>
      </c>
      <c r="E54" s="35" t="inlineStr">
        <is>
          <t>Dumbbell</t>
        </is>
      </c>
      <c r="F54" s="35" t="inlineStr">
        <is>
          <t>lbs</t>
        </is>
      </c>
      <c r="G54" s="35" t="n">
        <v>1</v>
      </c>
      <c r="H54" s="35" t="n">
        <v>25</v>
      </c>
      <c r="I54" s="35" t="n">
        <v>8</v>
      </c>
      <c r="J54" s="35" t="inlineStr">
        <is>
          <t>Y</t>
        </is>
      </c>
      <c r="K54" s="35">
        <f>IF($J54="Y","",IF($F54="BW",$I54,$H54*$I54))</f>
        <v/>
      </c>
      <c r="L54" s="35">
        <f>$D54&amp;"|"&amp;$H54</f>
        <v/>
      </c>
      <c r="M54" s="35" t="n"/>
    </row>
    <row r="55" ht="15" customHeight="1" s="22">
      <c r="A55" s="32" t="n">
        <v>46047</v>
      </c>
      <c r="B55" s="33" t="inlineStr">
        <is>
          <t>Sun</t>
        </is>
      </c>
      <c r="C55" s="33" t="inlineStr">
        <is>
          <t>Push</t>
        </is>
      </c>
      <c r="D55" s="33" t="inlineStr">
        <is>
          <t>Tricep Ext Overhead</t>
        </is>
      </c>
      <c r="E55" s="33" t="inlineStr">
        <is>
          <t>Dumbbell</t>
        </is>
      </c>
      <c r="F55" s="33" t="inlineStr">
        <is>
          <t>lbs</t>
        </is>
      </c>
      <c r="G55" s="33" t="n">
        <v>2</v>
      </c>
      <c r="H55" s="33" t="n">
        <v>40</v>
      </c>
      <c r="I55" s="33" t="n">
        <v>8</v>
      </c>
      <c r="J55" s="33" t="inlineStr">
        <is>
          <t>N</t>
        </is>
      </c>
      <c r="K55" s="33">
        <f>IF($J55="Y","",IF($F55="BW",$I55,$H55*$I55))</f>
        <v/>
      </c>
      <c r="L55" s="33">
        <f>$D55&amp;"|"&amp;$H55</f>
        <v/>
      </c>
      <c r="M55" s="33" t="n"/>
    </row>
    <row r="56" ht="15" customHeight="1" s="22">
      <c r="A56" s="32" t="n">
        <v>46047</v>
      </c>
      <c r="B56" s="33" t="inlineStr">
        <is>
          <t>Sun</t>
        </is>
      </c>
      <c r="C56" s="33" t="inlineStr">
        <is>
          <t>Push</t>
        </is>
      </c>
      <c r="D56" s="33" t="inlineStr">
        <is>
          <t>Tricep Ext Overhead</t>
        </is>
      </c>
      <c r="E56" s="33" t="inlineStr">
        <is>
          <t>Dumbbell</t>
        </is>
      </c>
      <c r="F56" s="33" t="inlineStr">
        <is>
          <t>lbs</t>
        </is>
      </c>
      <c r="G56" s="33" t="n">
        <v>3</v>
      </c>
      <c r="H56" s="33" t="n">
        <v>50</v>
      </c>
      <c r="I56" s="33" t="n">
        <v>8</v>
      </c>
      <c r="J56" s="33" t="inlineStr">
        <is>
          <t>N</t>
        </is>
      </c>
      <c r="K56" s="33">
        <f>IF($J56="Y","",IF($F56="BW",$I56,$H56*$I56))</f>
        <v/>
      </c>
      <c r="L56" s="33">
        <f>$D56&amp;"|"&amp;$H56</f>
        <v/>
      </c>
      <c r="M56" s="33" t="n"/>
    </row>
    <row r="57" ht="15" customHeight="1" s="22">
      <c r="A57" s="32" t="n">
        <v>46047</v>
      </c>
      <c r="B57" s="33" t="inlineStr">
        <is>
          <t>Sun</t>
        </is>
      </c>
      <c r="C57" s="33" t="inlineStr">
        <is>
          <t>Push</t>
        </is>
      </c>
      <c r="D57" s="33" t="inlineStr">
        <is>
          <t>Tricep Ext Overhead</t>
        </is>
      </c>
      <c r="E57" s="33" t="inlineStr">
        <is>
          <t>Dumbbell</t>
        </is>
      </c>
      <c r="F57" s="33" t="inlineStr">
        <is>
          <t>lbs</t>
        </is>
      </c>
      <c r="G57" s="33" t="n">
        <v>4</v>
      </c>
      <c r="H57" s="33" t="n">
        <v>50</v>
      </c>
      <c r="I57" s="33" t="n">
        <v>8</v>
      </c>
      <c r="J57" s="33" t="inlineStr">
        <is>
          <t>N</t>
        </is>
      </c>
      <c r="K57" s="33">
        <f>IF($J57="Y","",IF($F57="BW",$I57,$H57*$I57))</f>
        <v/>
      </c>
      <c r="L57" s="33">
        <f>$D57&amp;"|"&amp;$H57</f>
        <v/>
      </c>
      <c r="M57" s="33" t="n"/>
    </row>
    <row r="58" ht="15" customHeight="1" s="22">
      <c r="A58" s="32" t="n">
        <v>46049</v>
      </c>
      <c r="B58" s="33" t="inlineStr">
        <is>
          <t>Tue</t>
        </is>
      </c>
      <c r="C58" s="33" t="inlineStr">
        <is>
          <t>Pull + Shoulders</t>
        </is>
      </c>
      <c r="D58" s="33" t="inlineStr">
        <is>
          <t>Single Arm Lat Pulldown</t>
        </is>
      </c>
      <c r="E58" s="33" t="inlineStr">
        <is>
          <t>Cable</t>
        </is>
      </c>
      <c r="F58" s="33" t="inlineStr">
        <is>
          <t>kg</t>
        </is>
      </c>
      <c r="G58" s="33" t="n">
        <v>1</v>
      </c>
      <c r="H58" s="33" t="n">
        <v>12.5</v>
      </c>
      <c r="I58" s="33" t="n">
        <v>8</v>
      </c>
      <c r="J58" s="33" t="inlineStr">
        <is>
          <t>N</t>
        </is>
      </c>
      <c r="K58" s="33">
        <f>IF($J58="Y","",IF($F58="BW",$I58,$H58*$I58))</f>
        <v/>
      </c>
      <c r="L58" s="33">
        <f>$D58&amp;"|"&amp;$H58</f>
        <v/>
      </c>
      <c r="M58" s="33" t="n"/>
    </row>
    <row r="59" ht="15" customHeight="1" s="22">
      <c r="A59" s="32" t="n">
        <v>46049</v>
      </c>
      <c r="B59" s="33" t="inlineStr">
        <is>
          <t>Tue</t>
        </is>
      </c>
      <c r="C59" s="33" t="inlineStr">
        <is>
          <t>Pull + Shoulders</t>
        </is>
      </c>
      <c r="D59" s="33" t="inlineStr">
        <is>
          <t>Single Arm Lat Pulldown</t>
        </is>
      </c>
      <c r="E59" s="33" t="inlineStr">
        <is>
          <t>Cable</t>
        </is>
      </c>
      <c r="F59" s="33" t="inlineStr">
        <is>
          <t>kg</t>
        </is>
      </c>
      <c r="G59" s="33" t="n">
        <v>2</v>
      </c>
      <c r="H59" s="33" t="n">
        <v>15</v>
      </c>
      <c r="I59" s="33" t="n">
        <v>8</v>
      </c>
      <c r="J59" s="33" t="inlineStr">
        <is>
          <t>N</t>
        </is>
      </c>
      <c r="K59" s="33">
        <f>IF($J59="Y","",IF($F59="BW",$I59,$H59*$I59))</f>
        <v/>
      </c>
      <c r="L59" s="33">
        <f>$D59&amp;"|"&amp;$H59</f>
        <v/>
      </c>
      <c r="M59" s="33" t="n"/>
    </row>
    <row r="60" ht="15" customHeight="1" s="22">
      <c r="A60" s="32" t="n">
        <v>46049</v>
      </c>
      <c r="B60" s="33" t="inlineStr">
        <is>
          <t>Tue</t>
        </is>
      </c>
      <c r="C60" s="33" t="inlineStr">
        <is>
          <t>Pull + Shoulders</t>
        </is>
      </c>
      <c r="D60" s="33" t="inlineStr">
        <is>
          <t>Single Arm Lat Pulldown</t>
        </is>
      </c>
      <c r="E60" s="33" t="inlineStr">
        <is>
          <t>Cable</t>
        </is>
      </c>
      <c r="F60" s="33" t="inlineStr">
        <is>
          <t>kg</t>
        </is>
      </c>
      <c r="G60" s="33" t="n">
        <v>3</v>
      </c>
      <c r="H60" s="33" t="n">
        <v>17.5</v>
      </c>
      <c r="I60" s="33" t="n">
        <v>8</v>
      </c>
      <c r="J60" s="33" t="inlineStr">
        <is>
          <t>N</t>
        </is>
      </c>
      <c r="K60" s="33">
        <f>IF($J60="Y","",IF($F60="BW",$I60,$H60*$I60))</f>
        <v/>
      </c>
      <c r="L60" s="33">
        <f>$D60&amp;"|"&amp;$H60</f>
        <v/>
      </c>
      <c r="M60" s="33" t="n"/>
    </row>
    <row r="61" ht="15" customHeight="1" s="22">
      <c r="A61" s="34" t="n">
        <v>46049</v>
      </c>
      <c r="B61" s="35" t="inlineStr">
        <is>
          <t>Tue</t>
        </is>
      </c>
      <c r="C61" s="35" t="inlineStr">
        <is>
          <t>Pull + Shoulders</t>
        </is>
      </c>
      <c r="D61" s="35" t="inlineStr">
        <is>
          <t>Smith Rows</t>
        </is>
      </c>
      <c r="E61" s="35" t="inlineStr">
        <is>
          <t>Smith</t>
        </is>
      </c>
      <c r="F61" s="35" t="inlineStr">
        <is>
          <t>lbs</t>
        </is>
      </c>
      <c r="G61" s="35" t="n">
        <v>1</v>
      </c>
      <c r="H61" s="35" t="n">
        <v>20</v>
      </c>
      <c r="I61" s="35" t="n">
        <v>8</v>
      </c>
      <c r="J61" s="35" t="inlineStr">
        <is>
          <t>Y</t>
        </is>
      </c>
      <c r="K61" s="35">
        <f>IF($J61="Y","",IF($F61="BW",$I61,$H61*$I61))</f>
        <v/>
      </c>
      <c r="L61" s="35">
        <f>$D61&amp;"|"&amp;$H61</f>
        <v/>
      </c>
      <c r="M61" s="35" t="n"/>
    </row>
    <row r="62" ht="15" customHeight="1" s="22">
      <c r="A62" s="32" t="n">
        <v>46049</v>
      </c>
      <c r="B62" s="33" t="inlineStr">
        <is>
          <t>Tue</t>
        </is>
      </c>
      <c r="C62" s="33" t="inlineStr">
        <is>
          <t>Pull + Shoulders</t>
        </is>
      </c>
      <c r="D62" s="33" t="inlineStr">
        <is>
          <t>Smith Rows</t>
        </is>
      </c>
      <c r="E62" s="33" t="inlineStr">
        <is>
          <t>Smith</t>
        </is>
      </c>
      <c r="F62" s="33" t="inlineStr">
        <is>
          <t>lbs</t>
        </is>
      </c>
      <c r="G62" s="33" t="n">
        <v>2</v>
      </c>
      <c r="H62" s="33" t="n">
        <v>40</v>
      </c>
      <c r="I62" s="33" t="n">
        <v>8</v>
      </c>
      <c r="J62" s="33" t="inlineStr">
        <is>
          <t>N</t>
        </is>
      </c>
      <c r="K62" s="33">
        <f>IF($J62="Y","",IF($F62="BW",$I62,$H62*$I62))</f>
        <v/>
      </c>
      <c r="L62" s="33">
        <f>$D62&amp;"|"&amp;$H62</f>
        <v/>
      </c>
      <c r="M62" s="33" t="n"/>
    </row>
    <row r="63" ht="15" customHeight="1" s="22">
      <c r="A63" s="32" t="n">
        <v>46049</v>
      </c>
      <c r="B63" s="33" t="inlineStr">
        <is>
          <t>Tue</t>
        </is>
      </c>
      <c r="C63" s="33" t="inlineStr">
        <is>
          <t>Pull + Shoulders</t>
        </is>
      </c>
      <c r="D63" s="33" t="inlineStr">
        <is>
          <t>Smith Rows</t>
        </is>
      </c>
      <c r="E63" s="33" t="inlineStr">
        <is>
          <t>Smith</t>
        </is>
      </c>
      <c r="F63" s="33" t="inlineStr">
        <is>
          <t>lbs</t>
        </is>
      </c>
      <c r="G63" s="33" t="n">
        <v>3</v>
      </c>
      <c r="H63" s="33" t="n">
        <v>50</v>
      </c>
      <c r="I63" s="33" t="n">
        <v>8</v>
      </c>
      <c r="J63" s="33" t="inlineStr">
        <is>
          <t>N</t>
        </is>
      </c>
      <c r="K63" s="33">
        <f>IF($J63="Y","",IF($F63="BW",$I63,$H63*$I63))</f>
        <v/>
      </c>
      <c r="L63" s="33">
        <f>$D63&amp;"|"&amp;$H63</f>
        <v/>
      </c>
      <c r="M63" s="33" t="n"/>
    </row>
    <row r="64" ht="15" customHeight="1" s="22">
      <c r="A64" s="32" t="n">
        <v>46049</v>
      </c>
      <c r="B64" s="33" t="inlineStr">
        <is>
          <t>Tue</t>
        </is>
      </c>
      <c r="C64" s="33" t="inlineStr">
        <is>
          <t>Pull + Shoulders</t>
        </is>
      </c>
      <c r="D64" s="33" t="inlineStr">
        <is>
          <t>Smith Rows</t>
        </is>
      </c>
      <c r="E64" s="33" t="inlineStr">
        <is>
          <t>Smith</t>
        </is>
      </c>
      <c r="F64" s="33" t="inlineStr">
        <is>
          <t>lbs</t>
        </is>
      </c>
      <c r="G64" s="33" t="n">
        <v>4</v>
      </c>
      <c r="H64" s="33" t="n">
        <v>50</v>
      </c>
      <c r="I64" s="33" t="n">
        <v>8</v>
      </c>
      <c r="J64" s="33" t="inlineStr">
        <is>
          <t>N</t>
        </is>
      </c>
      <c r="K64" s="33">
        <f>IF($J64="Y","",IF($F64="BW",$I64,$H64*$I64))</f>
        <v/>
      </c>
      <c r="L64" s="33">
        <f>$D64&amp;"|"&amp;$H64</f>
        <v/>
      </c>
      <c r="M64" s="33" t="n"/>
    </row>
    <row r="65" ht="15" customHeight="1" s="22">
      <c r="A65" s="34" t="n">
        <v>46049</v>
      </c>
      <c r="B65" s="35" t="inlineStr">
        <is>
          <t>Tue</t>
        </is>
      </c>
      <c r="C65" s="35" t="inlineStr">
        <is>
          <t>Pull + Shoulders</t>
        </is>
      </c>
      <c r="D65" s="35" t="inlineStr">
        <is>
          <t>Shoulder Press</t>
        </is>
      </c>
      <c r="E65" s="35" t="inlineStr">
        <is>
          <t>Dumbbell</t>
        </is>
      </c>
      <c r="F65" s="35" t="inlineStr">
        <is>
          <t>lbs</t>
        </is>
      </c>
      <c r="G65" s="35" t="n">
        <v>1</v>
      </c>
      <c r="H65" s="35" t="n">
        <v>15</v>
      </c>
      <c r="I65" s="35" t="n">
        <v>8</v>
      </c>
      <c r="J65" s="35" t="inlineStr">
        <is>
          <t>Y</t>
        </is>
      </c>
      <c r="K65" s="35">
        <f>IF($J65="Y","",IF($F65="BW",$I65,$H65*$I65))</f>
        <v/>
      </c>
      <c r="L65" s="35">
        <f>$D65&amp;"|"&amp;$H65</f>
        <v/>
      </c>
      <c r="M65" s="35" t="n"/>
    </row>
    <row r="66" ht="15" customHeight="1" s="22">
      <c r="A66" s="32" t="n">
        <v>46049</v>
      </c>
      <c r="B66" s="33" t="inlineStr">
        <is>
          <t>Tue</t>
        </is>
      </c>
      <c r="C66" s="33" t="inlineStr">
        <is>
          <t>Pull + Shoulders</t>
        </is>
      </c>
      <c r="D66" s="33" t="inlineStr">
        <is>
          <t>Shoulder Press</t>
        </is>
      </c>
      <c r="E66" s="33" t="inlineStr">
        <is>
          <t>Dumbbell</t>
        </is>
      </c>
      <c r="F66" s="33" t="inlineStr">
        <is>
          <t>lbs</t>
        </is>
      </c>
      <c r="G66" s="33" t="n">
        <v>2</v>
      </c>
      <c r="H66" s="33" t="n">
        <v>30</v>
      </c>
      <c r="I66" s="33" t="n">
        <v>8</v>
      </c>
      <c r="J66" s="33" t="inlineStr">
        <is>
          <t>N</t>
        </is>
      </c>
      <c r="K66" s="33">
        <f>IF($J66="Y","",IF($F66="BW",$I66,$H66*$I66))</f>
        <v/>
      </c>
      <c r="L66" s="33">
        <f>$D66&amp;"|"&amp;$H66</f>
        <v/>
      </c>
      <c r="M66" s="33" t="n"/>
    </row>
    <row r="67" ht="15" customHeight="1" s="22">
      <c r="A67" s="32" t="n">
        <v>46049</v>
      </c>
      <c r="B67" s="33" t="inlineStr">
        <is>
          <t>Tue</t>
        </is>
      </c>
      <c r="C67" s="33" t="inlineStr">
        <is>
          <t>Pull + Shoulders</t>
        </is>
      </c>
      <c r="D67" s="33" t="inlineStr">
        <is>
          <t>Shoulder Press</t>
        </is>
      </c>
      <c r="E67" s="33" t="inlineStr">
        <is>
          <t>Dumbbell</t>
        </is>
      </c>
      <c r="F67" s="33" t="inlineStr">
        <is>
          <t>lbs</t>
        </is>
      </c>
      <c r="G67" s="33" t="n">
        <v>3</v>
      </c>
      <c r="H67" s="33" t="n">
        <v>30</v>
      </c>
      <c r="I67" s="33" t="n">
        <v>8</v>
      </c>
      <c r="J67" s="33" t="inlineStr">
        <is>
          <t>N</t>
        </is>
      </c>
      <c r="K67" s="33">
        <f>IF($J67="Y","",IF($F67="BW",$I67,$H67*$I67))</f>
        <v/>
      </c>
      <c r="L67" s="33">
        <f>$D67&amp;"|"&amp;$H67</f>
        <v/>
      </c>
      <c r="M67" s="33" t="n"/>
    </row>
    <row r="68" ht="15" customHeight="1" s="22">
      <c r="A68" s="32" t="n">
        <v>46049</v>
      </c>
      <c r="B68" s="33" t="inlineStr">
        <is>
          <t>Tue</t>
        </is>
      </c>
      <c r="C68" s="33" t="inlineStr">
        <is>
          <t>Pull + Shoulders</t>
        </is>
      </c>
      <c r="D68" s="33" t="inlineStr">
        <is>
          <t>Shoulder Press</t>
        </is>
      </c>
      <c r="E68" s="33" t="inlineStr">
        <is>
          <t>Dumbbell</t>
        </is>
      </c>
      <c r="F68" s="33" t="inlineStr">
        <is>
          <t>lbs</t>
        </is>
      </c>
      <c r="G68" s="33" t="n">
        <v>4</v>
      </c>
      <c r="H68" s="33" t="n">
        <v>35</v>
      </c>
      <c r="I68" s="33" t="n">
        <v>8</v>
      </c>
      <c r="J68" s="33" t="inlineStr">
        <is>
          <t>N</t>
        </is>
      </c>
      <c r="K68" s="33">
        <f>IF($J68="Y","",IF($F68="BW",$I68,$H68*$I68))</f>
        <v/>
      </c>
      <c r="L68" s="33">
        <f>$D68&amp;"|"&amp;$H68</f>
        <v/>
      </c>
      <c r="M68" s="33" t="n"/>
    </row>
    <row r="69" ht="15" customHeight="1" s="22">
      <c r="A69" s="32" t="n">
        <v>46049</v>
      </c>
      <c r="B69" s="33" t="inlineStr">
        <is>
          <t>Tue</t>
        </is>
      </c>
      <c r="C69" s="33" t="inlineStr">
        <is>
          <t>Pull + Shoulders</t>
        </is>
      </c>
      <c r="D69" s="33" t="inlineStr">
        <is>
          <t>Lateral Raises</t>
        </is>
      </c>
      <c r="E69" s="33" t="inlineStr">
        <is>
          <t>Dumbbell</t>
        </is>
      </c>
      <c r="F69" s="33" t="inlineStr">
        <is>
          <t>lbs</t>
        </is>
      </c>
      <c r="G69" s="33" t="n">
        <v>1</v>
      </c>
      <c r="H69" s="33" t="n">
        <v>10</v>
      </c>
      <c r="I69" s="33" t="n">
        <v>12</v>
      </c>
      <c r="J69" s="33" t="inlineStr">
        <is>
          <t>N</t>
        </is>
      </c>
      <c r="K69" s="33">
        <f>IF($J69="Y","",IF($F69="BW",$I69,$H69*$I69))</f>
        <v/>
      </c>
      <c r="L69" s="33">
        <f>$D69&amp;"|"&amp;$H69</f>
        <v/>
      </c>
      <c r="M69" s="33" t="n"/>
    </row>
    <row r="70" ht="15" customHeight="1" s="22">
      <c r="A70" s="32" t="n">
        <v>46049</v>
      </c>
      <c r="B70" s="33" t="inlineStr">
        <is>
          <t>Tue</t>
        </is>
      </c>
      <c r="C70" s="33" t="inlineStr">
        <is>
          <t>Pull + Shoulders</t>
        </is>
      </c>
      <c r="D70" s="33" t="inlineStr">
        <is>
          <t>Lateral Raises</t>
        </is>
      </c>
      <c r="E70" s="33" t="inlineStr">
        <is>
          <t>Dumbbell</t>
        </is>
      </c>
      <c r="F70" s="33" t="inlineStr">
        <is>
          <t>lbs</t>
        </is>
      </c>
      <c r="G70" s="33" t="n">
        <v>2</v>
      </c>
      <c r="H70" s="33" t="n">
        <v>10</v>
      </c>
      <c r="I70" s="33" t="n">
        <v>12</v>
      </c>
      <c r="J70" s="33" t="inlineStr">
        <is>
          <t>N</t>
        </is>
      </c>
      <c r="K70" s="33">
        <f>IF($J70="Y","",IF($F70="BW",$I70,$H70*$I70))</f>
        <v/>
      </c>
      <c r="L70" s="33">
        <f>$D70&amp;"|"&amp;$H70</f>
        <v/>
      </c>
      <c r="M70" s="33" t="n"/>
    </row>
    <row r="71" ht="15" customHeight="1" s="22">
      <c r="A71" s="32" t="n">
        <v>46049</v>
      </c>
      <c r="B71" s="33" t="inlineStr">
        <is>
          <t>Tue</t>
        </is>
      </c>
      <c r="C71" s="33" t="inlineStr">
        <is>
          <t>Pull + Shoulders</t>
        </is>
      </c>
      <c r="D71" s="33" t="inlineStr">
        <is>
          <t>Lateral Raises</t>
        </is>
      </c>
      <c r="E71" s="33" t="inlineStr">
        <is>
          <t>Dumbbell</t>
        </is>
      </c>
      <c r="F71" s="33" t="inlineStr">
        <is>
          <t>lbs</t>
        </is>
      </c>
      <c r="G71" s="33" t="n">
        <v>3</v>
      </c>
      <c r="H71" s="33" t="n">
        <v>10</v>
      </c>
      <c r="I71" s="33" t="n">
        <v>12</v>
      </c>
      <c r="J71" s="33" t="inlineStr">
        <is>
          <t>N</t>
        </is>
      </c>
      <c r="K71" s="33">
        <f>IF($J71="Y","",IF($F71="BW",$I71,$H71*$I71))</f>
        <v/>
      </c>
      <c r="L71" s="33">
        <f>$D71&amp;"|"&amp;$H71</f>
        <v/>
      </c>
      <c r="M71" s="33" t="n"/>
    </row>
    <row r="72" ht="15" customHeight="1" s="22">
      <c r="A72" s="32" t="n">
        <v>46049</v>
      </c>
      <c r="B72" s="33" t="inlineStr">
        <is>
          <t>Tue</t>
        </is>
      </c>
      <c r="C72" s="33" t="inlineStr">
        <is>
          <t>Pull + Shoulders</t>
        </is>
      </c>
      <c r="D72" s="33" t="inlineStr">
        <is>
          <t>Shrugs</t>
        </is>
      </c>
      <c r="E72" s="33" t="inlineStr">
        <is>
          <t>Dumbbell</t>
        </is>
      </c>
      <c r="F72" s="33" t="inlineStr">
        <is>
          <t>lbs</t>
        </is>
      </c>
      <c r="G72" s="33" t="n">
        <v>1</v>
      </c>
      <c r="H72" s="33" t="n">
        <v>40</v>
      </c>
      <c r="I72" s="33" t="n">
        <v>8</v>
      </c>
      <c r="J72" s="33" t="inlineStr">
        <is>
          <t>N</t>
        </is>
      </c>
      <c r="K72" s="33">
        <f>IF($J72="Y","",IF($F72="BW",$I72,$H72*$I72))</f>
        <v/>
      </c>
      <c r="L72" s="33">
        <f>$D72&amp;"|"&amp;$H72</f>
        <v/>
      </c>
      <c r="M72" s="33" t="n"/>
    </row>
    <row r="73" ht="15" customHeight="1" s="22">
      <c r="A73" s="32" t="n">
        <v>46049</v>
      </c>
      <c r="B73" s="33" t="inlineStr">
        <is>
          <t>Tue</t>
        </is>
      </c>
      <c r="C73" s="33" t="inlineStr">
        <is>
          <t>Pull + Shoulders</t>
        </is>
      </c>
      <c r="D73" s="33" t="inlineStr">
        <is>
          <t>Shrugs</t>
        </is>
      </c>
      <c r="E73" s="33" t="inlineStr">
        <is>
          <t>Dumbbell</t>
        </is>
      </c>
      <c r="F73" s="33" t="inlineStr">
        <is>
          <t>lbs</t>
        </is>
      </c>
      <c r="G73" s="33" t="n">
        <v>2</v>
      </c>
      <c r="H73" s="33" t="n">
        <v>40</v>
      </c>
      <c r="I73" s="33" t="n">
        <v>8</v>
      </c>
      <c r="J73" s="33" t="inlineStr">
        <is>
          <t>N</t>
        </is>
      </c>
      <c r="K73" s="33">
        <f>IF($J73="Y","",IF($F73="BW",$I73,$H73*$I73))</f>
        <v/>
      </c>
      <c r="L73" s="33">
        <f>$D73&amp;"|"&amp;$H73</f>
        <v/>
      </c>
      <c r="M73" s="33" t="n"/>
    </row>
    <row r="74" ht="15" customHeight="1" s="22">
      <c r="A74" s="32" t="n">
        <v>46049</v>
      </c>
      <c r="B74" s="33" t="inlineStr">
        <is>
          <t>Tue</t>
        </is>
      </c>
      <c r="C74" s="33" t="inlineStr">
        <is>
          <t>Pull + Shoulders</t>
        </is>
      </c>
      <c r="D74" s="33" t="inlineStr">
        <is>
          <t>Shrugs</t>
        </is>
      </c>
      <c r="E74" s="33" t="inlineStr">
        <is>
          <t>Dumbbell</t>
        </is>
      </c>
      <c r="F74" s="33" t="inlineStr">
        <is>
          <t>lbs</t>
        </is>
      </c>
      <c r="G74" s="33" t="n">
        <v>3</v>
      </c>
      <c r="H74" s="33" t="n">
        <v>45</v>
      </c>
      <c r="I74" s="33" t="n">
        <v>8</v>
      </c>
      <c r="J74" s="33" t="inlineStr">
        <is>
          <t>N</t>
        </is>
      </c>
      <c r="K74" s="33">
        <f>IF($J74="Y","",IF($F74="BW",$I74,$H74*$I74))</f>
        <v/>
      </c>
      <c r="L74" s="33">
        <f>$D74&amp;"|"&amp;$H74</f>
        <v/>
      </c>
      <c r="M74" s="33" t="n"/>
    </row>
    <row r="75" ht="15" customHeight="1" s="22">
      <c r="A75" s="32" t="n">
        <v>46051</v>
      </c>
      <c r="B75" s="33" t="inlineStr">
        <is>
          <t>Thu</t>
        </is>
      </c>
      <c r="C75" s="33" t="inlineStr">
        <is>
          <t>Legs</t>
        </is>
      </c>
      <c r="D75" s="33" t="inlineStr">
        <is>
          <t>Squats</t>
        </is>
      </c>
      <c r="E75" s="33" t="inlineStr">
        <is>
          <t>Smith</t>
        </is>
      </c>
      <c r="F75" s="33" t="inlineStr">
        <is>
          <t>lbs</t>
        </is>
      </c>
      <c r="G75" s="33" t="n">
        <v>1</v>
      </c>
      <c r="H75" s="33" t="n">
        <v>25</v>
      </c>
      <c r="I75" s="33" t="n">
        <v>8</v>
      </c>
      <c r="J75" s="33" t="inlineStr">
        <is>
          <t>N</t>
        </is>
      </c>
      <c r="K75" s="33">
        <f>IF($J75="Y","",IF($F75="BW",$I75,$H75*$I75))</f>
        <v/>
      </c>
      <c r="L75" s="33">
        <f>$D75&amp;"|"&amp;$H75</f>
        <v/>
      </c>
      <c r="M75" s="33" t="n"/>
    </row>
    <row r="76" ht="15" customHeight="1" s="22">
      <c r="A76" s="32" t="n">
        <v>46051</v>
      </c>
      <c r="B76" s="33" t="inlineStr">
        <is>
          <t>Thu</t>
        </is>
      </c>
      <c r="C76" s="33" t="inlineStr">
        <is>
          <t>Legs</t>
        </is>
      </c>
      <c r="D76" s="33" t="inlineStr">
        <is>
          <t>Squats</t>
        </is>
      </c>
      <c r="E76" s="33" t="inlineStr">
        <is>
          <t>Smith</t>
        </is>
      </c>
      <c r="F76" s="33" t="inlineStr">
        <is>
          <t>lbs</t>
        </is>
      </c>
      <c r="G76" s="33" t="n">
        <v>2</v>
      </c>
      <c r="H76" s="33" t="n">
        <v>35</v>
      </c>
      <c r="I76" s="33" t="n">
        <v>8</v>
      </c>
      <c r="J76" s="33" t="inlineStr">
        <is>
          <t>N</t>
        </is>
      </c>
      <c r="K76" s="33">
        <f>IF($J76="Y","",IF($F76="BW",$I76,$H76*$I76))</f>
        <v/>
      </c>
      <c r="L76" s="33">
        <f>$D76&amp;"|"&amp;$H76</f>
        <v/>
      </c>
      <c r="M76" s="33" t="n"/>
    </row>
    <row r="77" ht="15" customHeight="1" s="22">
      <c r="A77" s="32" t="n">
        <v>46051</v>
      </c>
      <c r="B77" s="33" t="inlineStr">
        <is>
          <t>Thu</t>
        </is>
      </c>
      <c r="C77" s="33" t="inlineStr">
        <is>
          <t>Legs</t>
        </is>
      </c>
      <c r="D77" s="33" t="inlineStr">
        <is>
          <t>Squats</t>
        </is>
      </c>
      <c r="E77" s="33" t="inlineStr">
        <is>
          <t>Smith</t>
        </is>
      </c>
      <c r="F77" s="33" t="inlineStr">
        <is>
          <t>lbs</t>
        </is>
      </c>
      <c r="G77" s="33" t="n">
        <v>3</v>
      </c>
      <c r="H77" s="33" t="n">
        <v>50</v>
      </c>
      <c r="I77" s="33" t="n">
        <v>8</v>
      </c>
      <c r="J77" s="33" t="inlineStr">
        <is>
          <t>N</t>
        </is>
      </c>
      <c r="K77" s="33">
        <f>IF($J77="Y","",IF($F77="BW",$I77,$H77*$I77))</f>
        <v/>
      </c>
      <c r="L77" s="33">
        <f>$D77&amp;"|"&amp;$H77</f>
        <v/>
      </c>
      <c r="M77" s="33" t="n"/>
    </row>
    <row r="78" ht="15" customHeight="1" s="22">
      <c r="A78" s="32" t="n">
        <v>46051</v>
      </c>
      <c r="B78" s="33" t="inlineStr">
        <is>
          <t>Thu</t>
        </is>
      </c>
      <c r="C78" s="33" t="inlineStr">
        <is>
          <t>Legs</t>
        </is>
      </c>
      <c r="D78" s="33" t="inlineStr">
        <is>
          <t>Squats</t>
        </is>
      </c>
      <c r="E78" s="33" t="inlineStr">
        <is>
          <t>Smith</t>
        </is>
      </c>
      <c r="F78" s="33" t="inlineStr">
        <is>
          <t>lbs</t>
        </is>
      </c>
      <c r="G78" s="33" t="n">
        <v>4</v>
      </c>
      <c r="H78" s="33" t="n">
        <v>50</v>
      </c>
      <c r="I78" s="33" t="n">
        <v>8</v>
      </c>
      <c r="J78" s="33" t="inlineStr">
        <is>
          <t>N</t>
        </is>
      </c>
      <c r="K78" s="33">
        <f>IF($J78="Y","",IF($F78="BW",$I78,$H78*$I78))</f>
        <v/>
      </c>
      <c r="L78" s="33">
        <f>$D78&amp;"|"&amp;$H78</f>
        <v/>
      </c>
      <c r="M78" s="33" t="n"/>
    </row>
    <row r="79" ht="15" customHeight="1" s="22">
      <c r="A79" s="32" t="n">
        <v>46051</v>
      </c>
      <c r="B79" s="33" t="inlineStr">
        <is>
          <t>Thu</t>
        </is>
      </c>
      <c r="C79" s="33" t="inlineStr">
        <is>
          <t>Legs</t>
        </is>
      </c>
      <c r="D79" s="33" t="inlineStr">
        <is>
          <t>Lunges</t>
        </is>
      </c>
      <c r="E79" s="33" t="inlineStr">
        <is>
          <t>Bodyweight</t>
        </is>
      </c>
      <c r="F79" s="33" t="inlineStr">
        <is>
          <t>BW</t>
        </is>
      </c>
      <c r="G79" s="33" t="n">
        <v>1</v>
      </c>
      <c r="H79" s="33" t="n">
        <v>0</v>
      </c>
      <c r="I79" s="33" t="n">
        <v>8</v>
      </c>
      <c r="J79" s="33" t="inlineStr">
        <is>
          <t>N</t>
        </is>
      </c>
      <c r="K79" s="33">
        <f>IF($J79="Y","",IF($F79="BW",$I79,$H79*$I79))</f>
        <v/>
      </c>
      <c r="L79" s="33">
        <f>$D79&amp;"|"&amp;$H79</f>
        <v/>
      </c>
      <c r="M79" s="33" t="n"/>
    </row>
    <row r="80" ht="15" customHeight="1" s="22">
      <c r="A80" s="32" t="n">
        <v>46051</v>
      </c>
      <c r="B80" s="33" t="inlineStr">
        <is>
          <t>Thu</t>
        </is>
      </c>
      <c r="C80" s="33" t="inlineStr">
        <is>
          <t>Legs</t>
        </is>
      </c>
      <c r="D80" s="33" t="inlineStr">
        <is>
          <t>Lunges</t>
        </is>
      </c>
      <c r="E80" s="33" t="inlineStr">
        <is>
          <t>Bodyweight</t>
        </is>
      </c>
      <c r="F80" s="33" t="inlineStr">
        <is>
          <t>BW</t>
        </is>
      </c>
      <c r="G80" s="33" t="n">
        <v>2</v>
      </c>
      <c r="H80" s="33" t="n">
        <v>0</v>
      </c>
      <c r="I80" s="33" t="n">
        <v>8</v>
      </c>
      <c r="J80" s="33" t="inlineStr">
        <is>
          <t>N</t>
        </is>
      </c>
      <c r="K80" s="33">
        <f>IF($J80="Y","",IF($F80="BW",$I80,$H80*$I80))</f>
        <v/>
      </c>
      <c r="L80" s="33">
        <f>$D80&amp;"|"&amp;$H80</f>
        <v/>
      </c>
      <c r="M80" s="33" t="n"/>
    </row>
    <row r="81" ht="15" customHeight="1" s="22">
      <c r="A81" s="32" t="n">
        <v>46051</v>
      </c>
      <c r="B81" s="33" t="inlineStr">
        <is>
          <t>Thu</t>
        </is>
      </c>
      <c r="C81" s="33" t="inlineStr">
        <is>
          <t>Legs</t>
        </is>
      </c>
      <c r="D81" s="33" t="inlineStr">
        <is>
          <t>Lunges</t>
        </is>
      </c>
      <c r="E81" s="33" t="inlineStr">
        <is>
          <t>Bodyweight</t>
        </is>
      </c>
      <c r="F81" s="33" t="inlineStr">
        <is>
          <t>BW</t>
        </is>
      </c>
      <c r="G81" s="33" t="n">
        <v>3</v>
      </c>
      <c r="H81" s="33" t="n">
        <v>0</v>
      </c>
      <c r="I81" s="33" t="n">
        <v>8</v>
      </c>
      <c r="J81" s="33" t="inlineStr">
        <is>
          <t>N</t>
        </is>
      </c>
      <c r="K81" s="33">
        <f>IF($J81="Y","",IF($F81="BW",$I81,$H81*$I81))</f>
        <v/>
      </c>
      <c r="L81" s="33">
        <f>$D81&amp;"|"&amp;$H81</f>
        <v/>
      </c>
      <c r="M81" s="33" t="n"/>
    </row>
    <row r="82" ht="15" customHeight="1" s="22">
      <c r="A82" s="34" t="n">
        <v>46051</v>
      </c>
      <c r="B82" s="35" t="inlineStr">
        <is>
          <t>Thu</t>
        </is>
      </c>
      <c r="C82" s="35" t="inlineStr">
        <is>
          <t>Legs</t>
        </is>
      </c>
      <c r="D82" s="35" t="inlineStr">
        <is>
          <t>RDLs</t>
        </is>
      </c>
      <c r="E82" s="35" t="inlineStr">
        <is>
          <t>Smith</t>
        </is>
      </c>
      <c r="F82" s="35" t="inlineStr">
        <is>
          <t>lbs</t>
        </is>
      </c>
      <c r="G82" s="35" t="n">
        <v>1</v>
      </c>
      <c r="H82" s="35" t="n">
        <v>25</v>
      </c>
      <c r="I82" s="35" t="n">
        <v>8</v>
      </c>
      <c r="J82" s="35" t="inlineStr">
        <is>
          <t>Y</t>
        </is>
      </c>
      <c r="K82" s="35">
        <f>IF($J82="Y","",IF($F82="BW",$I82,$H82*$I82))</f>
        <v/>
      </c>
      <c r="L82" s="35">
        <f>$D82&amp;"|"&amp;$H82</f>
        <v/>
      </c>
      <c r="M82" s="35" t="n"/>
    </row>
    <row r="83" ht="15" customHeight="1" s="22">
      <c r="A83" s="32" t="n">
        <v>46051</v>
      </c>
      <c r="B83" s="33" t="inlineStr">
        <is>
          <t>Thu</t>
        </is>
      </c>
      <c r="C83" s="33" t="inlineStr">
        <is>
          <t>Legs</t>
        </is>
      </c>
      <c r="D83" s="33" t="inlineStr">
        <is>
          <t>RDLs</t>
        </is>
      </c>
      <c r="E83" s="33" t="inlineStr">
        <is>
          <t>Smith</t>
        </is>
      </c>
      <c r="F83" s="33" t="inlineStr">
        <is>
          <t>lbs</t>
        </is>
      </c>
      <c r="G83" s="33" t="n">
        <v>2</v>
      </c>
      <c r="H83" s="33" t="n">
        <v>35</v>
      </c>
      <c r="I83" s="33" t="n">
        <v>8</v>
      </c>
      <c r="J83" s="33" t="inlineStr">
        <is>
          <t>N</t>
        </is>
      </c>
      <c r="K83" s="33">
        <f>IF($J83="Y","",IF($F83="BW",$I83,$H83*$I83))</f>
        <v/>
      </c>
      <c r="L83" s="33">
        <f>$D83&amp;"|"&amp;$H83</f>
        <v/>
      </c>
      <c r="M83" s="33" t="n"/>
    </row>
    <row r="84" ht="15" customHeight="1" s="22">
      <c r="A84" s="32" t="n">
        <v>46051</v>
      </c>
      <c r="B84" s="33" t="inlineStr">
        <is>
          <t>Thu</t>
        </is>
      </c>
      <c r="C84" s="33" t="inlineStr">
        <is>
          <t>Legs</t>
        </is>
      </c>
      <c r="D84" s="33" t="inlineStr">
        <is>
          <t>RDLs</t>
        </is>
      </c>
      <c r="E84" s="33" t="inlineStr">
        <is>
          <t>Smith</t>
        </is>
      </c>
      <c r="F84" s="33" t="inlineStr">
        <is>
          <t>lbs</t>
        </is>
      </c>
      <c r="G84" s="33" t="n">
        <v>3</v>
      </c>
      <c r="H84" s="33" t="n">
        <v>45</v>
      </c>
      <c r="I84" s="33" t="n">
        <v>8</v>
      </c>
      <c r="J84" s="33" t="inlineStr">
        <is>
          <t>N</t>
        </is>
      </c>
      <c r="K84" s="33">
        <f>IF($J84="Y","",IF($F84="BW",$I84,$H84*$I84))</f>
        <v/>
      </c>
      <c r="L84" s="33">
        <f>$D84&amp;"|"&amp;$H84</f>
        <v/>
      </c>
      <c r="M84" s="33" t="n"/>
    </row>
    <row r="85" ht="15" customHeight="1" s="22">
      <c r="A85" s="32" t="n">
        <v>46051</v>
      </c>
      <c r="B85" s="33" t="inlineStr">
        <is>
          <t>Thu</t>
        </is>
      </c>
      <c r="C85" s="33" t="inlineStr">
        <is>
          <t>Legs</t>
        </is>
      </c>
      <c r="D85" s="33" t="inlineStr">
        <is>
          <t>Calf Raises (Smith)</t>
        </is>
      </c>
      <c r="E85" s="33" t="inlineStr">
        <is>
          <t>Smith</t>
        </is>
      </c>
      <c r="F85" s="33" t="inlineStr">
        <is>
          <t>lbs</t>
        </is>
      </c>
      <c r="G85" s="33" t="n">
        <v>1</v>
      </c>
      <c r="H85" s="33" t="n">
        <v>25</v>
      </c>
      <c r="I85" s="33" t="n">
        <v>15</v>
      </c>
      <c r="J85" s="33" t="inlineStr">
        <is>
          <t>N</t>
        </is>
      </c>
      <c r="K85" s="33">
        <f>IF($J85="Y","",IF($F85="BW",$I85,$H85*$I85))</f>
        <v/>
      </c>
      <c r="L85" s="33">
        <f>$D85&amp;"|"&amp;$H85</f>
        <v/>
      </c>
      <c r="M85" s="33" t="n"/>
    </row>
    <row r="86" ht="15" customHeight="1" s="22">
      <c r="A86" s="32" t="n">
        <v>46051</v>
      </c>
      <c r="B86" s="33" t="inlineStr">
        <is>
          <t>Thu</t>
        </is>
      </c>
      <c r="C86" s="33" t="inlineStr">
        <is>
          <t>Legs</t>
        </is>
      </c>
      <c r="D86" s="33" t="inlineStr">
        <is>
          <t>Calf Raises (Smith)</t>
        </is>
      </c>
      <c r="E86" s="33" t="inlineStr">
        <is>
          <t>Smith</t>
        </is>
      </c>
      <c r="F86" s="33" t="inlineStr">
        <is>
          <t>lbs</t>
        </is>
      </c>
      <c r="G86" s="33" t="n">
        <v>2</v>
      </c>
      <c r="H86" s="33" t="n">
        <v>35</v>
      </c>
      <c r="I86" s="33" t="n">
        <v>15</v>
      </c>
      <c r="J86" s="33" t="inlineStr">
        <is>
          <t>N</t>
        </is>
      </c>
      <c r="K86" s="33">
        <f>IF($J86="Y","",IF($F86="BW",$I86,$H86*$I86))</f>
        <v/>
      </c>
      <c r="L86" s="33">
        <f>$D86&amp;"|"&amp;$H86</f>
        <v/>
      </c>
      <c r="M86" s="33" t="n"/>
    </row>
    <row r="87" ht="15" customHeight="1" s="22">
      <c r="A87" s="32" t="n">
        <v>46051</v>
      </c>
      <c r="B87" s="33" t="inlineStr">
        <is>
          <t>Thu</t>
        </is>
      </c>
      <c r="C87" s="33" t="inlineStr">
        <is>
          <t>Legs</t>
        </is>
      </c>
      <c r="D87" s="33" t="inlineStr">
        <is>
          <t>Calf Raises (Smith)</t>
        </is>
      </c>
      <c r="E87" s="33" t="inlineStr">
        <is>
          <t>Smith</t>
        </is>
      </c>
      <c r="F87" s="33" t="inlineStr">
        <is>
          <t>lbs</t>
        </is>
      </c>
      <c r="G87" s="33" t="n">
        <v>3</v>
      </c>
      <c r="H87" s="33" t="n">
        <v>35</v>
      </c>
      <c r="I87" s="33" t="n">
        <v>15</v>
      </c>
      <c r="J87" s="33" t="inlineStr">
        <is>
          <t>N</t>
        </is>
      </c>
      <c r="K87" s="33">
        <f>IF($J87="Y","",IF($F87="BW",$I87,$H87*$I87))</f>
        <v/>
      </c>
      <c r="L87" s="33">
        <f>$D87&amp;"|"&amp;$H87</f>
        <v/>
      </c>
      <c r="M87" s="33" t="n"/>
    </row>
    <row r="88" ht="15" customHeight="1" s="22">
      <c r="A88" s="34" t="n">
        <v>46060</v>
      </c>
      <c r="B88" s="35" t="inlineStr">
        <is>
          <t>Sat</t>
        </is>
      </c>
      <c r="C88" s="35" t="inlineStr">
        <is>
          <t>Full Body (light)</t>
        </is>
      </c>
      <c r="D88" s="35" t="inlineStr">
        <is>
          <t>Bench Press (DB)</t>
        </is>
      </c>
      <c r="E88" s="35" t="inlineStr">
        <is>
          <t>Dumbbell</t>
        </is>
      </c>
      <c r="F88" s="35" t="inlineStr">
        <is>
          <t>lbs</t>
        </is>
      </c>
      <c r="G88" s="35" t="n">
        <v>1</v>
      </c>
      <c r="H88" s="35" t="n">
        <v>20</v>
      </c>
      <c r="I88" s="35" t="n">
        <v>8</v>
      </c>
      <c r="J88" s="35" t="inlineStr">
        <is>
          <t>Y</t>
        </is>
      </c>
      <c r="K88" s="35">
        <f>IF($J88="Y","",IF($F88="BW",$I88,$H88*$I88))</f>
        <v/>
      </c>
      <c r="L88" s="35">
        <f>$D88&amp;"|"&amp;$H88</f>
        <v/>
      </c>
      <c r="M88" s="35" t="n"/>
    </row>
    <row r="89" ht="15" customHeight="1" s="22">
      <c r="A89" s="32" t="n">
        <v>46060</v>
      </c>
      <c r="B89" s="33" t="inlineStr">
        <is>
          <t>Sat</t>
        </is>
      </c>
      <c r="C89" s="33" t="inlineStr">
        <is>
          <t>Full Body (light)</t>
        </is>
      </c>
      <c r="D89" s="33" t="inlineStr">
        <is>
          <t>Bench Press (DB)</t>
        </is>
      </c>
      <c r="E89" s="33" t="inlineStr">
        <is>
          <t>Dumbbell</t>
        </is>
      </c>
      <c r="F89" s="33" t="inlineStr">
        <is>
          <t>lbs</t>
        </is>
      </c>
      <c r="G89" s="33" t="n">
        <v>2</v>
      </c>
      <c r="H89" s="33" t="n">
        <v>30</v>
      </c>
      <c r="I89" s="33" t="n">
        <v>8</v>
      </c>
      <c r="J89" s="33" t="inlineStr">
        <is>
          <t>N</t>
        </is>
      </c>
      <c r="K89" s="33">
        <f>IF($J89="Y","",IF($F89="BW",$I89,$H89*$I89))</f>
        <v/>
      </c>
      <c r="L89" s="33">
        <f>$D89&amp;"|"&amp;$H89</f>
        <v/>
      </c>
      <c r="M89" s="33" t="n"/>
    </row>
    <row r="90" ht="15" customHeight="1" s="22">
      <c r="A90" s="32" t="n">
        <v>46060</v>
      </c>
      <c r="B90" s="33" t="inlineStr">
        <is>
          <t>Sat</t>
        </is>
      </c>
      <c r="C90" s="33" t="inlineStr">
        <is>
          <t>Full Body (light)</t>
        </is>
      </c>
      <c r="D90" s="33" t="inlineStr">
        <is>
          <t>Squats</t>
        </is>
      </c>
      <c r="E90" s="33" t="inlineStr">
        <is>
          <t>Smith</t>
        </is>
      </c>
      <c r="F90" s="33" t="inlineStr">
        <is>
          <t>lbs</t>
        </is>
      </c>
      <c r="G90" s="33" t="n">
        <v>1</v>
      </c>
      <c r="H90" s="33" t="n">
        <v>30</v>
      </c>
      <c r="I90" s="33" t="n">
        <v>8</v>
      </c>
      <c r="J90" s="33" t="inlineStr">
        <is>
          <t>N</t>
        </is>
      </c>
      <c r="K90" s="33">
        <f>IF($J90="Y","",IF($F90="BW",$I90,$H90*$I90))</f>
        <v/>
      </c>
      <c r="L90" s="33">
        <f>$D90&amp;"|"&amp;$H90</f>
        <v/>
      </c>
      <c r="M90" s="33" t="n"/>
    </row>
    <row r="91" ht="15" customHeight="1" s="22">
      <c r="A91" s="32" t="n">
        <v>46060</v>
      </c>
      <c r="B91" s="33" t="inlineStr">
        <is>
          <t>Sat</t>
        </is>
      </c>
      <c r="C91" s="33" t="inlineStr">
        <is>
          <t>Full Body (light)</t>
        </is>
      </c>
      <c r="D91" s="33" t="inlineStr">
        <is>
          <t>Squats</t>
        </is>
      </c>
      <c r="E91" s="33" t="inlineStr">
        <is>
          <t>Smith</t>
        </is>
      </c>
      <c r="F91" s="33" t="inlineStr">
        <is>
          <t>lbs</t>
        </is>
      </c>
      <c r="G91" s="33" t="n">
        <v>2</v>
      </c>
      <c r="H91" s="33" t="n">
        <v>30</v>
      </c>
      <c r="I91" s="33" t="n">
        <v>8</v>
      </c>
      <c r="J91" s="33" t="inlineStr">
        <is>
          <t>N</t>
        </is>
      </c>
      <c r="K91" s="33">
        <f>IF($J91="Y","",IF($F91="BW",$I91,$H91*$I91))</f>
        <v/>
      </c>
      <c r="L91" s="33">
        <f>$D91&amp;"|"&amp;$H91</f>
        <v/>
      </c>
      <c r="M91" s="33" t="n"/>
    </row>
    <row r="92" ht="15" customHeight="1" s="22">
      <c r="A92" s="32" t="n">
        <v>46060</v>
      </c>
      <c r="B92" s="33" t="inlineStr">
        <is>
          <t>Sat</t>
        </is>
      </c>
      <c r="C92" s="33" t="inlineStr">
        <is>
          <t>Full Body (light)</t>
        </is>
      </c>
      <c r="D92" s="33" t="inlineStr">
        <is>
          <t>Squats</t>
        </is>
      </c>
      <c r="E92" s="33" t="inlineStr">
        <is>
          <t>Smith</t>
        </is>
      </c>
      <c r="F92" s="33" t="inlineStr">
        <is>
          <t>lbs</t>
        </is>
      </c>
      <c r="G92" s="33" t="n">
        <v>3</v>
      </c>
      <c r="H92" s="33" t="n">
        <v>30</v>
      </c>
      <c r="I92" s="33" t="n">
        <v>8</v>
      </c>
      <c r="J92" s="33" t="inlineStr">
        <is>
          <t>N</t>
        </is>
      </c>
      <c r="K92" s="33">
        <f>IF($J92="Y","",IF($F92="BW",$I92,$H92*$I92))</f>
        <v/>
      </c>
      <c r="L92" s="33">
        <f>$D92&amp;"|"&amp;$H92</f>
        <v/>
      </c>
      <c r="M92" s="33" t="n"/>
    </row>
    <row r="93" ht="15" customHeight="1" s="22">
      <c r="A93" s="32" t="n">
        <v>46060</v>
      </c>
      <c r="B93" s="33" t="inlineStr">
        <is>
          <t>Sat</t>
        </is>
      </c>
      <c r="C93" s="33" t="inlineStr">
        <is>
          <t>Full Body (light)</t>
        </is>
      </c>
      <c r="D93" s="33" t="inlineStr">
        <is>
          <t>Smith Rows</t>
        </is>
      </c>
      <c r="E93" s="33" t="inlineStr">
        <is>
          <t>Smith</t>
        </is>
      </c>
      <c r="F93" s="33" t="inlineStr">
        <is>
          <t>lbs</t>
        </is>
      </c>
      <c r="G93" s="33" t="n">
        <v>1</v>
      </c>
      <c r="H93" s="33" t="n">
        <v>30</v>
      </c>
      <c r="I93" s="33" t="n">
        <v>8</v>
      </c>
      <c r="J93" s="33" t="inlineStr">
        <is>
          <t>N</t>
        </is>
      </c>
      <c r="K93" s="33">
        <f>IF($J93="Y","",IF($F93="BW",$I93,$H93*$I93))</f>
        <v/>
      </c>
      <c r="L93" s="33">
        <f>$D93&amp;"|"&amp;$H93</f>
        <v/>
      </c>
      <c r="M93" s="33" t="n"/>
    </row>
    <row r="94" ht="15" customHeight="1" s="22">
      <c r="A94" s="32" t="n">
        <v>46060</v>
      </c>
      <c r="B94" s="33" t="inlineStr">
        <is>
          <t>Sat</t>
        </is>
      </c>
      <c r="C94" s="33" t="inlineStr">
        <is>
          <t>Full Body (light)</t>
        </is>
      </c>
      <c r="D94" s="33" t="inlineStr">
        <is>
          <t>Smith Rows</t>
        </is>
      </c>
      <c r="E94" s="33" t="inlineStr">
        <is>
          <t>Smith</t>
        </is>
      </c>
      <c r="F94" s="33" t="inlineStr">
        <is>
          <t>lbs</t>
        </is>
      </c>
      <c r="G94" s="33" t="n">
        <v>2</v>
      </c>
      <c r="H94" s="33" t="n">
        <v>30</v>
      </c>
      <c r="I94" s="33" t="n">
        <v>8</v>
      </c>
      <c r="J94" s="33" t="inlineStr">
        <is>
          <t>N</t>
        </is>
      </c>
      <c r="K94" s="33">
        <f>IF($J94="Y","",IF($F94="BW",$I94,$H94*$I94))</f>
        <v/>
      </c>
      <c r="L94" s="33">
        <f>$D94&amp;"|"&amp;$H94</f>
        <v/>
      </c>
      <c r="M94" s="33" t="n"/>
    </row>
    <row r="95" ht="15" customHeight="1" s="22">
      <c r="A95" s="32" t="n">
        <v>46060</v>
      </c>
      <c r="B95" s="33" t="inlineStr">
        <is>
          <t>Sat</t>
        </is>
      </c>
      <c r="C95" s="33" t="inlineStr">
        <is>
          <t>Full Body (light)</t>
        </is>
      </c>
      <c r="D95" s="33" t="inlineStr">
        <is>
          <t>Smith Rows</t>
        </is>
      </c>
      <c r="E95" s="33" t="inlineStr">
        <is>
          <t>Smith</t>
        </is>
      </c>
      <c r="F95" s="33" t="inlineStr">
        <is>
          <t>lbs</t>
        </is>
      </c>
      <c r="G95" s="33" t="n">
        <v>3</v>
      </c>
      <c r="H95" s="33" t="n">
        <v>40</v>
      </c>
      <c r="I95" s="33" t="n">
        <v>8</v>
      </c>
      <c r="J95" s="33" t="inlineStr">
        <is>
          <t>N</t>
        </is>
      </c>
      <c r="K95" s="33">
        <f>IF($J95="Y","",IF($F95="BW",$I95,$H95*$I95))</f>
        <v/>
      </c>
      <c r="L95" s="33">
        <f>$D95&amp;"|"&amp;$H95</f>
        <v/>
      </c>
      <c r="M95" s="33" t="n"/>
    </row>
    <row r="96" ht="15" customHeight="1" s="22">
      <c r="A96" s="32" t="n">
        <v>46062</v>
      </c>
      <c r="B96" s="33" t="inlineStr">
        <is>
          <t>Mon</t>
        </is>
      </c>
      <c r="C96" s="33" t="inlineStr">
        <is>
          <t>Push + Pull</t>
        </is>
      </c>
      <c r="D96" s="33" t="inlineStr">
        <is>
          <t>Bench Press (DB)</t>
        </is>
      </c>
      <c r="E96" s="33" t="inlineStr">
        <is>
          <t>Dumbbell</t>
        </is>
      </c>
      <c r="F96" s="33" t="inlineStr">
        <is>
          <t>lbs</t>
        </is>
      </c>
      <c r="G96" s="33" t="n">
        <v>1</v>
      </c>
      <c r="H96" s="33" t="n">
        <v>30</v>
      </c>
      <c r="I96" s="33" t="n">
        <v>8</v>
      </c>
      <c r="J96" s="33" t="inlineStr">
        <is>
          <t>N</t>
        </is>
      </c>
      <c r="K96" s="33">
        <f>IF($J96="Y","",IF($F96="BW",$I96,$H96*$I96))</f>
        <v/>
      </c>
      <c r="L96" s="33">
        <f>$D96&amp;"|"&amp;$H96</f>
        <v/>
      </c>
      <c r="M96" s="33" t="n"/>
    </row>
    <row r="97" ht="15" customHeight="1" s="22">
      <c r="A97" s="32" t="n">
        <v>46062</v>
      </c>
      <c r="B97" s="33" t="inlineStr">
        <is>
          <t>Mon</t>
        </is>
      </c>
      <c r="C97" s="33" t="inlineStr">
        <is>
          <t>Push + Pull</t>
        </is>
      </c>
      <c r="D97" s="33" t="inlineStr">
        <is>
          <t>Bench Press (DB)</t>
        </is>
      </c>
      <c r="E97" s="33" t="inlineStr">
        <is>
          <t>Dumbbell</t>
        </is>
      </c>
      <c r="F97" s="33" t="inlineStr">
        <is>
          <t>lbs</t>
        </is>
      </c>
      <c r="G97" s="33" t="n">
        <v>2</v>
      </c>
      <c r="H97" s="33" t="n">
        <v>40</v>
      </c>
      <c r="I97" s="33" t="n">
        <v>8</v>
      </c>
      <c r="J97" s="33" t="inlineStr">
        <is>
          <t>N</t>
        </is>
      </c>
      <c r="K97" s="33">
        <f>IF($J97="Y","",IF($F97="BW",$I97,$H97*$I97))</f>
        <v/>
      </c>
      <c r="L97" s="33">
        <f>$D97&amp;"|"&amp;$H97</f>
        <v/>
      </c>
      <c r="M97" s="33" t="n"/>
    </row>
    <row r="98" ht="15" customHeight="1" s="22">
      <c r="A98" s="32" t="n">
        <v>46062</v>
      </c>
      <c r="B98" s="33" t="inlineStr">
        <is>
          <t>Mon</t>
        </is>
      </c>
      <c r="C98" s="33" t="inlineStr">
        <is>
          <t>Push + Pull</t>
        </is>
      </c>
      <c r="D98" s="33" t="inlineStr">
        <is>
          <t>Bench Press (DB)</t>
        </is>
      </c>
      <c r="E98" s="33" t="inlineStr">
        <is>
          <t>Dumbbell</t>
        </is>
      </c>
      <c r="F98" s="33" t="inlineStr">
        <is>
          <t>lbs</t>
        </is>
      </c>
      <c r="G98" s="33" t="n">
        <v>3</v>
      </c>
      <c r="H98" s="33" t="n">
        <v>45</v>
      </c>
      <c r="I98" s="33" t="n">
        <v>8</v>
      </c>
      <c r="J98" s="33" t="inlineStr">
        <is>
          <t>N</t>
        </is>
      </c>
      <c r="K98" s="33">
        <f>IF($J98="Y","",IF($F98="BW",$I98,$H98*$I98))</f>
        <v/>
      </c>
      <c r="L98" s="33">
        <f>$D98&amp;"|"&amp;$H98</f>
        <v/>
      </c>
      <c r="M98" s="33" t="n"/>
    </row>
    <row r="99" ht="15" customHeight="1" s="22">
      <c r="A99" s="32" t="n">
        <v>46062</v>
      </c>
      <c r="B99" s="33" t="inlineStr">
        <is>
          <t>Mon</t>
        </is>
      </c>
      <c r="C99" s="33" t="inlineStr">
        <is>
          <t>Push + Pull</t>
        </is>
      </c>
      <c r="D99" s="33" t="inlineStr">
        <is>
          <t>Bench Press (DB)</t>
        </is>
      </c>
      <c r="E99" s="33" t="inlineStr">
        <is>
          <t>Dumbbell</t>
        </is>
      </c>
      <c r="F99" s="33" t="inlineStr">
        <is>
          <t>lbs</t>
        </is>
      </c>
      <c r="G99" s="33" t="n">
        <v>4</v>
      </c>
      <c r="H99" s="33" t="n">
        <v>45</v>
      </c>
      <c r="I99" s="33" t="n">
        <v>8</v>
      </c>
      <c r="J99" s="33" t="inlineStr">
        <is>
          <t>N</t>
        </is>
      </c>
      <c r="K99" s="33">
        <f>IF($J99="Y","",IF($F99="BW",$I99,$H99*$I99))</f>
        <v/>
      </c>
      <c r="L99" s="33">
        <f>$D99&amp;"|"&amp;$H99</f>
        <v/>
      </c>
      <c r="M99" s="33" t="n"/>
    </row>
    <row r="100" ht="15" customHeight="1" s="22">
      <c r="A100" s="32" t="n">
        <v>46062</v>
      </c>
      <c r="B100" s="33" t="inlineStr">
        <is>
          <t>Mon</t>
        </is>
      </c>
      <c r="C100" s="33" t="inlineStr">
        <is>
          <t>Push + Pull</t>
        </is>
      </c>
      <c r="D100" s="33" t="inlineStr">
        <is>
          <t>Incline Flyes</t>
        </is>
      </c>
      <c r="E100" s="33" t="inlineStr">
        <is>
          <t>Dumbbell</t>
        </is>
      </c>
      <c r="F100" s="33" t="inlineStr">
        <is>
          <t>lbs</t>
        </is>
      </c>
      <c r="G100" s="33" t="n">
        <v>1</v>
      </c>
      <c r="H100" s="33" t="n">
        <v>15</v>
      </c>
      <c r="I100" s="33" t="n">
        <v>10</v>
      </c>
      <c r="J100" s="33" t="inlineStr">
        <is>
          <t>N</t>
        </is>
      </c>
      <c r="K100" s="33">
        <f>IF($J100="Y","",IF($F100="BW",$I100,$H100*$I100))</f>
        <v/>
      </c>
      <c r="L100" s="33">
        <f>$D100&amp;"|"&amp;$H100</f>
        <v/>
      </c>
      <c r="M100" s="33" t="n"/>
    </row>
    <row r="101" ht="15" customHeight="1" s="22">
      <c r="A101" s="32" t="n">
        <v>46062</v>
      </c>
      <c r="B101" s="33" t="inlineStr">
        <is>
          <t>Mon</t>
        </is>
      </c>
      <c r="C101" s="33" t="inlineStr">
        <is>
          <t>Push + Pull</t>
        </is>
      </c>
      <c r="D101" s="33" t="inlineStr">
        <is>
          <t>Incline Flyes</t>
        </is>
      </c>
      <c r="E101" s="33" t="inlineStr">
        <is>
          <t>Dumbbell</t>
        </is>
      </c>
      <c r="F101" s="33" t="inlineStr">
        <is>
          <t>lbs</t>
        </is>
      </c>
      <c r="G101" s="33" t="n">
        <v>2</v>
      </c>
      <c r="H101" s="33" t="n">
        <v>15</v>
      </c>
      <c r="I101" s="33" t="n">
        <v>10</v>
      </c>
      <c r="J101" s="33" t="inlineStr">
        <is>
          <t>N</t>
        </is>
      </c>
      <c r="K101" s="33">
        <f>IF($J101="Y","",IF($F101="BW",$I101,$H101*$I101))</f>
        <v/>
      </c>
      <c r="L101" s="33">
        <f>$D101&amp;"|"&amp;$H101</f>
        <v/>
      </c>
      <c r="M101" s="33" t="n"/>
    </row>
    <row r="102" ht="15" customHeight="1" s="22">
      <c r="A102" s="32" t="n">
        <v>46062</v>
      </c>
      <c r="B102" s="33" t="inlineStr">
        <is>
          <t>Mon</t>
        </is>
      </c>
      <c r="C102" s="33" t="inlineStr">
        <is>
          <t>Push + Pull</t>
        </is>
      </c>
      <c r="D102" s="33" t="inlineStr">
        <is>
          <t>Incline Flyes</t>
        </is>
      </c>
      <c r="E102" s="33" t="inlineStr">
        <is>
          <t>Dumbbell</t>
        </is>
      </c>
      <c r="F102" s="33" t="inlineStr">
        <is>
          <t>lbs</t>
        </is>
      </c>
      <c r="G102" s="33" t="n">
        <v>3</v>
      </c>
      <c r="H102" s="33" t="n">
        <v>20</v>
      </c>
      <c r="I102" s="33" t="n">
        <v>10</v>
      </c>
      <c r="J102" s="33" t="inlineStr">
        <is>
          <t>N</t>
        </is>
      </c>
      <c r="K102" s="33">
        <f>IF($J102="Y","",IF($F102="BW",$I102,$H102*$I102))</f>
        <v/>
      </c>
      <c r="L102" s="33">
        <f>$D102&amp;"|"&amp;$H102</f>
        <v/>
      </c>
      <c r="M102" s="33" t="n"/>
    </row>
    <row r="103" ht="15" customHeight="1" s="22">
      <c r="A103" s="32" t="n">
        <v>46062</v>
      </c>
      <c r="B103" s="33" t="inlineStr">
        <is>
          <t>Mon</t>
        </is>
      </c>
      <c r="C103" s="33" t="inlineStr">
        <is>
          <t>Push + Pull</t>
        </is>
      </c>
      <c r="D103" s="33" t="inlineStr">
        <is>
          <t>DB Rows</t>
        </is>
      </c>
      <c r="E103" s="33" t="inlineStr">
        <is>
          <t>Dumbbell</t>
        </is>
      </c>
      <c r="F103" s="33" t="inlineStr">
        <is>
          <t>lbs</t>
        </is>
      </c>
      <c r="G103" s="33" t="n">
        <v>1</v>
      </c>
      <c r="H103" s="33" t="n">
        <v>25</v>
      </c>
      <c r="I103" s="33" t="n">
        <v>8</v>
      </c>
      <c r="J103" s="33" t="inlineStr">
        <is>
          <t>N</t>
        </is>
      </c>
      <c r="K103" s="33">
        <f>IF($J103="Y","",IF($F103="BW",$I103,$H103*$I103))</f>
        <v/>
      </c>
      <c r="L103" s="33">
        <f>$D103&amp;"|"&amp;$H103</f>
        <v/>
      </c>
      <c r="M103" s="33" t="n"/>
    </row>
    <row r="104" ht="15" customHeight="1" s="22">
      <c r="A104" s="32" t="n">
        <v>46062</v>
      </c>
      <c r="B104" s="33" t="inlineStr">
        <is>
          <t>Mon</t>
        </is>
      </c>
      <c r="C104" s="33" t="inlineStr">
        <is>
          <t>Push + Pull</t>
        </is>
      </c>
      <c r="D104" s="33" t="inlineStr">
        <is>
          <t>DB Rows</t>
        </is>
      </c>
      <c r="E104" s="33" t="inlineStr">
        <is>
          <t>Dumbbell</t>
        </is>
      </c>
      <c r="F104" s="33" t="inlineStr">
        <is>
          <t>lbs</t>
        </is>
      </c>
      <c r="G104" s="33" t="n">
        <v>2</v>
      </c>
      <c r="H104" s="33" t="n">
        <v>30</v>
      </c>
      <c r="I104" s="33" t="n">
        <v>8</v>
      </c>
      <c r="J104" s="33" t="inlineStr">
        <is>
          <t>N</t>
        </is>
      </c>
      <c r="K104" s="33">
        <f>IF($J104="Y","",IF($F104="BW",$I104,$H104*$I104))</f>
        <v/>
      </c>
      <c r="L104" s="33">
        <f>$D104&amp;"|"&amp;$H104</f>
        <v/>
      </c>
      <c r="M104" s="33" t="n"/>
    </row>
    <row r="105" ht="15" customHeight="1" s="22">
      <c r="A105" s="32" t="n">
        <v>46062</v>
      </c>
      <c r="B105" s="33" t="inlineStr">
        <is>
          <t>Mon</t>
        </is>
      </c>
      <c r="C105" s="33" t="inlineStr">
        <is>
          <t>Push + Pull</t>
        </is>
      </c>
      <c r="D105" s="33" t="inlineStr">
        <is>
          <t>DB Rows</t>
        </is>
      </c>
      <c r="E105" s="33" t="inlineStr">
        <is>
          <t>Dumbbell</t>
        </is>
      </c>
      <c r="F105" s="33" t="inlineStr">
        <is>
          <t>lbs</t>
        </is>
      </c>
      <c r="G105" s="33" t="n">
        <v>3</v>
      </c>
      <c r="H105" s="33" t="n">
        <v>30</v>
      </c>
      <c r="I105" s="33" t="n">
        <v>8</v>
      </c>
      <c r="J105" s="33" t="inlineStr">
        <is>
          <t>N</t>
        </is>
      </c>
      <c r="K105" s="33">
        <f>IF($J105="Y","",IF($F105="BW",$I105,$H105*$I105))</f>
        <v/>
      </c>
      <c r="L105" s="33">
        <f>$D105&amp;"|"&amp;$H105</f>
        <v/>
      </c>
      <c r="M105" s="33" t="n"/>
    </row>
    <row r="106" ht="15" customHeight="1" s="22">
      <c r="A106" s="32" t="n">
        <v>46062</v>
      </c>
      <c r="B106" s="33" t="inlineStr">
        <is>
          <t>Mon</t>
        </is>
      </c>
      <c r="C106" s="33" t="inlineStr">
        <is>
          <t>Push + Pull</t>
        </is>
      </c>
      <c r="D106" s="33" t="inlineStr">
        <is>
          <t>Single Arm Lat Pulldown</t>
        </is>
      </c>
      <c r="E106" s="33" t="inlineStr">
        <is>
          <t>Cable</t>
        </is>
      </c>
      <c r="F106" s="33" t="inlineStr">
        <is>
          <t>kg</t>
        </is>
      </c>
      <c r="G106" s="33" t="n">
        <v>1</v>
      </c>
      <c r="H106" s="33" t="n">
        <v>17.5</v>
      </c>
      <c r="I106" s="33" t="n">
        <v>8</v>
      </c>
      <c r="J106" s="33" t="inlineStr">
        <is>
          <t>N</t>
        </is>
      </c>
      <c r="K106" s="33">
        <f>IF($J106="Y","",IF($F106="BW",$I106,$H106*$I106))</f>
        <v/>
      </c>
      <c r="L106" s="33">
        <f>$D106&amp;"|"&amp;$H106</f>
        <v/>
      </c>
      <c r="M106" s="33" t="n"/>
    </row>
    <row r="107" ht="15" customHeight="1" s="22">
      <c r="A107" s="32" t="n">
        <v>46062</v>
      </c>
      <c r="B107" s="33" t="inlineStr">
        <is>
          <t>Mon</t>
        </is>
      </c>
      <c r="C107" s="33" t="inlineStr">
        <is>
          <t>Push + Pull</t>
        </is>
      </c>
      <c r="D107" s="33" t="inlineStr">
        <is>
          <t>Single Arm Lat Pulldown</t>
        </is>
      </c>
      <c r="E107" s="33" t="inlineStr">
        <is>
          <t>Cable</t>
        </is>
      </c>
      <c r="F107" s="33" t="inlineStr">
        <is>
          <t>kg</t>
        </is>
      </c>
      <c r="G107" s="33" t="n">
        <v>2</v>
      </c>
      <c r="H107" s="33" t="n">
        <v>20</v>
      </c>
      <c r="I107" s="33" t="n">
        <v>8</v>
      </c>
      <c r="J107" s="33" t="inlineStr">
        <is>
          <t>N</t>
        </is>
      </c>
      <c r="K107" s="33">
        <f>IF($J107="Y","",IF($F107="BW",$I107,$H107*$I107))</f>
        <v/>
      </c>
      <c r="L107" s="33">
        <f>$D107&amp;"|"&amp;$H107</f>
        <v/>
      </c>
      <c r="M107" s="33" t="n"/>
    </row>
    <row r="108" ht="15" customHeight="1" s="22">
      <c r="A108" s="32" t="n">
        <v>46062</v>
      </c>
      <c r="B108" s="33" t="inlineStr">
        <is>
          <t>Mon</t>
        </is>
      </c>
      <c r="C108" s="33" t="inlineStr">
        <is>
          <t>Push + Pull</t>
        </is>
      </c>
      <c r="D108" s="33" t="inlineStr">
        <is>
          <t>Single Arm Lat Pulldown</t>
        </is>
      </c>
      <c r="E108" s="33" t="inlineStr">
        <is>
          <t>Cable</t>
        </is>
      </c>
      <c r="F108" s="33" t="inlineStr">
        <is>
          <t>kg</t>
        </is>
      </c>
      <c r="G108" s="33" t="n">
        <v>3</v>
      </c>
      <c r="H108" s="33" t="n">
        <v>22.5</v>
      </c>
      <c r="I108" s="33" t="n">
        <v>8</v>
      </c>
      <c r="J108" s="33" t="inlineStr">
        <is>
          <t>N</t>
        </is>
      </c>
      <c r="K108" s="33">
        <f>IF($J108="Y","",IF($F108="BW",$I108,$H108*$I108))</f>
        <v/>
      </c>
      <c r="L108" s="33">
        <f>$D108&amp;"|"&amp;$H108</f>
        <v/>
      </c>
      <c r="M108" s="33" t="n"/>
    </row>
    <row r="109" ht="15" customHeight="1" s="22">
      <c r="A109" s="32" t="n">
        <v>46062</v>
      </c>
      <c r="B109" s="33" t="inlineStr">
        <is>
          <t>Mon</t>
        </is>
      </c>
      <c r="C109" s="33" t="inlineStr">
        <is>
          <t>Push + Pull</t>
        </is>
      </c>
      <c r="D109" s="33" t="inlineStr">
        <is>
          <t>Bicep Curls (DB)</t>
        </is>
      </c>
      <c r="E109" s="33" t="inlineStr">
        <is>
          <t>Dumbbell</t>
        </is>
      </c>
      <c r="F109" s="33" t="inlineStr">
        <is>
          <t>lbs</t>
        </is>
      </c>
      <c r="G109" s="33" t="n">
        <v>1</v>
      </c>
      <c r="H109" s="33" t="n">
        <v>30</v>
      </c>
      <c r="I109" s="33" t="n">
        <v>6</v>
      </c>
      <c r="J109" s="33" t="inlineStr">
        <is>
          <t>N</t>
        </is>
      </c>
      <c r="K109" s="33">
        <f>IF($J109="Y","",IF($F109="BW",$I109,$H109*$I109))</f>
        <v/>
      </c>
      <c r="L109" s="33">
        <f>$D109&amp;"|"&amp;$H109</f>
        <v/>
      </c>
      <c r="M109" s="33" t="n"/>
    </row>
    <row r="110" ht="15" customHeight="1" s="22">
      <c r="A110" s="32" t="n">
        <v>46062</v>
      </c>
      <c r="B110" s="33" t="inlineStr">
        <is>
          <t>Mon</t>
        </is>
      </c>
      <c r="C110" s="33" t="inlineStr">
        <is>
          <t>Push + Pull</t>
        </is>
      </c>
      <c r="D110" s="33" t="inlineStr">
        <is>
          <t>Bicep Curls (DB)</t>
        </is>
      </c>
      <c r="E110" s="33" t="inlineStr">
        <is>
          <t>Dumbbell</t>
        </is>
      </c>
      <c r="F110" s="33" t="inlineStr">
        <is>
          <t>lbs</t>
        </is>
      </c>
      <c r="G110" s="33" t="n">
        <v>2</v>
      </c>
      <c r="H110" s="33" t="n">
        <v>30</v>
      </c>
      <c r="I110" s="33" t="n">
        <v>6</v>
      </c>
      <c r="J110" s="33" t="inlineStr">
        <is>
          <t>N</t>
        </is>
      </c>
      <c r="K110" s="33">
        <f>IF($J110="Y","",IF($F110="BW",$I110,$H110*$I110))</f>
        <v/>
      </c>
      <c r="L110" s="33">
        <f>$D110&amp;"|"&amp;$H110</f>
        <v/>
      </c>
      <c r="M110" s="33" t="n"/>
    </row>
    <row r="111" ht="15" customHeight="1" s="22">
      <c r="A111" s="32" t="n">
        <v>46062</v>
      </c>
      <c r="B111" s="33" t="inlineStr">
        <is>
          <t>Mon</t>
        </is>
      </c>
      <c r="C111" s="33" t="inlineStr">
        <is>
          <t>Push + Pull</t>
        </is>
      </c>
      <c r="D111" s="33" t="inlineStr">
        <is>
          <t>Tricep Ext Overhead</t>
        </is>
      </c>
      <c r="E111" s="33" t="inlineStr">
        <is>
          <t>Dumbbell</t>
        </is>
      </c>
      <c r="F111" s="33" t="inlineStr">
        <is>
          <t>lbs</t>
        </is>
      </c>
      <c r="G111" s="33" t="n">
        <v>1</v>
      </c>
      <c r="H111" s="33" t="n">
        <v>45</v>
      </c>
      <c r="I111" s="33" t="n">
        <v>8</v>
      </c>
      <c r="J111" s="33" t="inlineStr">
        <is>
          <t>N</t>
        </is>
      </c>
      <c r="K111" s="33">
        <f>IF($J111="Y","",IF($F111="BW",$I111,$H111*$I111))</f>
        <v/>
      </c>
      <c r="L111" s="33">
        <f>$D111&amp;"|"&amp;$H111</f>
        <v/>
      </c>
      <c r="M111" s="33" t="n"/>
    </row>
    <row r="112" ht="15" customHeight="1" s="22">
      <c r="A112" s="32" t="n">
        <v>46062</v>
      </c>
      <c r="B112" s="33" t="inlineStr">
        <is>
          <t>Mon</t>
        </is>
      </c>
      <c r="C112" s="33" t="inlineStr">
        <is>
          <t>Push + Pull</t>
        </is>
      </c>
      <c r="D112" s="33" t="inlineStr">
        <is>
          <t>Tricep Ext Overhead</t>
        </is>
      </c>
      <c r="E112" s="33" t="inlineStr">
        <is>
          <t>Dumbbell</t>
        </is>
      </c>
      <c r="F112" s="33" t="inlineStr">
        <is>
          <t>lbs</t>
        </is>
      </c>
      <c r="G112" s="33" t="n">
        <v>2</v>
      </c>
      <c r="H112" s="33" t="n">
        <v>45</v>
      </c>
      <c r="I112" s="33" t="n">
        <v>8</v>
      </c>
      <c r="J112" s="33" t="inlineStr">
        <is>
          <t>N</t>
        </is>
      </c>
      <c r="K112" s="33">
        <f>IF($J112="Y","",IF($F112="BW",$I112,$H112*$I112))</f>
        <v/>
      </c>
      <c r="L112" s="33">
        <f>$D112&amp;"|"&amp;$H112</f>
        <v/>
      </c>
      <c r="M112" s="33" t="n"/>
    </row>
    <row r="113" ht="15" customHeight="1" s="22">
      <c r="A113" s="32" t="n">
        <v>46062</v>
      </c>
      <c r="B113" s="33" t="inlineStr">
        <is>
          <t>Mon</t>
        </is>
      </c>
      <c r="C113" s="33" t="inlineStr">
        <is>
          <t>Push + Pull</t>
        </is>
      </c>
      <c r="D113" s="33" t="inlineStr">
        <is>
          <t>Tricep Ext Overhead</t>
        </is>
      </c>
      <c r="E113" s="33" t="inlineStr">
        <is>
          <t>Dumbbell</t>
        </is>
      </c>
      <c r="F113" s="33" t="inlineStr">
        <is>
          <t>lbs</t>
        </is>
      </c>
      <c r="G113" s="33" t="n">
        <v>3</v>
      </c>
      <c r="H113" s="33" t="n">
        <v>45</v>
      </c>
      <c r="I113" s="33" t="n">
        <v>8</v>
      </c>
      <c r="J113" s="33" t="inlineStr">
        <is>
          <t>N</t>
        </is>
      </c>
      <c r="K113" s="33">
        <f>IF($J113="Y","",IF($F113="BW",$I113,$H113*$I113))</f>
        <v/>
      </c>
      <c r="L113" s="33">
        <f>$D113&amp;"|"&amp;$H113</f>
        <v/>
      </c>
      <c r="M113" s="33" t="n"/>
    </row>
    <row r="114" ht="15" customHeight="1" s="22">
      <c r="A114" s="32" t="n">
        <v>46063</v>
      </c>
      <c r="B114" s="33" t="inlineStr">
        <is>
          <t>Tue</t>
        </is>
      </c>
      <c r="C114" s="33" t="inlineStr">
        <is>
          <t>Legs</t>
        </is>
      </c>
      <c r="D114" s="33" t="inlineStr">
        <is>
          <t>Squats</t>
        </is>
      </c>
      <c r="E114" s="33" t="inlineStr">
        <is>
          <t>Smith</t>
        </is>
      </c>
      <c r="F114" s="33" t="inlineStr">
        <is>
          <t>lbs</t>
        </is>
      </c>
      <c r="G114" s="33" t="n">
        <v>1</v>
      </c>
      <c r="H114" s="33" t="n">
        <v>45</v>
      </c>
      <c r="I114" s="33" t="n">
        <v>8</v>
      </c>
      <c r="J114" s="33" t="inlineStr">
        <is>
          <t>N</t>
        </is>
      </c>
      <c r="K114" s="33">
        <f>IF($J114="Y","",IF($F114="BW",$I114,$H114*$I114))</f>
        <v/>
      </c>
      <c r="L114" s="33">
        <f>$D114&amp;"|"&amp;$H114</f>
        <v/>
      </c>
      <c r="M114" s="33" t="n"/>
    </row>
    <row r="115" ht="15" customHeight="1" s="22">
      <c r="A115" s="32" t="n">
        <v>46063</v>
      </c>
      <c r="B115" s="33" t="inlineStr">
        <is>
          <t>Tue</t>
        </is>
      </c>
      <c r="C115" s="33" t="inlineStr">
        <is>
          <t>Legs</t>
        </is>
      </c>
      <c r="D115" s="33" t="inlineStr">
        <is>
          <t>Squats</t>
        </is>
      </c>
      <c r="E115" s="33" t="inlineStr">
        <is>
          <t>Smith</t>
        </is>
      </c>
      <c r="F115" s="33" t="inlineStr">
        <is>
          <t>lbs</t>
        </is>
      </c>
      <c r="G115" s="33" t="n">
        <v>2</v>
      </c>
      <c r="H115" s="33" t="n">
        <v>50</v>
      </c>
      <c r="I115" s="33" t="n">
        <v>8</v>
      </c>
      <c r="J115" s="33" t="inlineStr">
        <is>
          <t>N</t>
        </is>
      </c>
      <c r="K115" s="33">
        <f>IF($J115="Y","",IF($F115="BW",$I115,$H115*$I115))</f>
        <v/>
      </c>
      <c r="L115" s="33">
        <f>$D115&amp;"|"&amp;$H115</f>
        <v/>
      </c>
      <c r="M115" s="33" t="n"/>
    </row>
    <row r="116" ht="15" customHeight="1" s="22">
      <c r="A116" s="32" t="n">
        <v>46063</v>
      </c>
      <c r="B116" s="33" t="inlineStr">
        <is>
          <t>Tue</t>
        </is>
      </c>
      <c r="C116" s="33" t="inlineStr">
        <is>
          <t>Legs</t>
        </is>
      </c>
      <c r="D116" s="33" t="inlineStr">
        <is>
          <t>Squats</t>
        </is>
      </c>
      <c r="E116" s="33" t="inlineStr">
        <is>
          <t>Smith</t>
        </is>
      </c>
      <c r="F116" s="33" t="inlineStr">
        <is>
          <t>lbs</t>
        </is>
      </c>
      <c r="G116" s="33" t="n">
        <v>3</v>
      </c>
      <c r="H116" s="33" t="n">
        <v>50</v>
      </c>
      <c r="I116" s="33" t="n">
        <v>8</v>
      </c>
      <c r="J116" s="33" t="inlineStr">
        <is>
          <t>N</t>
        </is>
      </c>
      <c r="K116" s="33">
        <f>IF($J116="Y","",IF($F116="BW",$I116,$H116*$I116))</f>
        <v/>
      </c>
      <c r="L116" s="33">
        <f>$D116&amp;"|"&amp;$H116</f>
        <v/>
      </c>
      <c r="M116" s="33" t="n"/>
    </row>
    <row r="117" ht="15" customHeight="1" s="22">
      <c r="A117" s="32" t="n">
        <v>46063</v>
      </c>
      <c r="B117" s="33" t="inlineStr">
        <is>
          <t>Tue</t>
        </is>
      </c>
      <c r="C117" s="33" t="inlineStr">
        <is>
          <t>Legs</t>
        </is>
      </c>
      <c r="D117" s="33" t="inlineStr">
        <is>
          <t>Lunges</t>
        </is>
      </c>
      <c r="E117" s="33" t="inlineStr">
        <is>
          <t>Bodyweight</t>
        </is>
      </c>
      <c r="F117" s="33" t="inlineStr">
        <is>
          <t>BW</t>
        </is>
      </c>
      <c r="G117" s="33" t="n">
        <v>1</v>
      </c>
      <c r="H117" s="33" t="n">
        <v>0</v>
      </c>
      <c r="I117" s="33" t="n">
        <v>8</v>
      </c>
      <c r="J117" s="33" t="inlineStr">
        <is>
          <t>N</t>
        </is>
      </c>
      <c r="K117" s="33">
        <f>IF($J117="Y","",IF($F117="BW",$I117,$H117*$I117))</f>
        <v/>
      </c>
      <c r="L117" s="33">
        <f>$D117&amp;"|"&amp;$H117</f>
        <v/>
      </c>
      <c r="M117" s="33" t="n"/>
    </row>
    <row r="118" ht="15" customHeight="1" s="22">
      <c r="A118" s="32" t="n">
        <v>46063</v>
      </c>
      <c r="B118" s="33" t="inlineStr">
        <is>
          <t>Tue</t>
        </is>
      </c>
      <c r="C118" s="33" t="inlineStr">
        <is>
          <t>Legs</t>
        </is>
      </c>
      <c r="D118" s="33" t="inlineStr">
        <is>
          <t>Lunges</t>
        </is>
      </c>
      <c r="E118" s="33" t="inlineStr">
        <is>
          <t>Bodyweight</t>
        </is>
      </c>
      <c r="F118" s="33" t="inlineStr">
        <is>
          <t>BW</t>
        </is>
      </c>
      <c r="G118" s="33" t="n">
        <v>2</v>
      </c>
      <c r="H118" s="33" t="n">
        <v>0</v>
      </c>
      <c r="I118" s="33" t="n">
        <v>8</v>
      </c>
      <c r="J118" s="33" t="inlineStr">
        <is>
          <t>N</t>
        </is>
      </c>
      <c r="K118" s="33">
        <f>IF($J118="Y","",IF($F118="BW",$I118,$H118*$I118))</f>
        <v/>
      </c>
      <c r="L118" s="33">
        <f>$D118&amp;"|"&amp;$H118</f>
        <v/>
      </c>
      <c r="M118" s="33" t="n"/>
    </row>
    <row r="119" ht="15" customHeight="1" s="22">
      <c r="A119" s="32" t="n">
        <v>46063</v>
      </c>
      <c r="B119" s="33" t="inlineStr">
        <is>
          <t>Tue</t>
        </is>
      </c>
      <c r="C119" s="33" t="inlineStr">
        <is>
          <t>Legs</t>
        </is>
      </c>
      <c r="D119" s="33" t="inlineStr">
        <is>
          <t>Lunges</t>
        </is>
      </c>
      <c r="E119" s="33" t="inlineStr">
        <is>
          <t>Bodyweight</t>
        </is>
      </c>
      <c r="F119" s="33" t="inlineStr">
        <is>
          <t>BW</t>
        </is>
      </c>
      <c r="G119" s="33" t="n">
        <v>3</v>
      </c>
      <c r="H119" s="33" t="n">
        <v>0</v>
      </c>
      <c r="I119" s="33" t="n">
        <v>8</v>
      </c>
      <c r="J119" s="33" t="inlineStr">
        <is>
          <t>N</t>
        </is>
      </c>
      <c r="K119" s="33">
        <f>IF($J119="Y","",IF($F119="BW",$I119,$H119*$I119))</f>
        <v/>
      </c>
      <c r="L119" s="33">
        <f>$D119&amp;"|"&amp;$H119</f>
        <v/>
      </c>
      <c r="M119" s="33" t="n"/>
    </row>
    <row r="120" ht="15" customHeight="1" s="22">
      <c r="A120" s="34" t="n">
        <v>46063</v>
      </c>
      <c r="B120" s="35" t="inlineStr">
        <is>
          <t>Tue</t>
        </is>
      </c>
      <c r="C120" s="35" t="inlineStr">
        <is>
          <t>Legs</t>
        </is>
      </c>
      <c r="D120" s="35" t="inlineStr">
        <is>
          <t>RDLs</t>
        </is>
      </c>
      <c r="E120" s="35" t="inlineStr">
        <is>
          <t>Smith</t>
        </is>
      </c>
      <c r="F120" s="35" t="inlineStr">
        <is>
          <t>lbs</t>
        </is>
      </c>
      <c r="G120" s="35" t="n">
        <v>1</v>
      </c>
      <c r="H120" s="35" t="n">
        <v>25</v>
      </c>
      <c r="I120" s="35" t="n">
        <v>8</v>
      </c>
      <c r="J120" s="35" t="inlineStr">
        <is>
          <t>Y</t>
        </is>
      </c>
      <c r="K120" s="35">
        <f>IF($J120="Y","",IF($F120="BW",$I120,$H120*$I120))</f>
        <v/>
      </c>
      <c r="L120" s="35">
        <f>$D120&amp;"|"&amp;$H120</f>
        <v/>
      </c>
      <c r="M120" s="35" t="n"/>
    </row>
    <row r="121" ht="15" customHeight="1" s="22">
      <c r="A121" s="32" t="n">
        <v>46063</v>
      </c>
      <c r="B121" s="33" t="inlineStr">
        <is>
          <t>Tue</t>
        </is>
      </c>
      <c r="C121" s="33" t="inlineStr">
        <is>
          <t>Legs</t>
        </is>
      </c>
      <c r="D121" s="33" t="inlineStr">
        <is>
          <t>RDLs</t>
        </is>
      </c>
      <c r="E121" s="33" t="inlineStr">
        <is>
          <t>Smith</t>
        </is>
      </c>
      <c r="F121" s="33" t="inlineStr">
        <is>
          <t>lbs</t>
        </is>
      </c>
      <c r="G121" s="33" t="n">
        <v>2</v>
      </c>
      <c r="H121" s="33" t="n">
        <v>50</v>
      </c>
      <c r="I121" s="33" t="n">
        <v>8</v>
      </c>
      <c r="J121" s="33" t="inlineStr">
        <is>
          <t>N</t>
        </is>
      </c>
      <c r="K121" s="33">
        <f>IF($J121="Y","",IF($F121="BW",$I121,$H121*$I121))</f>
        <v/>
      </c>
      <c r="L121" s="33">
        <f>$D121&amp;"|"&amp;$H121</f>
        <v/>
      </c>
      <c r="M121" s="33" t="n"/>
    </row>
    <row r="122" ht="15" customHeight="1" s="22">
      <c r="A122" s="32" t="n">
        <v>46063</v>
      </c>
      <c r="B122" s="33" t="inlineStr">
        <is>
          <t>Tue</t>
        </is>
      </c>
      <c r="C122" s="33" t="inlineStr">
        <is>
          <t>Legs</t>
        </is>
      </c>
      <c r="D122" s="33" t="inlineStr">
        <is>
          <t>RDLs</t>
        </is>
      </c>
      <c r="E122" s="33" t="inlineStr">
        <is>
          <t>Smith</t>
        </is>
      </c>
      <c r="F122" s="33" t="inlineStr">
        <is>
          <t>lbs</t>
        </is>
      </c>
      <c r="G122" s="33" t="n">
        <v>3</v>
      </c>
      <c r="H122" s="33" t="n">
        <v>50</v>
      </c>
      <c r="I122" s="33" t="n">
        <v>8</v>
      </c>
      <c r="J122" s="33" t="inlineStr">
        <is>
          <t>N</t>
        </is>
      </c>
      <c r="K122" s="33">
        <f>IF($J122="Y","",IF($F122="BW",$I122,$H122*$I122))</f>
        <v/>
      </c>
      <c r="L122" s="33">
        <f>$D122&amp;"|"&amp;$H122</f>
        <v/>
      </c>
      <c r="M122" s="33" t="n"/>
    </row>
    <row r="123" ht="15" customHeight="1" s="22">
      <c r="A123" s="32" t="n">
        <v>46063</v>
      </c>
      <c r="B123" s="33" t="inlineStr">
        <is>
          <t>Tue</t>
        </is>
      </c>
      <c r="C123" s="33" t="inlineStr">
        <is>
          <t>Legs</t>
        </is>
      </c>
      <c r="D123" s="33" t="inlineStr">
        <is>
          <t>Calf Raises (Smith)</t>
        </is>
      </c>
      <c r="E123" s="33" t="inlineStr">
        <is>
          <t>Smith</t>
        </is>
      </c>
      <c r="F123" s="33" t="inlineStr">
        <is>
          <t>lbs</t>
        </is>
      </c>
      <c r="G123" s="33" t="n">
        <v>1</v>
      </c>
      <c r="H123" s="33" t="n">
        <v>35</v>
      </c>
      <c r="I123" s="33" t="n">
        <v>15</v>
      </c>
      <c r="J123" s="33" t="inlineStr">
        <is>
          <t>N</t>
        </is>
      </c>
      <c r="K123" s="33">
        <f>IF($J123="Y","",IF($F123="BW",$I123,$H123*$I123))</f>
        <v/>
      </c>
      <c r="L123" s="33">
        <f>$D123&amp;"|"&amp;$H123</f>
        <v/>
      </c>
      <c r="M123" s="33" t="n"/>
    </row>
    <row r="124" ht="15" customHeight="1" s="22">
      <c r="A124" s="32" t="n">
        <v>46063</v>
      </c>
      <c r="B124" s="33" t="inlineStr">
        <is>
          <t>Tue</t>
        </is>
      </c>
      <c r="C124" s="33" t="inlineStr">
        <is>
          <t>Legs</t>
        </is>
      </c>
      <c r="D124" s="33" t="inlineStr">
        <is>
          <t>Calf Raises (Smith)</t>
        </is>
      </c>
      <c r="E124" s="33" t="inlineStr">
        <is>
          <t>Smith</t>
        </is>
      </c>
      <c r="F124" s="33" t="inlineStr">
        <is>
          <t>lbs</t>
        </is>
      </c>
      <c r="G124" s="33" t="n">
        <v>2</v>
      </c>
      <c r="H124" s="33" t="n">
        <v>35</v>
      </c>
      <c r="I124" s="33" t="n">
        <v>15</v>
      </c>
      <c r="J124" s="33" t="inlineStr">
        <is>
          <t>N</t>
        </is>
      </c>
      <c r="K124" s="33">
        <f>IF($J124="Y","",IF($F124="BW",$I124,$H124*$I124))</f>
        <v/>
      </c>
      <c r="L124" s="33">
        <f>$D124&amp;"|"&amp;$H124</f>
        <v/>
      </c>
      <c r="M124" s="33" t="n"/>
    </row>
    <row r="125" ht="15" customHeight="1" s="22">
      <c r="A125" s="32" t="n">
        <v>46066</v>
      </c>
      <c r="B125" s="33" t="inlineStr">
        <is>
          <t>Fri</t>
        </is>
      </c>
      <c r="C125" s="33" t="inlineStr">
        <is>
          <t>Upper (Planet Fitness)</t>
        </is>
      </c>
      <c r="D125" s="33" t="inlineStr">
        <is>
          <t>Chest Press Machine</t>
        </is>
      </c>
      <c r="E125" s="33" t="inlineStr">
        <is>
          <t>Machine</t>
        </is>
      </c>
      <c r="F125" s="33" t="inlineStr">
        <is>
          <t>lbs</t>
        </is>
      </c>
      <c r="G125" s="33" t="n">
        <v>1</v>
      </c>
      <c r="H125" s="33" t="n">
        <v>55</v>
      </c>
      <c r="I125" s="33" t="n">
        <v>8</v>
      </c>
      <c r="J125" s="33" t="inlineStr">
        <is>
          <t>N</t>
        </is>
      </c>
      <c r="K125" s="33">
        <f>IF($J125="Y","",IF($F125="BW",$I125,$H125*$I125))</f>
        <v/>
      </c>
      <c r="L125" s="33">
        <f>$D125&amp;"|"&amp;$H125</f>
        <v/>
      </c>
      <c r="M125" s="33" t="n"/>
    </row>
    <row r="126" ht="15" customHeight="1" s="22">
      <c r="A126" s="32" t="n">
        <v>46066</v>
      </c>
      <c r="B126" s="33" t="inlineStr">
        <is>
          <t>Fri</t>
        </is>
      </c>
      <c r="C126" s="33" t="inlineStr">
        <is>
          <t>Upper (Planet Fitness)</t>
        </is>
      </c>
      <c r="D126" s="33" t="inlineStr">
        <is>
          <t>Lat Pulldown Machine</t>
        </is>
      </c>
      <c r="E126" s="33" t="inlineStr">
        <is>
          <t>Machine</t>
        </is>
      </c>
      <c r="F126" s="33" t="inlineStr">
        <is>
          <t>lbs</t>
        </is>
      </c>
      <c r="G126" s="33" t="n">
        <v>1</v>
      </c>
      <c r="H126" s="33" t="n">
        <v>100</v>
      </c>
      <c r="I126" s="33" t="n">
        <v>8</v>
      </c>
      <c r="J126" s="33" t="inlineStr">
        <is>
          <t>N</t>
        </is>
      </c>
      <c r="K126" s="33">
        <f>IF($J126="Y","",IF($F126="BW",$I126,$H126*$I126))</f>
        <v/>
      </c>
      <c r="L126" s="33">
        <f>$D126&amp;"|"&amp;$H126</f>
        <v/>
      </c>
      <c r="M126" s="33" t="n"/>
    </row>
    <row r="127" ht="15" customHeight="1" s="22">
      <c r="A127" s="32" t="n">
        <v>46066</v>
      </c>
      <c r="B127" s="33" t="inlineStr">
        <is>
          <t>Fri</t>
        </is>
      </c>
      <c r="C127" s="33" t="inlineStr">
        <is>
          <t>Upper (Planet Fitness)</t>
        </is>
      </c>
      <c r="D127" s="33" t="inlineStr">
        <is>
          <t>Shoulder Press Machine</t>
        </is>
      </c>
      <c r="E127" s="33" t="inlineStr">
        <is>
          <t>Machine</t>
        </is>
      </c>
      <c r="F127" s="33" t="inlineStr">
        <is>
          <t>lbs</t>
        </is>
      </c>
      <c r="G127" s="33" t="n">
        <v>1</v>
      </c>
      <c r="H127" s="33" t="n">
        <v>65</v>
      </c>
      <c r="I127" s="33" t="n">
        <v>6</v>
      </c>
      <c r="J127" s="33" t="inlineStr">
        <is>
          <t>N</t>
        </is>
      </c>
      <c r="K127" s="33">
        <f>IF($J127="Y","",IF($F127="BW",$I127,$H127*$I127))</f>
        <v/>
      </c>
      <c r="L127" s="33">
        <f>$D127&amp;"|"&amp;$H127</f>
        <v/>
      </c>
      <c r="M127" s="33" t="n"/>
    </row>
    <row r="128" ht="15" customHeight="1" s="22">
      <c r="A128" s="32" t="n">
        <v>46066</v>
      </c>
      <c r="B128" s="33" t="inlineStr">
        <is>
          <t>Fri</t>
        </is>
      </c>
      <c r="C128" s="33" t="inlineStr">
        <is>
          <t>Upper (Planet Fitness)</t>
        </is>
      </c>
      <c r="D128" s="33" t="inlineStr">
        <is>
          <t>Lateral Raises</t>
        </is>
      </c>
      <c r="E128" s="33" t="inlineStr">
        <is>
          <t>Dumbbell</t>
        </is>
      </c>
      <c r="F128" s="33" t="inlineStr">
        <is>
          <t>lbs</t>
        </is>
      </c>
      <c r="G128" s="33" t="n">
        <v>1</v>
      </c>
      <c r="H128" s="33" t="n">
        <v>10</v>
      </c>
      <c r="I128" s="33" t="n">
        <v>12</v>
      </c>
      <c r="J128" s="33" t="inlineStr">
        <is>
          <t>N</t>
        </is>
      </c>
      <c r="K128" s="33">
        <f>IF($J128="Y","",IF($F128="BW",$I128,$H128*$I128))</f>
        <v/>
      </c>
      <c r="L128" s="33">
        <f>$D128&amp;"|"&amp;$H128</f>
        <v/>
      </c>
      <c r="M128" s="33" t="n"/>
    </row>
    <row r="129" ht="15" customHeight="1" s="22">
      <c r="A129" s="32" t="n">
        <v>46068</v>
      </c>
      <c r="B129" s="33" t="inlineStr">
        <is>
          <t>Sun</t>
        </is>
      </c>
      <c r="C129" s="33" t="inlineStr">
        <is>
          <t>Pull (Planet Fitness)</t>
        </is>
      </c>
      <c r="D129" s="33" t="inlineStr">
        <is>
          <t>Assisted Pull-ups</t>
        </is>
      </c>
      <c r="E129" s="33" t="inlineStr">
        <is>
          <t>Machine</t>
        </is>
      </c>
      <c r="F129" s="33" t="inlineStr">
        <is>
          <t>lbs</t>
        </is>
      </c>
      <c r="G129" s="33" t="n">
        <v>1</v>
      </c>
      <c r="H129" s="33" t="n">
        <v>85</v>
      </c>
      <c r="I129" s="33" t="n">
        <v>8</v>
      </c>
      <c r="J129" s="33" t="inlineStr">
        <is>
          <t>N</t>
        </is>
      </c>
      <c r="K129" s="33">
        <f>IF($J129="Y","",IF($F129="BW",$I129,$H129*$I129))</f>
        <v/>
      </c>
      <c r="L129" s="33">
        <f>$D129&amp;"|"&amp;$H129</f>
        <v/>
      </c>
      <c r="M129" s="33" t="n"/>
    </row>
    <row r="130" ht="15" customHeight="1" s="22">
      <c r="A130" s="32" t="n">
        <v>46068</v>
      </c>
      <c r="B130" s="33" t="inlineStr">
        <is>
          <t>Sun</t>
        </is>
      </c>
      <c r="C130" s="33" t="inlineStr">
        <is>
          <t>Pull (Planet Fitness)</t>
        </is>
      </c>
      <c r="D130" s="33" t="inlineStr">
        <is>
          <t>Assisted Pull-ups</t>
        </is>
      </c>
      <c r="E130" s="33" t="inlineStr">
        <is>
          <t>Machine</t>
        </is>
      </c>
      <c r="F130" s="33" t="inlineStr">
        <is>
          <t>lbs</t>
        </is>
      </c>
      <c r="G130" s="33" t="n">
        <v>2</v>
      </c>
      <c r="H130" s="33" t="n">
        <v>70</v>
      </c>
      <c r="I130" s="33" t="n">
        <v>8</v>
      </c>
      <c r="J130" s="33" t="inlineStr">
        <is>
          <t>N</t>
        </is>
      </c>
      <c r="K130" s="33">
        <f>IF($J130="Y","",IF($F130="BW",$I130,$H130*$I130))</f>
        <v/>
      </c>
      <c r="L130" s="33">
        <f>$D130&amp;"|"&amp;$H130</f>
        <v/>
      </c>
      <c r="M130" s="33" t="n"/>
    </row>
    <row r="131" ht="15" customHeight="1" s="22">
      <c r="A131" s="32" t="n">
        <v>46068</v>
      </c>
      <c r="B131" s="33" t="inlineStr">
        <is>
          <t>Sun</t>
        </is>
      </c>
      <c r="C131" s="33" t="inlineStr">
        <is>
          <t>Pull (Planet Fitness)</t>
        </is>
      </c>
      <c r="D131" s="33" t="inlineStr">
        <is>
          <t>Dips</t>
        </is>
      </c>
      <c r="E131" s="33" t="inlineStr">
        <is>
          <t>Machine</t>
        </is>
      </c>
      <c r="F131" s="33" t="inlineStr">
        <is>
          <t>lbs</t>
        </is>
      </c>
      <c r="G131" s="33" t="n">
        <v>1</v>
      </c>
      <c r="H131" s="33" t="n">
        <v>70</v>
      </c>
      <c r="I131" s="33" t="n">
        <v>8</v>
      </c>
      <c r="J131" s="33" t="inlineStr">
        <is>
          <t>N</t>
        </is>
      </c>
      <c r="K131" s="33">
        <f>IF($J131="Y","",IF($F131="BW",$I131,$H131*$I131))</f>
        <v/>
      </c>
      <c r="L131" s="33">
        <f>$D131&amp;"|"&amp;$H131</f>
        <v/>
      </c>
      <c r="M131" s="33" t="n"/>
    </row>
    <row r="132" ht="15" customHeight="1" s="22">
      <c r="A132" s="32" t="n">
        <v>46068</v>
      </c>
      <c r="B132" s="33" t="inlineStr">
        <is>
          <t>Sun</t>
        </is>
      </c>
      <c r="C132" s="33" t="inlineStr">
        <is>
          <t>Pull (Planet Fitness)</t>
        </is>
      </c>
      <c r="D132" s="33" t="inlineStr">
        <is>
          <t>Dips</t>
        </is>
      </c>
      <c r="E132" s="33" t="inlineStr">
        <is>
          <t>Machine</t>
        </is>
      </c>
      <c r="F132" s="33" t="inlineStr">
        <is>
          <t>lbs</t>
        </is>
      </c>
      <c r="G132" s="33" t="n">
        <v>2</v>
      </c>
      <c r="H132" s="33" t="n">
        <v>55</v>
      </c>
      <c r="I132" s="33" t="n">
        <v>8</v>
      </c>
      <c r="J132" s="33" t="inlineStr">
        <is>
          <t>N</t>
        </is>
      </c>
      <c r="K132" s="33">
        <f>IF($J132="Y","",IF($F132="BW",$I132,$H132*$I132))</f>
        <v/>
      </c>
      <c r="L132" s="33">
        <f>$D132&amp;"|"&amp;$H132</f>
        <v/>
      </c>
      <c r="M132" s="33" t="n"/>
    </row>
    <row r="133" ht="15" customHeight="1" s="22">
      <c r="A133" s="32" t="n">
        <v>46068</v>
      </c>
      <c r="B133" s="33" t="inlineStr">
        <is>
          <t>Sun</t>
        </is>
      </c>
      <c r="C133" s="33" t="inlineStr">
        <is>
          <t>Pull (Planet Fitness)</t>
        </is>
      </c>
      <c r="D133" s="33" t="inlineStr">
        <is>
          <t>Dips</t>
        </is>
      </c>
      <c r="E133" s="33" t="inlineStr">
        <is>
          <t>Machine</t>
        </is>
      </c>
      <c r="F133" s="33" t="inlineStr">
        <is>
          <t>lbs</t>
        </is>
      </c>
      <c r="G133" s="33" t="n">
        <v>3</v>
      </c>
      <c r="H133" s="33" t="n">
        <v>40</v>
      </c>
      <c r="I133" s="33" t="n">
        <v>8</v>
      </c>
      <c r="J133" s="33" t="inlineStr">
        <is>
          <t>N</t>
        </is>
      </c>
      <c r="K133" s="33">
        <f>IF($J133="Y","",IF($F133="BW",$I133,$H133*$I133))</f>
        <v/>
      </c>
      <c r="L133" s="33">
        <f>$D133&amp;"|"&amp;$H133</f>
        <v/>
      </c>
      <c r="M133" s="33" t="n"/>
    </row>
    <row r="134" ht="15" customHeight="1" s="22">
      <c r="A134" s="32" t="n">
        <v>46068</v>
      </c>
      <c r="B134" s="33" t="inlineStr">
        <is>
          <t>Sun</t>
        </is>
      </c>
      <c r="C134" s="33" t="inlineStr">
        <is>
          <t>Pull (Planet Fitness)</t>
        </is>
      </c>
      <c r="D134" s="33" t="inlineStr">
        <is>
          <t>Chin-ups</t>
        </is>
      </c>
      <c r="E134" s="33" t="inlineStr">
        <is>
          <t>Bodyweight</t>
        </is>
      </c>
      <c r="F134" s="33" t="inlineStr">
        <is>
          <t>BW</t>
        </is>
      </c>
      <c r="G134" s="33" t="n">
        <v>1</v>
      </c>
      <c r="H134" s="33" t="n">
        <v>0</v>
      </c>
      <c r="I134" s="33" t="n">
        <v>8</v>
      </c>
      <c r="J134" s="33" t="inlineStr">
        <is>
          <t>N</t>
        </is>
      </c>
      <c r="K134" s="33">
        <f>IF($J134="Y","",IF($F134="BW",$I134,$H134*$I134))</f>
        <v/>
      </c>
      <c r="L134" s="33">
        <f>$D134&amp;"|"&amp;$H134</f>
        <v/>
      </c>
      <c r="M134" s="33" t="n"/>
    </row>
    <row r="135" ht="15" customHeight="1" s="22">
      <c r="A135" s="32" t="n">
        <v>46070</v>
      </c>
      <c r="B135" s="33" t="inlineStr">
        <is>
          <t>Tue</t>
        </is>
      </c>
      <c r="C135" s="33" t="inlineStr">
        <is>
          <t>Legs</t>
        </is>
      </c>
      <c r="D135" s="33" t="inlineStr">
        <is>
          <t>Squats</t>
        </is>
      </c>
      <c r="E135" s="33" t="inlineStr">
        <is>
          <t>Smith</t>
        </is>
      </c>
      <c r="F135" s="33" t="inlineStr">
        <is>
          <t>lbs</t>
        </is>
      </c>
      <c r="G135" s="33" t="n">
        <v>1</v>
      </c>
      <c r="H135" s="33" t="n">
        <v>40</v>
      </c>
      <c r="I135" s="33" t="n">
        <v>8</v>
      </c>
      <c r="J135" s="33" t="inlineStr">
        <is>
          <t>N</t>
        </is>
      </c>
      <c r="K135" s="33">
        <f>IF($J135="Y","",IF($F135="BW",$I135,$H135*$I135))</f>
        <v/>
      </c>
      <c r="L135" s="33">
        <f>$D135&amp;"|"&amp;$H135</f>
        <v/>
      </c>
      <c r="M135" s="33" t="n"/>
    </row>
    <row r="136" ht="15" customHeight="1" s="22">
      <c r="A136" s="32" t="n">
        <v>46070</v>
      </c>
      <c r="B136" s="33" t="inlineStr">
        <is>
          <t>Tue</t>
        </is>
      </c>
      <c r="C136" s="33" t="inlineStr">
        <is>
          <t>Legs</t>
        </is>
      </c>
      <c r="D136" s="33" t="inlineStr">
        <is>
          <t>Squats</t>
        </is>
      </c>
      <c r="E136" s="33" t="inlineStr">
        <is>
          <t>Smith</t>
        </is>
      </c>
      <c r="F136" s="33" t="inlineStr">
        <is>
          <t>lbs</t>
        </is>
      </c>
      <c r="G136" s="33" t="n">
        <v>2</v>
      </c>
      <c r="H136" s="33" t="n">
        <v>50</v>
      </c>
      <c r="I136" s="33" t="n">
        <v>8</v>
      </c>
      <c r="J136" s="33" t="inlineStr">
        <is>
          <t>N</t>
        </is>
      </c>
      <c r="K136" s="33">
        <f>IF($J136="Y","",IF($F136="BW",$I136,$H136*$I136))</f>
        <v/>
      </c>
      <c r="L136" s="33">
        <f>$D136&amp;"|"&amp;$H136</f>
        <v/>
      </c>
      <c r="M136" s="33" t="n"/>
    </row>
    <row r="137" ht="15" customHeight="1" s="22">
      <c r="A137" s="32" t="n">
        <v>46070</v>
      </c>
      <c r="B137" s="33" t="inlineStr">
        <is>
          <t>Tue</t>
        </is>
      </c>
      <c r="C137" s="33" t="inlineStr">
        <is>
          <t>Legs</t>
        </is>
      </c>
      <c r="D137" s="33" t="inlineStr">
        <is>
          <t>Squats</t>
        </is>
      </c>
      <c r="E137" s="33" t="inlineStr">
        <is>
          <t>Smith</t>
        </is>
      </c>
      <c r="F137" s="33" t="inlineStr">
        <is>
          <t>lbs</t>
        </is>
      </c>
      <c r="G137" s="33" t="n">
        <v>3</v>
      </c>
      <c r="H137" s="33" t="n">
        <v>50</v>
      </c>
      <c r="I137" s="33" t="n">
        <v>8</v>
      </c>
      <c r="J137" s="33" t="inlineStr">
        <is>
          <t>N</t>
        </is>
      </c>
      <c r="K137" s="33">
        <f>IF($J137="Y","",IF($F137="BW",$I137,$H137*$I137))</f>
        <v/>
      </c>
      <c r="L137" s="33">
        <f>$D137&amp;"|"&amp;$H137</f>
        <v/>
      </c>
      <c r="M137" s="33" t="n"/>
    </row>
    <row r="138" ht="15" customHeight="1" s="22">
      <c r="A138" s="32" t="n">
        <v>46070</v>
      </c>
      <c r="B138" s="33" t="inlineStr">
        <is>
          <t>Tue</t>
        </is>
      </c>
      <c r="C138" s="33" t="inlineStr">
        <is>
          <t>Legs</t>
        </is>
      </c>
      <c r="D138" s="33" t="inlineStr">
        <is>
          <t>RDLs</t>
        </is>
      </c>
      <c r="E138" s="33" t="inlineStr">
        <is>
          <t>Smith</t>
        </is>
      </c>
      <c r="F138" s="33" t="inlineStr">
        <is>
          <t>lbs</t>
        </is>
      </c>
      <c r="G138" s="33" t="n">
        <v>1</v>
      </c>
      <c r="H138" s="33" t="n">
        <v>45</v>
      </c>
      <c r="I138" s="33" t="n">
        <v>8</v>
      </c>
      <c r="J138" s="33" t="inlineStr">
        <is>
          <t>N</t>
        </is>
      </c>
      <c r="K138" s="33">
        <f>IF($J138="Y","",IF($F138="BW",$I138,$H138*$I138))</f>
        <v/>
      </c>
      <c r="L138" s="33">
        <f>$D138&amp;"|"&amp;$H138</f>
        <v/>
      </c>
      <c r="M138" s="33" t="n"/>
    </row>
    <row r="139" ht="15" customHeight="1" s="22">
      <c r="A139" s="32" t="n">
        <v>46070</v>
      </c>
      <c r="B139" s="33" t="inlineStr">
        <is>
          <t>Tue</t>
        </is>
      </c>
      <c r="C139" s="33" t="inlineStr">
        <is>
          <t>Legs</t>
        </is>
      </c>
      <c r="D139" s="33" t="inlineStr">
        <is>
          <t>RDLs</t>
        </is>
      </c>
      <c r="E139" s="33" t="inlineStr">
        <is>
          <t>Smith</t>
        </is>
      </c>
      <c r="F139" s="33" t="inlineStr">
        <is>
          <t>lbs</t>
        </is>
      </c>
      <c r="G139" s="33" t="n">
        <v>2</v>
      </c>
      <c r="H139" s="33" t="n">
        <v>55</v>
      </c>
      <c r="I139" s="33" t="n">
        <v>8</v>
      </c>
      <c r="J139" s="33" t="inlineStr">
        <is>
          <t>N</t>
        </is>
      </c>
      <c r="K139" s="33">
        <f>IF($J139="Y","",IF($F139="BW",$I139,$H139*$I139))</f>
        <v/>
      </c>
      <c r="L139" s="33">
        <f>$D139&amp;"|"&amp;$H139</f>
        <v/>
      </c>
      <c r="M139" s="33" t="n"/>
    </row>
    <row r="140" ht="15" customHeight="1" s="22">
      <c r="A140" s="32" t="n">
        <v>46070</v>
      </c>
      <c r="B140" s="33" t="inlineStr">
        <is>
          <t>Tue</t>
        </is>
      </c>
      <c r="C140" s="33" t="inlineStr">
        <is>
          <t>Legs</t>
        </is>
      </c>
      <c r="D140" s="33" t="inlineStr">
        <is>
          <t>RDLs</t>
        </is>
      </c>
      <c r="E140" s="33" t="inlineStr">
        <is>
          <t>Smith</t>
        </is>
      </c>
      <c r="F140" s="33" t="inlineStr">
        <is>
          <t>lbs</t>
        </is>
      </c>
      <c r="G140" s="33" t="n">
        <v>3</v>
      </c>
      <c r="H140" s="33" t="n">
        <v>55</v>
      </c>
      <c r="I140" s="33" t="n">
        <v>8</v>
      </c>
      <c r="J140" s="33" t="inlineStr">
        <is>
          <t>N</t>
        </is>
      </c>
      <c r="K140" s="33">
        <f>IF($J140="Y","",IF($F140="BW",$I140,$H140*$I140))</f>
        <v/>
      </c>
      <c r="L140" s="33">
        <f>$D140&amp;"|"&amp;$H140</f>
        <v/>
      </c>
      <c r="M140" s="33" t="n"/>
    </row>
    <row r="141" ht="15" customHeight="1" s="22">
      <c r="A141" s="32" t="n">
        <v>46073</v>
      </c>
      <c r="B141" s="33" t="inlineStr">
        <is>
          <t>Fri</t>
        </is>
      </c>
      <c r="C141" s="33" t="inlineStr">
        <is>
          <t>Push</t>
        </is>
      </c>
      <c r="D141" s="33" t="inlineStr">
        <is>
          <t>Bench Press (DB)</t>
        </is>
      </c>
      <c r="E141" s="33" t="inlineStr">
        <is>
          <t>Dumbbell</t>
        </is>
      </c>
      <c r="F141" s="33" t="inlineStr">
        <is>
          <t>lbs</t>
        </is>
      </c>
      <c r="G141" s="33" t="n">
        <v>1</v>
      </c>
      <c r="H141" s="33" t="n">
        <v>30</v>
      </c>
      <c r="I141" s="33" t="n">
        <v>8</v>
      </c>
      <c r="J141" s="33" t="inlineStr">
        <is>
          <t>N</t>
        </is>
      </c>
      <c r="K141" s="33">
        <f>IF($J141="Y","",IF($F141="BW",$I141,$H141*$I141))</f>
        <v/>
      </c>
      <c r="L141" s="33">
        <f>$D141&amp;"|"&amp;$H141</f>
        <v/>
      </c>
      <c r="M141" s="33" t="n"/>
    </row>
    <row r="142" ht="15" customHeight="1" s="22">
      <c r="A142" s="32" t="n">
        <v>46073</v>
      </c>
      <c r="B142" s="33" t="inlineStr">
        <is>
          <t>Fri</t>
        </is>
      </c>
      <c r="C142" s="33" t="inlineStr">
        <is>
          <t>Push</t>
        </is>
      </c>
      <c r="D142" s="33" t="inlineStr">
        <is>
          <t>Bench Press (DB)</t>
        </is>
      </c>
      <c r="E142" s="33" t="inlineStr">
        <is>
          <t>Dumbbell</t>
        </is>
      </c>
      <c r="F142" s="33" t="inlineStr">
        <is>
          <t>lbs</t>
        </is>
      </c>
      <c r="G142" s="33" t="n">
        <v>2</v>
      </c>
      <c r="H142" s="33" t="n">
        <v>40</v>
      </c>
      <c r="I142" s="33" t="n">
        <v>8</v>
      </c>
      <c r="J142" s="33" t="inlineStr">
        <is>
          <t>N</t>
        </is>
      </c>
      <c r="K142" s="33">
        <f>IF($J142="Y","",IF($F142="BW",$I142,$H142*$I142))</f>
        <v/>
      </c>
      <c r="L142" s="33">
        <f>$D142&amp;"|"&amp;$H142</f>
        <v/>
      </c>
      <c r="M142" s="33" t="n"/>
    </row>
    <row r="143" ht="15" customHeight="1" s="22">
      <c r="A143" s="32" t="n">
        <v>46073</v>
      </c>
      <c r="B143" s="33" t="inlineStr">
        <is>
          <t>Fri</t>
        </is>
      </c>
      <c r="C143" s="33" t="inlineStr">
        <is>
          <t>Push</t>
        </is>
      </c>
      <c r="D143" s="33" t="inlineStr">
        <is>
          <t>Bench Press (DB)</t>
        </is>
      </c>
      <c r="E143" s="33" t="inlineStr">
        <is>
          <t>Dumbbell</t>
        </is>
      </c>
      <c r="F143" s="33" t="inlineStr">
        <is>
          <t>lbs</t>
        </is>
      </c>
      <c r="G143" s="33" t="n">
        <v>3</v>
      </c>
      <c r="H143" s="33" t="n">
        <v>45</v>
      </c>
      <c r="I143" s="33" t="n">
        <v>8</v>
      </c>
      <c r="J143" s="33" t="inlineStr">
        <is>
          <t>N</t>
        </is>
      </c>
      <c r="K143" s="33">
        <f>IF($J143="Y","",IF($F143="BW",$I143,$H143*$I143))</f>
        <v/>
      </c>
      <c r="L143" s="33">
        <f>$D143&amp;"|"&amp;$H143</f>
        <v/>
      </c>
      <c r="M143" s="33" t="n"/>
    </row>
    <row r="144" ht="15" customHeight="1" s="22">
      <c r="A144" s="32" t="n">
        <v>46073</v>
      </c>
      <c r="B144" s="33" t="inlineStr">
        <is>
          <t>Fri</t>
        </is>
      </c>
      <c r="C144" s="33" t="inlineStr">
        <is>
          <t>Push</t>
        </is>
      </c>
      <c r="D144" s="33" t="inlineStr">
        <is>
          <t>Incline Flyes</t>
        </is>
      </c>
      <c r="E144" s="33" t="inlineStr">
        <is>
          <t>Dumbbell</t>
        </is>
      </c>
      <c r="F144" s="33" t="inlineStr">
        <is>
          <t>lbs</t>
        </is>
      </c>
      <c r="G144" s="33" t="n">
        <v>1</v>
      </c>
      <c r="H144" s="33" t="n">
        <v>15</v>
      </c>
      <c r="I144" s="33" t="n">
        <v>8</v>
      </c>
      <c r="J144" s="33" t="inlineStr">
        <is>
          <t>N</t>
        </is>
      </c>
      <c r="K144" s="33">
        <f>IF($J144="Y","",IF($F144="BW",$I144,$H144*$I144))</f>
        <v/>
      </c>
      <c r="L144" s="33">
        <f>$D144&amp;"|"&amp;$H144</f>
        <v/>
      </c>
      <c r="M144" s="33" t="n"/>
    </row>
    <row r="145" ht="15" customHeight="1" s="22">
      <c r="A145" s="32" t="n">
        <v>46073</v>
      </c>
      <c r="B145" s="33" t="inlineStr">
        <is>
          <t>Fri</t>
        </is>
      </c>
      <c r="C145" s="33" t="inlineStr">
        <is>
          <t>Push</t>
        </is>
      </c>
      <c r="D145" s="33" t="inlineStr">
        <is>
          <t>Incline Flyes</t>
        </is>
      </c>
      <c r="E145" s="33" t="inlineStr">
        <is>
          <t>Dumbbell</t>
        </is>
      </c>
      <c r="F145" s="33" t="inlineStr">
        <is>
          <t>lbs</t>
        </is>
      </c>
      <c r="G145" s="33" t="n">
        <v>2</v>
      </c>
      <c r="H145" s="33" t="n">
        <v>20</v>
      </c>
      <c r="I145" s="33" t="n">
        <v>8</v>
      </c>
      <c r="J145" s="33" t="inlineStr">
        <is>
          <t>N</t>
        </is>
      </c>
      <c r="K145" s="33">
        <f>IF($J145="Y","",IF($F145="BW",$I145,$H145*$I145))</f>
        <v/>
      </c>
      <c r="L145" s="33">
        <f>$D145&amp;"|"&amp;$H145</f>
        <v/>
      </c>
      <c r="M145" s="33" t="n"/>
    </row>
    <row r="146" ht="15" customHeight="1" s="22">
      <c r="A146" s="32" t="n">
        <v>46073</v>
      </c>
      <c r="B146" s="33" t="inlineStr">
        <is>
          <t>Fri</t>
        </is>
      </c>
      <c r="C146" s="33" t="inlineStr">
        <is>
          <t>Push</t>
        </is>
      </c>
      <c r="D146" s="33" t="inlineStr">
        <is>
          <t>Incline Flyes</t>
        </is>
      </c>
      <c r="E146" s="33" t="inlineStr">
        <is>
          <t>Dumbbell</t>
        </is>
      </c>
      <c r="F146" s="33" t="inlineStr">
        <is>
          <t>lbs</t>
        </is>
      </c>
      <c r="G146" s="33" t="n">
        <v>3</v>
      </c>
      <c r="H146" s="33" t="n">
        <v>20</v>
      </c>
      <c r="I146" s="33" t="n">
        <v>8</v>
      </c>
      <c r="J146" s="33" t="inlineStr">
        <is>
          <t>N</t>
        </is>
      </c>
      <c r="K146" s="33">
        <f>IF($J146="Y","",IF($F146="BW",$I146,$H146*$I146))</f>
        <v/>
      </c>
      <c r="L146" s="33">
        <f>$D146&amp;"|"&amp;$H146</f>
        <v/>
      </c>
      <c r="M146" s="33" t="n"/>
    </row>
    <row r="147" ht="15" customHeight="1" s="22">
      <c r="A147" s="32" t="n">
        <v>46073</v>
      </c>
      <c r="B147" s="33" t="inlineStr">
        <is>
          <t>Fri</t>
        </is>
      </c>
      <c r="C147" s="33" t="inlineStr">
        <is>
          <t>Push</t>
        </is>
      </c>
      <c r="D147" s="33" t="inlineStr">
        <is>
          <t>Shoulder Press</t>
        </is>
      </c>
      <c r="E147" s="33" t="inlineStr">
        <is>
          <t>Dumbbell</t>
        </is>
      </c>
      <c r="F147" s="33" t="inlineStr">
        <is>
          <t>lbs</t>
        </is>
      </c>
      <c r="G147" s="33" t="n">
        <v>1</v>
      </c>
      <c r="H147" s="33" t="n">
        <v>25</v>
      </c>
      <c r="I147" s="33" t="n">
        <v>8</v>
      </c>
      <c r="J147" s="33" t="inlineStr">
        <is>
          <t>N</t>
        </is>
      </c>
      <c r="K147" s="33">
        <f>IF($J147="Y","",IF($F147="BW",$I147,$H147*$I147))</f>
        <v/>
      </c>
      <c r="L147" s="33">
        <f>$D147&amp;"|"&amp;$H147</f>
        <v/>
      </c>
      <c r="M147" s="33" t="n"/>
    </row>
    <row r="148" ht="15" customHeight="1" s="22">
      <c r="A148" s="32" t="n">
        <v>46073</v>
      </c>
      <c r="B148" s="33" t="inlineStr">
        <is>
          <t>Fri</t>
        </is>
      </c>
      <c r="C148" s="33" t="inlineStr">
        <is>
          <t>Push</t>
        </is>
      </c>
      <c r="D148" s="33" t="inlineStr">
        <is>
          <t>Shoulder Press</t>
        </is>
      </c>
      <c r="E148" s="33" t="inlineStr">
        <is>
          <t>Dumbbell</t>
        </is>
      </c>
      <c r="F148" s="33" t="inlineStr">
        <is>
          <t>lbs</t>
        </is>
      </c>
      <c r="G148" s="33" t="n">
        <v>2</v>
      </c>
      <c r="H148" s="33" t="n">
        <v>30</v>
      </c>
      <c r="I148" s="33" t="n">
        <v>8</v>
      </c>
      <c r="J148" s="33" t="inlineStr">
        <is>
          <t>N</t>
        </is>
      </c>
      <c r="K148" s="33">
        <f>IF($J148="Y","",IF($F148="BW",$I148,$H148*$I148))</f>
        <v/>
      </c>
      <c r="L148" s="33">
        <f>$D148&amp;"|"&amp;$H148</f>
        <v/>
      </c>
      <c r="M148" s="33" t="n"/>
    </row>
    <row r="149" ht="15" customHeight="1" s="22">
      <c r="A149" s="32" t="n">
        <v>46073</v>
      </c>
      <c r="B149" s="33" t="inlineStr">
        <is>
          <t>Fri</t>
        </is>
      </c>
      <c r="C149" s="33" t="inlineStr">
        <is>
          <t>Push</t>
        </is>
      </c>
      <c r="D149" s="33" t="inlineStr">
        <is>
          <t>Shoulder Press</t>
        </is>
      </c>
      <c r="E149" s="33" t="inlineStr">
        <is>
          <t>Dumbbell</t>
        </is>
      </c>
      <c r="F149" s="33" t="inlineStr">
        <is>
          <t>lbs</t>
        </is>
      </c>
      <c r="G149" s="33" t="n">
        <v>3</v>
      </c>
      <c r="H149" s="33" t="n">
        <v>30</v>
      </c>
      <c r="I149" s="33" t="n">
        <v>8</v>
      </c>
      <c r="J149" s="33" t="inlineStr">
        <is>
          <t>N</t>
        </is>
      </c>
      <c r="K149" s="33">
        <f>IF($J149="Y","",IF($F149="BW",$I149,$H149*$I149))</f>
        <v/>
      </c>
      <c r="L149" s="33">
        <f>$D149&amp;"|"&amp;$H149</f>
        <v/>
      </c>
      <c r="M149" s="33" t="n"/>
    </row>
    <row r="150" ht="15" customHeight="1" s="22">
      <c r="A150" s="32" t="n">
        <v>46074</v>
      </c>
      <c r="B150" s="33" t="inlineStr">
        <is>
          <t>Sat</t>
        </is>
      </c>
      <c r="C150" s="33" t="inlineStr">
        <is>
          <t>Pull</t>
        </is>
      </c>
      <c r="D150" s="33" t="inlineStr">
        <is>
          <t>Single Arm Lat Pulldown</t>
        </is>
      </c>
      <c r="E150" s="33" t="inlineStr">
        <is>
          <t>Cable</t>
        </is>
      </c>
      <c r="F150" s="33" t="inlineStr">
        <is>
          <t>kg</t>
        </is>
      </c>
      <c r="G150" s="33" t="n">
        <v>1</v>
      </c>
      <c r="H150" s="33" t="n">
        <v>15</v>
      </c>
      <c r="I150" s="33" t="n">
        <v>8</v>
      </c>
      <c r="J150" s="33" t="inlineStr">
        <is>
          <t>N</t>
        </is>
      </c>
      <c r="K150" s="33">
        <f>IF($J150="Y","",IF($F150="BW",$I150,$H150*$I150))</f>
        <v/>
      </c>
      <c r="L150" s="33">
        <f>$D150&amp;"|"&amp;$H150</f>
        <v/>
      </c>
      <c r="M150" s="33" t="n"/>
    </row>
    <row r="151" ht="15" customHeight="1" s="22">
      <c r="A151" s="32" t="n">
        <v>46074</v>
      </c>
      <c r="B151" s="33" t="inlineStr">
        <is>
          <t>Sat</t>
        </is>
      </c>
      <c r="C151" s="33" t="inlineStr">
        <is>
          <t>Pull</t>
        </is>
      </c>
      <c r="D151" s="33" t="inlineStr">
        <is>
          <t>Single Arm Lat Pulldown</t>
        </is>
      </c>
      <c r="E151" s="33" t="inlineStr">
        <is>
          <t>Cable</t>
        </is>
      </c>
      <c r="F151" s="33" t="inlineStr">
        <is>
          <t>kg</t>
        </is>
      </c>
      <c r="G151" s="33" t="n">
        <v>2</v>
      </c>
      <c r="H151" s="33" t="n">
        <v>17.5</v>
      </c>
      <c r="I151" s="33" t="n">
        <v>8</v>
      </c>
      <c r="J151" s="33" t="inlineStr">
        <is>
          <t>N</t>
        </is>
      </c>
      <c r="K151" s="33">
        <f>IF($J151="Y","",IF($F151="BW",$I151,$H151*$I151))</f>
        <v/>
      </c>
      <c r="L151" s="33">
        <f>$D151&amp;"|"&amp;$H151</f>
        <v/>
      </c>
      <c r="M151" s="33" t="n"/>
    </row>
    <row r="152" ht="15" customHeight="1" s="22">
      <c r="A152" s="32" t="n">
        <v>46074</v>
      </c>
      <c r="B152" s="33" t="inlineStr">
        <is>
          <t>Sat</t>
        </is>
      </c>
      <c r="C152" s="33" t="inlineStr">
        <is>
          <t>Pull</t>
        </is>
      </c>
      <c r="D152" s="33" t="inlineStr">
        <is>
          <t>Single Arm Lat Pulldown</t>
        </is>
      </c>
      <c r="E152" s="33" t="inlineStr">
        <is>
          <t>Cable</t>
        </is>
      </c>
      <c r="F152" s="33" t="inlineStr">
        <is>
          <t>kg</t>
        </is>
      </c>
      <c r="G152" s="33" t="n">
        <v>3</v>
      </c>
      <c r="H152" s="33" t="n">
        <v>22.5</v>
      </c>
      <c r="I152" s="33" t="n">
        <v>8</v>
      </c>
      <c r="J152" s="33" t="inlineStr">
        <is>
          <t>N</t>
        </is>
      </c>
      <c r="K152" s="33">
        <f>IF($J152="Y","",IF($F152="BW",$I152,$H152*$I152))</f>
        <v/>
      </c>
      <c r="L152" s="33">
        <f>$D152&amp;"|"&amp;$H152</f>
        <v/>
      </c>
      <c r="M152" s="33" t="n"/>
    </row>
    <row r="153" ht="15" customHeight="1" s="22">
      <c r="A153" s="32" t="n">
        <v>46074</v>
      </c>
      <c r="B153" s="33" t="inlineStr">
        <is>
          <t>Sat</t>
        </is>
      </c>
      <c r="C153" s="33" t="inlineStr">
        <is>
          <t>Pull</t>
        </is>
      </c>
      <c r="D153" s="33" t="inlineStr">
        <is>
          <t>DB Rows</t>
        </is>
      </c>
      <c r="E153" s="33" t="inlineStr">
        <is>
          <t>Dumbbell</t>
        </is>
      </c>
      <c r="F153" s="33" t="inlineStr">
        <is>
          <t>lbs</t>
        </is>
      </c>
      <c r="G153" s="33" t="n">
        <v>1</v>
      </c>
      <c r="H153" s="33" t="n">
        <v>28</v>
      </c>
      <c r="I153" s="33" t="n">
        <v>8</v>
      </c>
      <c r="J153" s="33" t="inlineStr">
        <is>
          <t>N</t>
        </is>
      </c>
      <c r="K153" s="33">
        <f>IF($J153="Y","",IF($F153="BW",$I153,$H153*$I153))</f>
        <v/>
      </c>
      <c r="L153" s="33">
        <f>$D153&amp;"|"&amp;$H153</f>
        <v/>
      </c>
      <c r="M153" s="33" t="n"/>
    </row>
    <row r="154" ht="15" customHeight="1" s="22">
      <c r="A154" s="32" t="n">
        <v>46074</v>
      </c>
      <c r="B154" s="33" t="inlineStr">
        <is>
          <t>Sat</t>
        </is>
      </c>
      <c r="C154" s="33" t="inlineStr">
        <is>
          <t>Pull</t>
        </is>
      </c>
      <c r="D154" s="33" t="inlineStr">
        <is>
          <t>DB Rows</t>
        </is>
      </c>
      <c r="E154" s="33" t="inlineStr">
        <is>
          <t>Dumbbell</t>
        </is>
      </c>
      <c r="F154" s="33" t="inlineStr">
        <is>
          <t>lbs</t>
        </is>
      </c>
      <c r="G154" s="33" t="n">
        <v>2</v>
      </c>
      <c r="H154" s="33" t="n">
        <v>30</v>
      </c>
      <c r="I154" s="33" t="n">
        <v>8</v>
      </c>
      <c r="J154" s="33" t="inlineStr">
        <is>
          <t>N</t>
        </is>
      </c>
      <c r="K154" s="33">
        <f>IF($J154="Y","",IF($F154="BW",$I154,$H154*$I154))</f>
        <v/>
      </c>
      <c r="L154" s="33">
        <f>$D154&amp;"|"&amp;$H154</f>
        <v/>
      </c>
      <c r="M154" s="33" t="n"/>
    </row>
    <row r="155" ht="15" customHeight="1" s="22">
      <c r="A155" s="32" t="n">
        <v>46074</v>
      </c>
      <c r="B155" s="33" t="inlineStr">
        <is>
          <t>Sat</t>
        </is>
      </c>
      <c r="C155" s="33" t="inlineStr">
        <is>
          <t>Pull</t>
        </is>
      </c>
      <c r="D155" s="33" t="inlineStr">
        <is>
          <t>DB Rows</t>
        </is>
      </c>
      <c r="E155" s="33" t="inlineStr">
        <is>
          <t>Dumbbell</t>
        </is>
      </c>
      <c r="F155" s="33" t="inlineStr">
        <is>
          <t>lbs</t>
        </is>
      </c>
      <c r="G155" s="33" t="n">
        <v>3</v>
      </c>
      <c r="H155" s="33" t="n">
        <v>30</v>
      </c>
      <c r="I155" s="33" t="n">
        <v>8</v>
      </c>
      <c r="J155" s="33" t="inlineStr">
        <is>
          <t>N</t>
        </is>
      </c>
      <c r="K155" s="33">
        <f>IF($J155="Y","",IF($F155="BW",$I155,$H155*$I155))</f>
        <v/>
      </c>
      <c r="L155" s="33">
        <f>$D155&amp;"|"&amp;$H155</f>
        <v/>
      </c>
      <c r="M155" s="33" t="n"/>
    </row>
    <row r="156" ht="15" customHeight="1" s="22">
      <c r="A156" s="32" t="n">
        <v>46074</v>
      </c>
      <c r="B156" s="33" t="inlineStr">
        <is>
          <t>Sat</t>
        </is>
      </c>
      <c r="C156" s="33" t="inlineStr">
        <is>
          <t>Pull</t>
        </is>
      </c>
      <c r="D156" s="33" t="inlineStr">
        <is>
          <t>Bicep Curls (DB)</t>
        </is>
      </c>
      <c r="E156" s="33" t="inlineStr">
        <is>
          <t>Dumbbell</t>
        </is>
      </c>
      <c r="F156" s="33" t="inlineStr">
        <is>
          <t>lbs</t>
        </is>
      </c>
      <c r="G156" s="33" t="n">
        <v>1</v>
      </c>
      <c r="H156" s="33" t="n">
        <v>25</v>
      </c>
      <c r="I156" s="33" t="n">
        <v>8</v>
      </c>
      <c r="J156" s="33" t="inlineStr">
        <is>
          <t>N</t>
        </is>
      </c>
      <c r="K156" s="33">
        <f>IF($J156="Y","",IF($F156="BW",$I156,$H156*$I156))</f>
        <v/>
      </c>
      <c r="L156" s="33">
        <f>$D156&amp;"|"&amp;$H156</f>
        <v/>
      </c>
      <c r="M156" s="33" t="n"/>
    </row>
    <row r="157" ht="15" customHeight="1" s="22">
      <c r="A157" s="32" t="n">
        <v>46074</v>
      </c>
      <c r="B157" s="33" t="inlineStr">
        <is>
          <t>Sat</t>
        </is>
      </c>
      <c r="C157" s="33" t="inlineStr">
        <is>
          <t>Pull</t>
        </is>
      </c>
      <c r="D157" s="33" t="inlineStr">
        <is>
          <t>Bicep Curls (DB)</t>
        </is>
      </c>
      <c r="E157" s="33" t="inlineStr">
        <is>
          <t>Dumbbell</t>
        </is>
      </c>
      <c r="F157" s="33" t="inlineStr">
        <is>
          <t>lbs</t>
        </is>
      </c>
      <c r="G157" s="33" t="n">
        <v>2</v>
      </c>
      <c r="H157" s="33" t="n">
        <v>25</v>
      </c>
      <c r="I157" s="33" t="n">
        <v>8</v>
      </c>
      <c r="J157" s="33" t="inlineStr">
        <is>
          <t>N</t>
        </is>
      </c>
      <c r="K157" s="33">
        <f>IF($J157="Y","",IF($F157="BW",$I157,$H157*$I157))</f>
        <v/>
      </c>
      <c r="L157" s="33">
        <f>$D157&amp;"|"&amp;$H157</f>
        <v/>
      </c>
      <c r="M157" s="33" t="n"/>
    </row>
    <row r="158" ht="15" customHeight="1" s="22">
      <c r="A158" s="32" t="n">
        <v>46075</v>
      </c>
      <c r="B158" s="33" t="inlineStr">
        <is>
          <t>Sun</t>
        </is>
      </c>
      <c r="C158" s="33" t="inlineStr">
        <is>
          <t>Push + Arms</t>
        </is>
      </c>
      <c r="D158" s="33" t="inlineStr">
        <is>
          <t>Bicep Curls (DB)</t>
        </is>
      </c>
      <c r="E158" s="33" t="inlineStr">
        <is>
          <t>Dumbbell</t>
        </is>
      </c>
      <c r="F158" s="33" t="inlineStr">
        <is>
          <t>lbs</t>
        </is>
      </c>
      <c r="G158" s="33" t="n">
        <v>1</v>
      </c>
      <c r="H158" s="33" t="n">
        <v>25</v>
      </c>
      <c r="I158" s="33" t="n">
        <v>8</v>
      </c>
      <c r="J158" s="33" t="inlineStr">
        <is>
          <t>N</t>
        </is>
      </c>
      <c r="K158" s="33">
        <f>IF($J158="Y","",IF($F158="BW",$I158,$H158*$I158))</f>
        <v/>
      </c>
      <c r="L158" s="33">
        <f>$D158&amp;"|"&amp;$H158</f>
        <v/>
      </c>
      <c r="M158" s="33" t="n"/>
    </row>
    <row r="159" ht="15" customHeight="1" s="22">
      <c r="A159" s="32" t="n">
        <v>46075</v>
      </c>
      <c r="B159" s="33" t="inlineStr">
        <is>
          <t>Sun</t>
        </is>
      </c>
      <c r="C159" s="33" t="inlineStr">
        <is>
          <t>Push + Arms</t>
        </is>
      </c>
      <c r="D159" s="33" t="inlineStr">
        <is>
          <t>Bicep Curls (DB)</t>
        </is>
      </c>
      <c r="E159" s="33" t="inlineStr">
        <is>
          <t>Dumbbell</t>
        </is>
      </c>
      <c r="F159" s="33" t="inlineStr">
        <is>
          <t>lbs</t>
        </is>
      </c>
      <c r="G159" s="33" t="n">
        <v>2</v>
      </c>
      <c r="H159" s="33" t="n">
        <v>25</v>
      </c>
      <c r="I159" s="33" t="n">
        <v>8</v>
      </c>
      <c r="J159" s="33" t="inlineStr">
        <is>
          <t>N</t>
        </is>
      </c>
      <c r="K159" s="33">
        <f>IF($J159="Y","",IF($F159="BW",$I159,$H159*$I159))</f>
        <v/>
      </c>
      <c r="L159" s="33">
        <f>$D159&amp;"|"&amp;$H159</f>
        <v/>
      </c>
      <c r="M159" s="33" t="n"/>
    </row>
    <row r="160" ht="15" customHeight="1" s="22">
      <c r="A160" s="32" t="n">
        <v>46075</v>
      </c>
      <c r="B160" s="33" t="inlineStr">
        <is>
          <t>Sun</t>
        </is>
      </c>
      <c r="C160" s="33" t="inlineStr">
        <is>
          <t>Push + Arms</t>
        </is>
      </c>
      <c r="D160" s="33" t="inlineStr">
        <is>
          <t>Tricep Ext Overhead</t>
        </is>
      </c>
      <c r="E160" s="33" t="inlineStr">
        <is>
          <t>Dumbbell</t>
        </is>
      </c>
      <c r="F160" s="33" t="inlineStr">
        <is>
          <t>lbs</t>
        </is>
      </c>
      <c r="G160" s="33" t="n">
        <v>1</v>
      </c>
      <c r="H160" s="33" t="n">
        <v>40</v>
      </c>
      <c r="I160" s="33" t="n">
        <v>8</v>
      </c>
      <c r="J160" s="33" t="inlineStr">
        <is>
          <t>N</t>
        </is>
      </c>
      <c r="K160" s="33">
        <f>IF($J160="Y","",IF($F160="BW",$I160,$H160*$I160))</f>
        <v/>
      </c>
      <c r="L160" s="33">
        <f>$D160&amp;"|"&amp;$H160</f>
        <v/>
      </c>
      <c r="M160" s="33" t="n"/>
    </row>
    <row r="161" ht="15" customHeight="1" s="22">
      <c r="A161" s="32" t="n">
        <v>46075</v>
      </c>
      <c r="B161" s="33" t="inlineStr">
        <is>
          <t>Sun</t>
        </is>
      </c>
      <c r="C161" s="33" t="inlineStr">
        <is>
          <t>Push + Arms</t>
        </is>
      </c>
      <c r="D161" s="33" t="inlineStr">
        <is>
          <t>Tricep Ext Overhead</t>
        </is>
      </c>
      <c r="E161" s="33" t="inlineStr">
        <is>
          <t>Dumbbell</t>
        </is>
      </c>
      <c r="F161" s="33" t="inlineStr">
        <is>
          <t>lbs</t>
        </is>
      </c>
      <c r="G161" s="33" t="n">
        <v>2</v>
      </c>
      <c r="H161" s="33" t="n">
        <v>45</v>
      </c>
      <c r="I161" s="33" t="n">
        <v>8</v>
      </c>
      <c r="J161" s="33" t="inlineStr">
        <is>
          <t>N</t>
        </is>
      </c>
      <c r="K161" s="33">
        <f>IF($J161="Y","",IF($F161="BW",$I161,$H161*$I161))</f>
        <v/>
      </c>
      <c r="L161" s="33">
        <f>$D161&amp;"|"&amp;$H161</f>
        <v/>
      </c>
      <c r="M161" s="33" t="n"/>
    </row>
    <row r="162" ht="15" customHeight="1" s="22">
      <c r="A162" s="32" t="n">
        <v>46075</v>
      </c>
      <c r="B162" s="33" t="inlineStr">
        <is>
          <t>Sun</t>
        </is>
      </c>
      <c r="C162" s="33" t="inlineStr">
        <is>
          <t>Push + Arms</t>
        </is>
      </c>
      <c r="D162" s="33" t="inlineStr">
        <is>
          <t>Tricep Ext Overhead</t>
        </is>
      </c>
      <c r="E162" s="33" t="inlineStr">
        <is>
          <t>Dumbbell</t>
        </is>
      </c>
      <c r="F162" s="33" t="inlineStr">
        <is>
          <t>lbs</t>
        </is>
      </c>
      <c r="G162" s="33" t="n">
        <v>3</v>
      </c>
      <c r="H162" s="33" t="n">
        <v>45</v>
      </c>
      <c r="I162" s="33" t="n">
        <v>8</v>
      </c>
      <c r="J162" s="33" t="inlineStr">
        <is>
          <t>N</t>
        </is>
      </c>
      <c r="K162" s="33">
        <f>IF($J162="Y","",IF($F162="BW",$I162,$H162*$I162))</f>
        <v/>
      </c>
      <c r="L162" s="33">
        <f>$D162&amp;"|"&amp;$H162</f>
        <v/>
      </c>
      <c r="M162" s="33" t="n"/>
    </row>
    <row r="163" ht="15" customHeight="1" s="22">
      <c r="A163" s="32" t="n">
        <v>46075</v>
      </c>
      <c r="B163" s="33" t="inlineStr">
        <is>
          <t>Sun</t>
        </is>
      </c>
      <c r="C163" s="33" t="inlineStr">
        <is>
          <t>Push + Arms</t>
        </is>
      </c>
      <c r="D163" s="33" t="inlineStr">
        <is>
          <t>Bench Press (Smith)</t>
        </is>
      </c>
      <c r="E163" s="33" t="inlineStr">
        <is>
          <t>Smith</t>
        </is>
      </c>
      <c r="F163" s="33" t="inlineStr">
        <is>
          <t>lbs</t>
        </is>
      </c>
      <c r="G163" s="33" t="n">
        <v>1</v>
      </c>
      <c r="H163" s="33" t="n">
        <v>50</v>
      </c>
      <c r="I163" s="33" t="n">
        <v>8</v>
      </c>
      <c r="J163" s="33" t="inlineStr">
        <is>
          <t>N</t>
        </is>
      </c>
      <c r="K163" s="33">
        <f>IF($J163="Y","",IF($F163="BW",$I163,$H163*$I163))</f>
        <v/>
      </c>
      <c r="L163" s="33">
        <f>$D163&amp;"|"&amp;$H163</f>
        <v/>
      </c>
      <c r="M163" s="33" t="n"/>
    </row>
    <row r="164" ht="15" customHeight="1" s="22">
      <c r="A164" s="32" t="n">
        <v>46075</v>
      </c>
      <c r="B164" s="33" t="inlineStr">
        <is>
          <t>Sun</t>
        </is>
      </c>
      <c r="C164" s="33" t="inlineStr">
        <is>
          <t>Push + Arms</t>
        </is>
      </c>
      <c r="D164" s="33" t="inlineStr">
        <is>
          <t>Bench Press (Smith)</t>
        </is>
      </c>
      <c r="E164" s="33" t="inlineStr">
        <is>
          <t>Smith</t>
        </is>
      </c>
      <c r="F164" s="33" t="inlineStr">
        <is>
          <t>lbs</t>
        </is>
      </c>
      <c r="G164" s="33" t="n">
        <v>2</v>
      </c>
      <c r="H164" s="33" t="n">
        <v>55</v>
      </c>
      <c r="I164" s="33" t="n">
        <v>8</v>
      </c>
      <c r="J164" s="33" t="inlineStr">
        <is>
          <t>N</t>
        </is>
      </c>
      <c r="K164" s="33">
        <f>IF($J164="Y","",IF($F164="BW",$I164,$H164*$I164))</f>
        <v/>
      </c>
      <c r="L164" s="33">
        <f>$D164&amp;"|"&amp;$H164</f>
        <v/>
      </c>
      <c r="M164" s="33" t="n"/>
    </row>
    <row r="165" ht="15" customHeight="1" s="22">
      <c r="A165" s="32" t="n">
        <v>46075</v>
      </c>
      <c r="B165" s="33" t="inlineStr">
        <is>
          <t>Sun</t>
        </is>
      </c>
      <c r="C165" s="33" t="inlineStr">
        <is>
          <t>Push + Arms</t>
        </is>
      </c>
      <c r="D165" s="33" t="inlineStr">
        <is>
          <t>Bench Press (Smith)</t>
        </is>
      </c>
      <c r="E165" s="33" t="inlineStr">
        <is>
          <t>Smith</t>
        </is>
      </c>
      <c r="F165" s="33" t="inlineStr">
        <is>
          <t>lbs</t>
        </is>
      </c>
      <c r="G165" s="33" t="n">
        <v>3</v>
      </c>
      <c r="H165" s="33" t="n">
        <v>60</v>
      </c>
      <c r="I165" s="33" t="n">
        <v>8</v>
      </c>
      <c r="J165" s="33" t="inlineStr">
        <is>
          <t>N</t>
        </is>
      </c>
      <c r="K165" s="33">
        <f>IF($J165="Y","",IF($F165="BW",$I165,$H165*$I165))</f>
        <v/>
      </c>
      <c r="L165" s="33">
        <f>$D165&amp;"|"&amp;$H165</f>
        <v/>
      </c>
      <c r="M165" s="33" t="n"/>
    </row>
    <row r="166" ht="15" customHeight="1" s="22">
      <c r="A166" s="32" t="n">
        <v>46075</v>
      </c>
      <c r="B166" s="33" t="inlineStr">
        <is>
          <t>Sun</t>
        </is>
      </c>
      <c r="C166" s="33" t="inlineStr">
        <is>
          <t>Push + Arms</t>
        </is>
      </c>
      <c r="D166" s="33" t="inlineStr">
        <is>
          <t>Shoulder Press</t>
        </is>
      </c>
      <c r="E166" s="33" t="inlineStr">
        <is>
          <t>Dumbbell</t>
        </is>
      </c>
      <c r="F166" s="33" t="inlineStr">
        <is>
          <t>lbs</t>
        </is>
      </c>
      <c r="G166" s="33" t="n">
        <v>1</v>
      </c>
      <c r="H166" s="33" t="n">
        <v>25</v>
      </c>
      <c r="I166" s="33" t="n">
        <v>8</v>
      </c>
      <c r="J166" s="33" t="inlineStr">
        <is>
          <t>N</t>
        </is>
      </c>
      <c r="K166" s="33">
        <f>IF($J166="Y","",IF($F166="BW",$I166,$H166*$I166))</f>
        <v/>
      </c>
      <c r="L166" s="33">
        <f>$D166&amp;"|"&amp;$H166</f>
        <v/>
      </c>
      <c r="M166" s="33" t="n"/>
    </row>
    <row r="167" ht="15" customHeight="1" s="22">
      <c r="A167" s="32" t="n">
        <v>46075</v>
      </c>
      <c r="B167" s="33" t="inlineStr">
        <is>
          <t>Sun</t>
        </is>
      </c>
      <c r="C167" s="33" t="inlineStr">
        <is>
          <t>Push + Arms</t>
        </is>
      </c>
      <c r="D167" s="33" t="inlineStr">
        <is>
          <t>Shoulder Press</t>
        </is>
      </c>
      <c r="E167" s="33" t="inlineStr">
        <is>
          <t>Dumbbell</t>
        </is>
      </c>
      <c r="F167" s="33" t="inlineStr">
        <is>
          <t>lbs</t>
        </is>
      </c>
      <c r="G167" s="33" t="n">
        <v>2</v>
      </c>
      <c r="H167" s="33" t="n">
        <v>30</v>
      </c>
      <c r="I167" s="33" t="n">
        <v>8</v>
      </c>
      <c r="J167" s="33" t="inlineStr">
        <is>
          <t>N</t>
        </is>
      </c>
      <c r="K167" s="33">
        <f>IF($J167="Y","",IF($F167="BW",$I167,$H167*$I167))</f>
        <v/>
      </c>
      <c r="L167" s="33">
        <f>$D167&amp;"|"&amp;$H167</f>
        <v/>
      </c>
      <c r="M167" s="33" t="n"/>
    </row>
    <row r="168" ht="15" customHeight="1" s="22">
      <c r="A168" s="32" t="n">
        <v>46075</v>
      </c>
      <c r="B168" s="33" t="inlineStr">
        <is>
          <t>Sun</t>
        </is>
      </c>
      <c r="C168" s="33" t="inlineStr">
        <is>
          <t>Push + Arms</t>
        </is>
      </c>
      <c r="D168" s="33" t="inlineStr">
        <is>
          <t>Shoulder Press</t>
        </is>
      </c>
      <c r="E168" s="33" t="inlineStr">
        <is>
          <t>Dumbbell</t>
        </is>
      </c>
      <c r="F168" s="33" t="inlineStr">
        <is>
          <t>lbs</t>
        </is>
      </c>
      <c r="G168" s="33" t="n">
        <v>3</v>
      </c>
      <c r="H168" s="33" t="n">
        <v>30</v>
      </c>
      <c r="I168" s="33" t="n">
        <v>8</v>
      </c>
      <c r="J168" s="33" t="inlineStr">
        <is>
          <t>N</t>
        </is>
      </c>
      <c r="K168" s="33">
        <f>IF($J168="Y","",IF($F168="BW",$I168,$H168*$I168))</f>
        <v/>
      </c>
      <c r="L168" s="33">
        <f>$D168&amp;"|"&amp;$H168</f>
        <v/>
      </c>
      <c r="M168" s="33" t="n"/>
    </row>
    <row r="169" ht="15" customHeight="1" s="22">
      <c r="A169" s="32" t="n">
        <v>46075</v>
      </c>
      <c r="B169" s="33" t="inlineStr">
        <is>
          <t>Sun</t>
        </is>
      </c>
      <c r="C169" s="33" t="inlineStr">
        <is>
          <t>Push + Arms</t>
        </is>
      </c>
      <c r="D169" s="33" t="inlineStr">
        <is>
          <t>Incline Flyes</t>
        </is>
      </c>
      <c r="E169" s="33" t="inlineStr">
        <is>
          <t>Dumbbell</t>
        </is>
      </c>
      <c r="F169" s="33" t="inlineStr">
        <is>
          <t>lbs</t>
        </is>
      </c>
      <c r="G169" s="33" t="n">
        <v>1</v>
      </c>
      <c r="H169" s="33" t="n">
        <v>15</v>
      </c>
      <c r="I169" s="33" t="n">
        <v>10</v>
      </c>
      <c r="J169" s="33" t="inlineStr">
        <is>
          <t>N</t>
        </is>
      </c>
      <c r="K169" s="33">
        <f>IF($J169="Y","",IF($F169="BW",$I169,$H169*$I169))</f>
        <v/>
      </c>
      <c r="L169" s="33">
        <f>$D169&amp;"|"&amp;$H169</f>
        <v/>
      </c>
      <c r="M169" s="33" t="n"/>
    </row>
    <row r="170" ht="15" customHeight="1" s="22">
      <c r="A170" s="32" t="n">
        <v>46075</v>
      </c>
      <c r="B170" s="33" t="inlineStr">
        <is>
          <t>Sun</t>
        </is>
      </c>
      <c r="C170" s="33" t="inlineStr">
        <is>
          <t>Push + Arms</t>
        </is>
      </c>
      <c r="D170" s="33" t="inlineStr">
        <is>
          <t>Incline Flyes</t>
        </is>
      </c>
      <c r="E170" s="33" t="inlineStr">
        <is>
          <t>Dumbbell</t>
        </is>
      </c>
      <c r="F170" s="33" t="inlineStr">
        <is>
          <t>lbs</t>
        </is>
      </c>
      <c r="G170" s="33" t="n">
        <v>2</v>
      </c>
      <c r="H170" s="33" t="n">
        <v>15</v>
      </c>
      <c r="I170" s="33" t="n">
        <v>10</v>
      </c>
      <c r="J170" s="33" t="inlineStr">
        <is>
          <t>N</t>
        </is>
      </c>
      <c r="K170" s="33">
        <f>IF($J170="Y","",IF($F170="BW",$I170,$H170*$I170))</f>
        <v/>
      </c>
      <c r="L170" s="33">
        <f>$D170&amp;"|"&amp;$H170</f>
        <v/>
      </c>
      <c r="M170" s="33" t="n"/>
    </row>
    <row r="171" ht="15" customHeight="1" s="22">
      <c r="A171" s="32" t="n">
        <v>46075</v>
      </c>
      <c r="B171" s="33" t="inlineStr">
        <is>
          <t>Sun</t>
        </is>
      </c>
      <c r="C171" s="33" t="inlineStr">
        <is>
          <t>Push + Arms</t>
        </is>
      </c>
      <c r="D171" s="33" t="inlineStr">
        <is>
          <t>Incline Flyes</t>
        </is>
      </c>
      <c r="E171" s="33" t="inlineStr">
        <is>
          <t>Dumbbell</t>
        </is>
      </c>
      <c r="F171" s="33" t="inlineStr">
        <is>
          <t>lbs</t>
        </is>
      </c>
      <c r="G171" s="33" t="n">
        <v>3</v>
      </c>
      <c r="H171" s="33" t="n">
        <v>15</v>
      </c>
      <c r="I171" s="33" t="n">
        <v>10</v>
      </c>
      <c r="J171" s="33" t="inlineStr">
        <is>
          <t>N</t>
        </is>
      </c>
      <c r="K171" s="33">
        <f>IF($J171="Y","",IF($F171="BW",$I171,$H171*$I171))</f>
        <v/>
      </c>
      <c r="L171" s="33">
        <f>$D171&amp;"|"&amp;$H171</f>
        <v/>
      </c>
      <c r="M171" s="33" t="n"/>
    </row>
    <row r="172" ht="15" customHeight="1" s="22">
      <c r="A172" s="32" t="n">
        <v>46080</v>
      </c>
      <c r="B172" s="33" t="inlineStr">
        <is>
          <t>Fri</t>
        </is>
      </c>
      <c r="C172" s="33" t="inlineStr">
        <is>
          <t>Upper</t>
        </is>
      </c>
      <c r="D172" s="33" t="inlineStr">
        <is>
          <t>Single Arm Lat Pulldown</t>
        </is>
      </c>
      <c r="E172" s="33" t="inlineStr">
        <is>
          <t>Cable</t>
        </is>
      </c>
      <c r="F172" s="33" t="inlineStr">
        <is>
          <t>kg</t>
        </is>
      </c>
      <c r="G172" s="33" t="n">
        <v>1</v>
      </c>
      <c r="H172" s="33" t="n">
        <v>17.5</v>
      </c>
      <c r="I172" s="33" t="n">
        <v>8</v>
      </c>
      <c r="J172" s="33" t="inlineStr">
        <is>
          <t>N</t>
        </is>
      </c>
      <c r="K172" s="33">
        <f>IF($J172="Y","",IF($F172="BW",$I172,$H172*$I172))</f>
        <v/>
      </c>
      <c r="L172" s="33">
        <f>$D172&amp;"|"&amp;$H172</f>
        <v/>
      </c>
      <c r="M172" s="33" t="n"/>
    </row>
    <row r="173" ht="15" customHeight="1" s="22">
      <c r="A173" s="32" t="n">
        <v>46080</v>
      </c>
      <c r="B173" s="33" t="inlineStr">
        <is>
          <t>Fri</t>
        </is>
      </c>
      <c r="C173" s="33" t="inlineStr">
        <is>
          <t>Upper</t>
        </is>
      </c>
      <c r="D173" s="33" t="inlineStr">
        <is>
          <t>Single Arm Lat Pulldown</t>
        </is>
      </c>
      <c r="E173" s="33" t="inlineStr">
        <is>
          <t>Cable</t>
        </is>
      </c>
      <c r="F173" s="33" t="inlineStr">
        <is>
          <t>kg</t>
        </is>
      </c>
      <c r="G173" s="33" t="n">
        <v>2</v>
      </c>
      <c r="H173" s="33" t="n">
        <v>22.5</v>
      </c>
      <c r="I173" s="33" t="n">
        <v>8</v>
      </c>
      <c r="J173" s="33" t="inlineStr">
        <is>
          <t>N</t>
        </is>
      </c>
      <c r="K173" s="33">
        <f>IF($J173="Y","",IF($F173="BW",$I173,$H173*$I173))</f>
        <v/>
      </c>
      <c r="L173" s="33">
        <f>$D173&amp;"|"&amp;$H173</f>
        <v/>
      </c>
      <c r="M173" s="33" t="n"/>
    </row>
    <row r="174" ht="15" customHeight="1" s="22">
      <c r="A174" s="32" t="n">
        <v>46080</v>
      </c>
      <c r="B174" s="33" t="inlineStr">
        <is>
          <t>Fri</t>
        </is>
      </c>
      <c r="C174" s="33" t="inlineStr">
        <is>
          <t>Upper</t>
        </is>
      </c>
      <c r="D174" s="33" t="inlineStr">
        <is>
          <t>Single Arm Lat Pulldown</t>
        </is>
      </c>
      <c r="E174" s="33" t="inlineStr">
        <is>
          <t>Cable</t>
        </is>
      </c>
      <c r="F174" s="33" t="inlineStr">
        <is>
          <t>kg</t>
        </is>
      </c>
      <c r="G174" s="33" t="n">
        <v>3</v>
      </c>
      <c r="H174" s="33" t="n">
        <v>22.5</v>
      </c>
      <c r="I174" s="33" t="n">
        <v>8</v>
      </c>
      <c r="J174" s="33" t="inlineStr">
        <is>
          <t>N</t>
        </is>
      </c>
      <c r="K174" s="33">
        <f>IF($J174="Y","",IF($F174="BW",$I174,$H174*$I174))</f>
        <v/>
      </c>
      <c r="L174" s="33">
        <f>$D174&amp;"|"&amp;$H174</f>
        <v/>
      </c>
      <c r="M174" s="33" t="n"/>
    </row>
    <row r="175" ht="15" customHeight="1" s="22">
      <c r="A175" s="32" t="n">
        <v>46080</v>
      </c>
      <c r="B175" s="33" t="inlineStr">
        <is>
          <t>Fri</t>
        </is>
      </c>
      <c r="C175" s="33" t="inlineStr">
        <is>
          <t>Upper</t>
        </is>
      </c>
      <c r="D175" s="33" t="inlineStr">
        <is>
          <t>DB Rows</t>
        </is>
      </c>
      <c r="E175" s="33" t="inlineStr">
        <is>
          <t>Dumbbell</t>
        </is>
      </c>
      <c r="F175" s="33" t="inlineStr">
        <is>
          <t>lbs</t>
        </is>
      </c>
      <c r="G175" s="33" t="n">
        <v>1</v>
      </c>
      <c r="H175" s="33" t="n">
        <v>25</v>
      </c>
      <c r="I175" s="33" t="n">
        <v>8</v>
      </c>
      <c r="J175" s="33" t="inlineStr">
        <is>
          <t>N</t>
        </is>
      </c>
      <c r="K175" s="33">
        <f>IF($J175="Y","",IF($F175="BW",$I175,$H175*$I175))</f>
        <v/>
      </c>
      <c r="L175" s="33">
        <f>$D175&amp;"|"&amp;$H175</f>
        <v/>
      </c>
      <c r="M175" s="33" t="n"/>
    </row>
    <row r="176" ht="15" customHeight="1" s="22">
      <c r="A176" s="32" t="n">
        <v>46080</v>
      </c>
      <c r="B176" s="33" t="inlineStr">
        <is>
          <t>Fri</t>
        </is>
      </c>
      <c r="C176" s="33" t="inlineStr">
        <is>
          <t>Upper</t>
        </is>
      </c>
      <c r="D176" s="33" t="inlineStr">
        <is>
          <t>DB Rows</t>
        </is>
      </c>
      <c r="E176" s="33" t="inlineStr">
        <is>
          <t>Dumbbell</t>
        </is>
      </c>
      <c r="F176" s="33" t="inlineStr">
        <is>
          <t>lbs</t>
        </is>
      </c>
      <c r="G176" s="33" t="n">
        <v>2</v>
      </c>
      <c r="H176" s="33" t="n">
        <v>30</v>
      </c>
      <c r="I176" s="33" t="n">
        <v>8</v>
      </c>
      <c r="J176" s="33" t="inlineStr">
        <is>
          <t>N</t>
        </is>
      </c>
      <c r="K176" s="33">
        <f>IF($J176="Y","",IF($F176="BW",$I176,$H176*$I176))</f>
        <v/>
      </c>
      <c r="L176" s="33">
        <f>$D176&amp;"|"&amp;$H176</f>
        <v/>
      </c>
      <c r="M176" s="33" t="n"/>
    </row>
    <row r="177" ht="15" customHeight="1" s="22">
      <c r="A177" s="32" t="n">
        <v>46080</v>
      </c>
      <c r="B177" s="33" t="inlineStr">
        <is>
          <t>Fri</t>
        </is>
      </c>
      <c r="C177" s="33" t="inlineStr">
        <is>
          <t>Upper</t>
        </is>
      </c>
      <c r="D177" s="33" t="inlineStr">
        <is>
          <t>DB Rows</t>
        </is>
      </c>
      <c r="E177" s="33" t="inlineStr">
        <is>
          <t>Dumbbell</t>
        </is>
      </c>
      <c r="F177" s="33" t="inlineStr">
        <is>
          <t>lbs</t>
        </is>
      </c>
      <c r="G177" s="33" t="n">
        <v>3</v>
      </c>
      <c r="H177" s="33" t="n">
        <v>30</v>
      </c>
      <c r="I177" s="33" t="n">
        <v>8</v>
      </c>
      <c r="J177" s="33" t="inlineStr">
        <is>
          <t>N</t>
        </is>
      </c>
      <c r="K177" s="33">
        <f>IF($J177="Y","",IF($F177="BW",$I177,$H177*$I177))</f>
        <v/>
      </c>
      <c r="L177" s="33">
        <f>$D177&amp;"|"&amp;$H177</f>
        <v/>
      </c>
      <c r="M177" s="33" t="n"/>
    </row>
    <row r="178" ht="15" customHeight="1" s="22">
      <c r="A178" s="32" t="n">
        <v>46080</v>
      </c>
      <c r="B178" s="33" t="inlineStr">
        <is>
          <t>Fri</t>
        </is>
      </c>
      <c r="C178" s="33" t="inlineStr">
        <is>
          <t>Upper</t>
        </is>
      </c>
      <c r="D178" s="33" t="inlineStr">
        <is>
          <t>Shrugs</t>
        </is>
      </c>
      <c r="E178" s="33" t="inlineStr">
        <is>
          <t>Dumbbell</t>
        </is>
      </c>
      <c r="F178" s="33" t="inlineStr">
        <is>
          <t>lbs</t>
        </is>
      </c>
      <c r="G178" s="33" t="n">
        <v>1</v>
      </c>
      <c r="H178" s="33" t="n">
        <v>35</v>
      </c>
      <c r="I178" s="33" t="n">
        <v>8</v>
      </c>
      <c r="J178" s="33" t="inlineStr">
        <is>
          <t>N</t>
        </is>
      </c>
      <c r="K178" s="33">
        <f>IF($J178="Y","",IF($F178="BW",$I178,$H178*$I178))</f>
        <v/>
      </c>
      <c r="L178" s="33">
        <f>$D178&amp;"|"&amp;$H178</f>
        <v/>
      </c>
      <c r="M178" s="33" t="n"/>
    </row>
    <row r="179" ht="15" customHeight="1" s="22">
      <c r="A179" s="32" t="n">
        <v>46080</v>
      </c>
      <c r="B179" s="33" t="inlineStr">
        <is>
          <t>Fri</t>
        </is>
      </c>
      <c r="C179" s="33" t="inlineStr">
        <is>
          <t>Upper</t>
        </is>
      </c>
      <c r="D179" s="33" t="inlineStr">
        <is>
          <t>Shrugs</t>
        </is>
      </c>
      <c r="E179" s="33" t="inlineStr">
        <is>
          <t>Dumbbell</t>
        </is>
      </c>
      <c r="F179" s="33" t="inlineStr">
        <is>
          <t>lbs</t>
        </is>
      </c>
      <c r="G179" s="33" t="n">
        <v>2</v>
      </c>
      <c r="H179" s="33" t="n">
        <v>35</v>
      </c>
      <c r="I179" s="33" t="n">
        <v>8</v>
      </c>
      <c r="J179" s="33" t="inlineStr">
        <is>
          <t>N</t>
        </is>
      </c>
      <c r="K179" s="33">
        <f>IF($J179="Y","",IF($F179="BW",$I179,$H179*$I179))</f>
        <v/>
      </c>
      <c r="L179" s="33">
        <f>$D179&amp;"|"&amp;$H179</f>
        <v/>
      </c>
      <c r="M179" s="33" t="n"/>
    </row>
    <row r="180" ht="15" customHeight="1" s="22">
      <c r="A180" s="32" t="n">
        <v>46080</v>
      </c>
      <c r="B180" s="33" t="inlineStr">
        <is>
          <t>Fri</t>
        </is>
      </c>
      <c r="C180" s="33" t="inlineStr">
        <is>
          <t>Upper</t>
        </is>
      </c>
      <c r="D180" s="33" t="inlineStr">
        <is>
          <t>Shrugs</t>
        </is>
      </c>
      <c r="E180" s="33" t="inlineStr">
        <is>
          <t>Dumbbell</t>
        </is>
      </c>
      <c r="F180" s="33" t="inlineStr">
        <is>
          <t>lbs</t>
        </is>
      </c>
      <c r="G180" s="33" t="n">
        <v>3</v>
      </c>
      <c r="H180" s="33" t="n">
        <v>35</v>
      </c>
      <c r="I180" s="33" t="n">
        <v>8</v>
      </c>
      <c r="J180" s="33" t="inlineStr">
        <is>
          <t>N</t>
        </is>
      </c>
      <c r="K180" s="33">
        <f>IF($J180="Y","",IF($F180="BW",$I180,$H180*$I180))</f>
        <v/>
      </c>
      <c r="L180" s="33">
        <f>$D180&amp;"|"&amp;$H180</f>
        <v/>
      </c>
      <c r="M180" s="33" t="n"/>
    </row>
    <row r="181" ht="15" customHeight="1" s="22">
      <c r="A181" s="34" t="n">
        <v>46080</v>
      </c>
      <c r="B181" s="35" t="inlineStr">
        <is>
          <t>Fri</t>
        </is>
      </c>
      <c r="C181" s="35" t="inlineStr">
        <is>
          <t>Upper</t>
        </is>
      </c>
      <c r="D181" s="35" t="inlineStr">
        <is>
          <t>Bench Press (DB)</t>
        </is>
      </c>
      <c r="E181" s="35" t="inlineStr">
        <is>
          <t>Dumbbell</t>
        </is>
      </c>
      <c r="F181" s="35" t="inlineStr">
        <is>
          <t>lbs</t>
        </is>
      </c>
      <c r="G181" s="35" t="n">
        <v>1</v>
      </c>
      <c r="H181" s="35" t="n">
        <v>30</v>
      </c>
      <c r="I181" s="35" t="n">
        <v>8</v>
      </c>
      <c r="J181" s="35" t="inlineStr">
        <is>
          <t>Y</t>
        </is>
      </c>
      <c r="K181" s="35">
        <f>IF($J181="Y","",IF($F181="BW",$I181,$H181*$I181))</f>
        <v/>
      </c>
      <c r="L181" s="35">
        <f>$D181&amp;"|"&amp;$H181</f>
        <v/>
      </c>
      <c r="M181" s="35" t="n"/>
    </row>
    <row r="182" ht="15" customHeight="1" s="22">
      <c r="A182" s="32" t="n">
        <v>46080</v>
      </c>
      <c r="B182" s="33" t="inlineStr">
        <is>
          <t>Fri</t>
        </is>
      </c>
      <c r="C182" s="33" t="inlineStr">
        <is>
          <t>Upper</t>
        </is>
      </c>
      <c r="D182" s="33" t="inlineStr">
        <is>
          <t>Bench Press (DB)</t>
        </is>
      </c>
      <c r="E182" s="33" t="inlineStr">
        <is>
          <t>Dumbbell</t>
        </is>
      </c>
      <c r="F182" s="33" t="inlineStr">
        <is>
          <t>lbs</t>
        </is>
      </c>
      <c r="G182" s="33" t="n">
        <v>2</v>
      </c>
      <c r="H182" s="33" t="n">
        <v>35</v>
      </c>
      <c r="I182" s="33" t="n">
        <v>8</v>
      </c>
      <c r="J182" s="33" t="inlineStr">
        <is>
          <t>N</t>
        </is>
      </c>
      <c r="K182" s="33">
        <f>IF($J182="Y","",IF($F182="BW",$I182,$H182*$I182))</f>
        <v/>
      </c>
      <c r="L182" s="33">
        <f>$D182&amp;"|"&amp;$H182</f>
        <v/>
      </c>
      <c r="M182" s="33" t="n"/>
    </row>
    <row r="183" ht="15" customHeight="1" s="22">
      <c r="A183" s="32" t="n">
        <v>46080</v>
      </c>
      <c r="B183" s="33" t="inlineStr">
        <is>
          <t>Fri</t>
        </is>
      </c>
      <c r="C183" s="33" t="inlineStr">
        <is>
          <t>Upper</t>
        </is>
      </c>
      <c r="D183" s="33" t="inlineStr">
        <is>
          <t>Bench Press (DB)</t>
        </is>
      </c>
      <c r="E183" s="33" t="inlineStr">
        <is>
          <t>Dumbbell</t>
        </is>
      </c>
      <c r="F183" s="33" t="inlineStr">
        <is>
          <t>lbs</t>
        </is>
      </c>
      <c r="G183" s="33" t="n">
        <v>3</v>
      </c>
      <c r="H183" s="33" t="n">
        <v>40</v>
      </c>
      <c r="I183" s="33" t="n">
        <v>8</v>
      </c>
      <c r="J183" s="33" t="inlineStr">
        <is>
          <t>N</t>
        </is>
      </c>
      <c r="K183" s="33">
        <f>IF($J183="Y","",IF($F183="BW",$I183,$H183*$I183))</f>
        <v/>
      </c>
      <c r="L183" s="33">
        <f>$D183&amp;"|"&amp;$H183</f>
        <v/>
      </c>
      <c r="M183" s="33" t="n"/>
    </row>
    <row r="184" ht="15" customHeight="1" s="22">
      <c r="A184" s="32" t="n">
        <v>46080</v>
      </c>
      <c r="B184" s="33" t="inlineStr">
        <is>
          <t>Fri</t>
        </is>
      </c>
      <c r="C184" s="33" t="inlineStr">
        <is>
          <t>Upper</t>
        </is>
      </c>
      <c r="D184" s="33" t="inlineStr">
        <is>
          <t>Bench Press (DB)</t>
        </is>
      </c>
      <c r="E184" s="33" t="inlineStr">
        <is>
          <t>Dumbbell</t>
        </is>
      </c>
      <c r="F184" s="33" t="inlineStr">
        <is>
          <t>lbs</t>
        </is>
      </c>
      <c r="G184" s="33" t="n">
        <v>4</v>
      </c>
      <c r="H184" s="33" t="n">
        <v>45</v>
      </c>
      <c r="I184" s="33" t="n">
        <v>8</v>
      </c>
      <c r="J184" s="33" t="inlineStr">
        <is>
          <t>N</t>
        </is>
      </c>
      <c r="K184" s="33">
        <f>IF($J184="Y","",IF($F184="BW",$I184,$H184*$I184))</f>
        <v/>
      </c>
      <c r="L184" s="33">
        <f>$D184&amp;"|"&amp;$H184</f>
        <v/>
      </c>
      <c r="M184" s="33" t="n"/>
    </row>
    <row r="185" ht="15" customHeight="1" s="22">
      <c r="A185" s="32" t="n">
        <v>46080</v>
      </c>
      <c r="B185" s="33" t="inlineStr">
        <is>
          <t>Fri</t>
        </is>
      </c>
      <c r="C185" s="33" t="inlineStr">
        <is>
          <t>Upper</t>
        </is>
      </c>
      <c r="D185" s="33" t="inlineStr">
        <is>
          <t>Incline Flyes</t>
        </is>
      </c>
      <c r="E185" s="33" t="inlineStr">
        <is>
          <t>Dumbbell</t>
        </is>
      </c>
      <c r="F185" s="33" t="inlineStr">
        <is>
          <t>lbs</t>
        </is>
      </c>
      <c r="G185" s="33" t="n">
        <v>1</v>
      </c>
      <c r="H185" s="33" t="n">
        <v>15</v>
      </c>
      <c r="I185" s="33" t="n">
        <v>10</v>
      </c>
      <c r="J185" s="33" t="inlineStr">
        <is>
          <t>N</t>
        </is>
      </c>
      <c r="K185" s="33">
        <f>IF($J185="Y","",IF($F185="BW",$I185,$H185*$I185))</f>
        <v/>
      </c>
      <c r="L185" s="33">
        <f>$D185&amp;"|"&amp;$H185</f>
        <v/>
      </c>
      <c r="M185" s="33" t="n"/>
    </row>
    <row r="186" ht="15" customHeight="1" s="22">
      <c r="A186" s="32" t="n">
        <v>46080</v>
      </c>
      <c r="B186" s="33" t="inlineStr">
        <is>
          <t>Fri</t>
        </is>
      </c>
      <c r="C186" s="33" t="inlineStr">
        <is>
          <t>Upper</t>
        </is>
      </c>
      <c r="D186" s="33" t="inlineStr">
        <is>
          <t>Incline Flyes</t>
        </is>
      </c>
      <c r="E186" s="33" t="inlineStr">
        <is>
          <t>Dumbbell</t>
        </is>
      </c>
      <c r="F186" s="33" t="inlineStr">
        <is>
          <t>lbs</t>
        </is>
      </c>
      <c r="G186" s="33" t="n">
        <v>2</v>
      </c>
      <c r="H186" s="33" t="n">
        <v>20</v>
      </c>
      <c r="I186" s="33" t="n">
        <v>10</v>
      </c>
      <c r="J186" s="33" t="inlineStr">
        <is>
          <t>N</t>
        </is>
      </c>
      <c r="K186" s="33">
        <f>IF($J186="Y","",IF($F186="BW",$I186,$H186*$I186))</f>
        <v/>
      </c>
      <c r="L186" s="33">
        <f>$D186&amp;"|"&amp;$H186</f>
        <v/>
      </c>
      <c r="M186" s="33" t="n"/>
    </row>
    <row r="187" ht="15" customHeight="1" s="22">
      <c r="A187" s="32" t="n">
        <v>46080</v>
      </c>
      <c r="B187" s="33" t="inlineStr">
        <is>
          <t>Fri</t>
        </is>
      </c>
      <c r="C187" s="33" t="inlineStr">
        <is>
          <t>Upper</t>
        </is>
      </c>
      <c r="D187" s="33" t="inlineStr">
        <is>
          <t>Incline Flyes</t>
        </is>
      </c>
      <c r="E187" s="33" t="inlineStr">
        <is>
          <t>Dumbbell</t>
        </is>
      </c>
      <c r="F187" s="33" t="inlineStr">
        <is>
          <t>lbs</t>
        </is>
      </c>
      <c r="G187" s="33" t="n">
        <v>3</v>
      </c>
      <c r="H187" s="33" t="n">
        <v>20</v>
      </c>
      <c r="I187" s="33" t="n">
        <v>10</v>
      </c>
      <c r="J187" s="33" t="inlineStr">
        <is>
          <t>N</t>
        </is>
      </c>
      <c r="K187" s="33">
        <f>IF($J187="Y","",IF($F187="BW",$I187,$H187*$I187))</f>
        <v/>
      </c>
      <c r="L187" s="33">
        <f>$D187&amp;"|"&amp;$H187</f>
        <v/>
      </c>
      <c r="M187" s="33" t="n"/>
    </row>
    <row r="188" ht="15" customHeight="1" s="22">
      <c r="A188" s="32" t="n">
        <v>46080</v>
      </c>
      <c r="B188" s="33" t="inlineStr">
        <is>
          <t>Fri</t>
        </is>
      </c>
      <c r="C188" s="33" t="inlineStr">
        <is>
          <t>Upper</t>
        </is>
      </c>
      <c r="D188" s="33" t="inlineStr">
        <is>
          <t>Shoulder Press</t>
        </is>
      </c>
      <c r="E188" s="33" t="inlineStr">
        <is>
          <t>Dumbbell</t>
        </is>
      </c>
      <c r="F188" s="33" t="inlineStr">
        <is>
          <t>lbs</t>
        </is>
      </c>
      <c r="G188" s="33" t="n">
        <v>1</v>
      </c>
      <c r="H188" s="33" t="n">
        <v>25</v>
      </c>
      <c r="I188" s="33" t="n">
        <v>8</v>
      </c>
      <c r="J188" s="33" t="inlineStr">
        <is>
          <t>N</t>
        </is>
      </c>
      <c r="K188" s="33">
        <f>IF($J188="Y","",IF($F188="BW",$I188,$H188*$I188))</f>
        <v/>
      </c>
      <c r="L188" s="33">
        <f>$D188&amp;"|"&amp;$H188</f>
        <v/>
      </c>
      <c r="M188" s="33" t="n"/>
    </row>
    <row r="189" ht="15" customHeight="1" s="22">
      <c r="A189" s="32" t="n">
        <v>46080</v>
      </c>
      <c r="B189" s="33" t="inlineStr">
        <is>
          <t>Fri</t>
        </is>
      </c>
      <c r="C189" s="33" t="inlineStr">
        <is>
          <t>Upper</t>
        </is>
      </c>
      <c r="D189" s="33" t="inlineStr">
        <is>
          <t>Shoulder Press</t>
        </is>
      </c>
      <c r="E189" s="33" t="inlineStr">
        <is>
          <t>Dumbbell</t>
        </is>
      </c>
      <c r="F189" s="33" t="inlineStr">
        <is>
          <t>lbs</t>
        </is>
      </c>
      <c r="G189" s="33" t="n">
        <v>2</v>
      </c>
      <c r="H189" s="33" t="n">
        <v>30</v>
      </c>
      <c r="I189" s="33" t="n">
        <v>8</v>
      </c>
      <c r="J189" s="33" t="inlineStr">
        <is>
          <t>N</t>
        </is>
      </c>
      <c r="K189" s="33">
        <f>IF($J189="Y","",IF($F189="BW",$I189,$H189*$I189))</f>
        <v/>
      </c>
      <c r="L189" s="33">
        <f>$D189&amp;"|"&amp;$H189</f>
        <v/>
      </c>
      <c r="M189" s="33" t="n"/>
    </row>
    <row r="190" ht="15" customHeight="1" s="22">
      <c r="A190" s="32" t="n">
        <v>46080</v>
      </c>
      <c r="B190" s="33" t="inlineStr">
        <is>
          <t>Fri</t>
        </is>
      </c>
      <c r="C190" s="33" t="inlineStr">
        <is>
          <t>Upper</t>
        </is>
      </c>
      <c r="D190" s="33" t="inlineStr">
        <is>
          <t>Shoulder Press</t>
        </is>
      </c>
      <c r="E190" s="33" t="inlineStr">
        <is>
          <t>Dumbbell</t>
        </is>
      </c>
      <c r="F190" s="33" t="inlineStr">
        <is>
          <t>lbs</t>
        </is>
      </c>
      <c r="G190" s="33" t="n">
        <v>3</v>
      </c>
      <c r="H190" s="33" t="n">
        <v>35</v>
      </c>
      <c r="I190" s="33" t="n">
        <v>8</v>
      </c>
      <c r="J190" s="33" t="inlineStr">
        <is>
          <t>N</t>
        </is>
      </c>
      <c r="K190" s="33">
        <f>IF($J190="Y","",IF($F190="BW",$I190,$H190*$I190))</f>
        <v/>
      </c>
      <c r="L190" s="33">
        <f>$D190&amp;"|"&amp;$H190</f>
        <v/>
      </c>
      <c r="M190" s="33" t="n"/>
    </row>
    <row r="191" ht="15" customHeight="1" s="22">
      <c r="A191" s="32" t="n">
        <v>46080</v>
      </c>
      <c r="B191" s="33" t="inlineStr">
        <is>
          <t>Fri</t>
        </is>
      </c>
      <c r="C191" s="33" t="inlineStr">
        <is>
          <t>Upper</t>
        </is>
      </c>
      <c r="D191" s="33" t="inlineStr">
        <is>
          <t>Lateral Raises</t>
        </is>
      </c>
      <c r="E191" s="33" t="inlineStr">
        <is>
          <t>Dumbbell</t>
        </is>
      </c>
      <c r="F191" s="33" t="inlineStr">
        <is>
          <t>lbs</t>
        </is>
      </c>
      <c r="G191" s="33" t="n">
        <v>1</v>
      </c>
      <c r="H191" s="33" t="n">
        <v>10</v>
      </c>
      <c r="I191" s="33" t="n">
        <v>12</v>
      </c>
      <c r="J191" s="33" t="inlineStr">
        <is>
          <t>N</t>
        </is>
      </c>
      <c r="K191" s="33">
        <f>IF($J191="Y","",IF($F191="BW",$I191,$H191*$I191))</f>
        <v/>
      </c>
      <c r="L191" s="33">
        <f>$D191&amp;"|"&amp;$H191</f>
        <v/>
      </c>
      <c r="M191" s="33" t="n"/>
    </row>
    <row r="192" ht="15" customHeight="1" s="22">
      <c r="A192" s="32" t="n">
        <v>46080</v>
      </c>
      <c r="B192" s="33" t="inlineStr">
        <is>
          <t>Fri</t>
        </is>
      </c>
      <c r="C192" s="33" t="inlineStr">
        <is>
          <t>Upper</t>
        </is>
      </c>
      <c r="D192" s="33" t="inlineStr">
        <is>
          <t>Lateral Raises</t>
        </is>
      </c>
      <c r="E192" s="33" t="inlineStr">
        <is>
          <t>Dumbbell</t>
        </is>
      </c>
      <c r="F192" s="33" t="inlineStr">
        <is>
          <t>lbs</t>
        </is>
      </c>
      <c r="G192" s="33" t="n">
        <v>2</v>
      </c>
      <c r="H192" s="33" t="n">
        <v>10</v>
      </c>
      <c r="I192" s="33" t="n">
        <v>12</v>
      </c>
      <c r="J192" s="33" t="inlineStr">
        <is>
          <t>N</t>
        </is>
      </c>
      <c r="K192" s="33">
        <f>IF($J192="Y","",IF($F192="BW",$I192,$H192*$I192))</f>
        <v/>
      </c>
      <c r="L192" s="33">
        <f>$D192&amp;"|"&amp;$H192</f>
        <v/>
      </c>
      <c r="M192" s="33" t="n"/>
    </row>
    <row r="193" ht="15" customHeight="1" s="22">
      <c r="A193" s="32" t="n">
        <v>46080</v>
      </c>
      <c r="B193" s="33" t="inlineStr">
        <is>
          <t>Fri</t>
        </is>
      </c>
      <c r="C193" s="33" t="inlineStr">
        <is>
          <t>Upper</t>
        </is>
      </c>
      <c r="D193" s="33" t="inlineStr">
        <is>
          <t>Lateral Raises</t>
        </is>
      </c>
      <c r="E193" s="33" t="inlineStr">
        <is>
          <t>Dumbbell</t>
        </is>
      </c>
      <c r="F193" s="33" t="inlineStr">
        <is>
          <t>lbs</t>
        </is>
      </c>
      <c r="G193" s="33" t="n">
        <v>3</v>
      </c>
      <c r="H193" s="33" t="n">
        <v>10</v>
      </c>
      <c r="I193" s="33" t="n">
        <v>12</v>
      </c>
      <c r="J193" s="33" t="inlineStr">
        <is>
          <t>N</t>
        </is>
      </c>
      <c r="K193" s="33">
        <f>IF($J193="Y","",IF($F193="BW",$I193,$H193*$I193))</f>
        <v/>
      </c>
      <c r="L193" s="33">
        <f>$D193&amp;"|"&amp;$H193</f>
        <v/>
      </c>
      <c r="M193" s="33" t="n"/>
    </row>
    <row r="194" ht="15" customHeight="1" s="22">
      <c r="A194" s="32" t="n">
        <v>46080</v>
      </c>
      <c r="B194" s="33" t="inlineStr">
        <is>
          <t>Fri</t>
        </is>
      </c>
      <c r="C194" s="33" t="inlineStr">
        <is>
          <t>Upper</t>
        </is>
      </c>
      <c r="D194" s="33" t="inlineStr">
        <is>
          <t>Bicep Curls (DB)</t>
        </is>
      </c>
      <c r="E194" s="33" t="inlineStr">
        <is>
          <t>Dumbbell</t>
        </is>
      </c>
      <c r="F194" s="33" t="inlineStr">
        <is>
          <t>lbs</t>
        </is>
      </c>
      <c r="G194" s="33" t="n">
        <v>1</v>
      </c>
      <c r="H194" s="33" t="n">
        <v>25</v>
      </c>
      <c r="I194" s="33" t="n">
        <v>8</v>
      </c>
      <c r="J194" s="33" t="inlineStr">
        <is>
          <t>N</t>
        </is>
      </c>
      <c r="K194" s="33">
        <f>IF($J194="Y","",IF($F194="BW",$I194,$H194*$I194))</f>
        <v/>
      </c>
      <c r="L194" s="33">
        <f>$D194&amp;"|"&amp;$H194</f>
        <v/>
      </c>
      <c r="M194" s="33" t="n"/>
    </row>
    <row r="195" ht="15" customHeight="1" s="22">
      <c r="A195" s="32" t="n">
        <v>46080</v>
      </c>
      <c r="B195" s="33" t="inlineStr">
        <is>
          <t>Fri</t>
        </is>
      </c>
      <c r="C195" s="33" t="inlineStr">
        <is>
          <t>Upper</t>
        </is>
      </c>
      <c r="D195" s="33" t="inlineStr">
        <is>
          <t>Bicep Curls (DB)</t>
        </is>
      </c>
      <c r="E195" s="33" t="inlineStr">
        <is>
          <t>Dumbbell</t>
        </is>
      </c>
      <c r="F195" s="33" t="inlineStr">
        <is>
          <t>lbs</t>
        </is>
      </c>
      <c r="G195" s="33" t="n">
        <v>2</v>
      </c>
      <c r="H195" s="33" t="n">
        <v>25</v>
      </c>
      <c r="I195" s="33" t="n">
        <v>8</v>
      </c>
      <c r="J195" s="33" t="inlineStr">
        <is>
          <t>N</t>
        </is>
      </c>
      <c r="K195" s="33">
        <f>IF($J195="Y","",IF($F195="BW",$I195,$H195*$I195))</f>
        <v/>
      </c>
      <c r="L195" s="33">
        <f>$D195&amp;"|"&amp;$H195</f>
        <v/>
      </c>
      <c r="M195" s="33" t="n"/>
    </row>
    <row r="196" ht="15" customHeight="1" s="22">
      <c r="A196" s="32" t="n">
        <v>46080</v>
      </c>
      <c r="B196" s="33" t="inlineStr">
        <is>
          <t>Fri</t>
        </is>
      </c>
      <c r="C196" s="33" t="inlineStr">
        <is>
          <t>Upper</t>
        </is>
      </c>
      <c r="D196" s="33" t="inlineStr">
        <is>
          <t>Bicep Curls (DB)</t>
        </is>
      </c>
      <c r="E196" s="33" t="inlineStr">
        <is>
          <t>Dumbbell</t>
        </is>
      </c>
      <c r="F196" s="33" t="inlineStr">
        <is>
          <t>lbs</t>
        </is>
      </c>
      <c r="G196" s="33" t="n">
        <v>3</v>
      </c>
      <c r="H196" s="33" t="n">
        <v>30</v>
      </c>
      <c r="I196" s="33" t="n">
        <v>6</v>
      </c>
      <c r="J196" s="33" t="inlineStr">
        <is>
          <t>N</t>
        </is>
      </c>
      <c r="K196" s="33">
        <f>IF($J196="Y","",IF($F196="BW",$I196,$H196*$I196))</f>
        <v/>
      </c>
      <c r="L196" s="33">
        <f>$D196&amp;"|"&amp;$H196</f>
        <v/>
      </c>
      <c r="M196" s="33" t="n"/>
    </row>
    <row r="197" ht="15" customHeight="1" s="22">
      <c r="A197" s="32" t="n">
        <v>46117</v>
      </c>
      <c r="B197" s="33" t="inlineStr">
        <is>
          <t>Sun</t>
        </is>
      </c>
      <c r="C197" s="33" t="inlineStr">
        <is>
          <t>Push</t>
        </is>
      </c>
      <c r="D197" s="33" t="inlineStr">
        <is>
          <t>Bench Press (Smith)</t>
        </is>
      </c>
      <c r="E197" s="33" t="inlineStr">
        <is>
          <t>Smith</t>
        </is>
      </c>
      <c r="F197" s="33" t="inlineStr">
        <is>
          <t>lbs</t>
        </is>
      </c>
      <c r="G197" s="33" t="n">
        <v>1</v>
      </c>
      <c r="H197" s="33" t="n">
        <v>50</v>
      </c>
      <c r="I197" s="33" t="n">
        <v>8</v>
      </c>
      <c r="J197" s="33" t="inlineStr">
        <is>
          <t>N</t>
        </is>
      </c>
      <c r="K197" s="33">
        <f>IF($J197="Y","",IF($F197="BW",$I197,$H197*$I197))</f>
        <v/>
      </c>
      <c r="L197" s="33">
        <f>$D197&amp;"|"&amp;$H197</f>
        <v/>
      </c>
      <c r="M197" s="33" t="n"/>
    </row>
    <row r="198" ht="15" customHeight="1" s="22">
      <c r="A198" s="32" t="n">
        <v>46117</v>
      </c>
      <c r="B198" s="33" t="inlineStr">
        <is>
          <t>Sun</t>
        </is>
      </c>
      <c r="C198" s="33" t="inlineStr">
        <is>
          <t>Push</t>
        </is>
      </c>
      <c r="D198" s="33" t="inlineStr">
        <is>
          <t>Bench Press (Smith)</t>
        </is>
      </c>
      <c r="E198" s="33" t="inlineStr">
        <is>
          <t>Smith</t>
        </is>
      </c>
      <c r="F198" s="33" t="inlineStr">
        <is>
          <t>lbs</t>
        </is>
      </c>
      <c r="G198" s="33" t="n">
        <v>2</v>
      </c>
      <c r="H198" s="33" t="n">
        <v>60</v>
      </c>
      <c r="I198" s="33" t="n">
        <v>8</v>
      </c>
      <c r="J198" s="33" t="inlineStr">
        <is>
          <t>N</t>
        </is>
      </c>
      <c r="K198" s="33">
        <f>IF($J198="Y","",IF($F198="BW",$I198,$H198*$I198))</f>
        <v/>
      </c>
      <c r="L198" s="33">
        <f>$D198&amp;"|"&amp;$H198</f>
        <v/>
      </c>
      <c r="M198" s="33" t="n"/>
    </row>
    <row r="199" ht="15" customHeight="1" s="22">
      <c r="A199" s="32" t="n">
        <v>46117</v>
      </c>
      <c r="B199" s="33" t="inlineStr">
        <is>
          <t>Sun</t>
        </is>
      </c>
      <c r="C199" s="33" t="inlineStr">
        <is>
          <t>Push</t>
        </is>
      </c>
      <c r="D199" s="33" t="inlineStr">
        <is>
          <t>Bench Press (Smith)</t>
        </is>
      </c>
      <c r="E199" s="33" t="inlineStr">
        <is>
          <t>Smith</t>
        </is>
      </c>
      <c r="F199" s="33" t="inlineStr">
        <is>
          <t>lbs</t>
        </is>
      </c>
      <c r="G199" s="33" t="n">
        <v>3</v>
      </c>
      <c r="H199" s="33" t="n">
        <v>70</v>
      </c>
      <c r="I199" s="33" t="n">
        <v>8</v>
      </c>
      <c r="J199" s="33" t="inlineStr">
        <is>
          <t>N</t>
        </is>
      </c>
      <c r="K199" s="33">
        <f>IF($J199="Y","",IF($F199="BW",$I199,$H199*$I199))</f>
        <v/>
      </c>
      <c r="L199" s="33">
        <f>$D199&amp;"|"&amp;$H199</f>
        <v/>
      </c>
      <c r="M199" s="33" t="n"/>
    </row>
    <row r="200" ht="15" customHeight="1" s="22">
      <c r="A200" s="32" t="n">
        <v>46117</v>
      </c>
      <c r="B200" s="33" t="inlineStr">
        <is>
          <t>Sun</t>
        </is>
      </c>
      <c r="C200" s="33" t="inlineStr">
        <is>
          <t>Push</t>
        </is>
      </c>
      <c r="D200" s="33" t="inlineStr">
        <is>
          <t>Bench Press (Smith)</t>
        </is>
      </c>
      <c r="E200" s="33" t="inlineStr">
        <is>
          <t>Smith</t>
        </is>
      </c>
      <c r="F200" s="33" t="inlineStr">
        <is>
          <t>lbs</t>
        </is>
      </c>
      <c r="G200" s="33" t="n">
        <v>4</v>
      </c>
      <c r="H200" s="33" t="n">
        <v>70</v>
      </c>
      <c r="I200" s="33" t="n">
        <v>8</v>
      </c>
      <c r="J200" s="33" t="inlineStr">
        <is>
          <t>N</t>
        </is>
      </c>
      <c r="K200" s="33">
        <f>IF($J200="Y","",IF($F200="BW",$I200,$H200*$I200))</f>
        <v/>
      </c>
      <c r="L200" s="33">
        <f>$D200&amp;"|"&amp;$H200</f>
        <v/>
      </c>
      <c r="M200" s="33" t="n"/>
    </row>
    <row r="201" ht="15" customHeight="1" s="22">
      <c r="A201" s="32" t="n">
        <v>46117</v>
      </c>
      <c r="B201" s="33" t="inlineStr">
        <is>
          <t>Sun</t>
        </is>
      </c>
      <c r="C201" s="33" t="inlineStr">
        <is>
          <t>Push</t>
        </is>
      </c>
      <c r="D201" s="33" t="inlineStr">
        <is>
          <t>Tricep Ext Overhead</t>
        </is>
      </c>
      <c r="E201" s="33" t="inlineStr">
        <is>
          <t>Dumbbell</t>
        </is>
      </c>
      <c r="F201" s="33" t="inlineStr">
        <is>
          <t>lbs</t>
        </is>
      </c>
      <c r="G201" s="33" t="n">
        <v>1</v>
      </c>
      <c r="H201" s="33" t="n">
        <v>40</v>
      </c>
      <c r="I201" s="33" t="n">
        <v>8</v>
      </c>
      <c r="J201" s="33" t="inlineStr">
        <is>
          <t>N</t>
        </is>
      </c>
      <c r="K201" s="33">
        <f>IF($J201="Y","",IF($F201="BW",$I201,$H201*$I201))</f>
        <v/>
      </c>
      <c r="L201" s="33">
        <f>$D201&amp;"|"&amp;$H201</f>
        <v/>
      </c>
      <c r="M201" s="33" t="n"/>
    </row>
    <row r="202" ht="15" customHeight="1" s="22">
      <c r="A202" s="32" t="n">
        <v>46117</v>
      </c>
      <c r="B202" s="33" t="inlineStr">
        <is>
          <t>Sun</t>
        </is>
      </c>
      <c r="C202" s="33" t="inlineStr">
        <is>
          <t>Push</t>
        </is>
      </c>
      <c r="D202" s="33" t="inlineStr">
        <is>
          <t>Tricep Ext Overhead</t>
        </is>
      </c>
      <c r="E202" s="33" t="inlineStr">
        <is>
          <t>Dumbbell</t>
        </is>
      </c>
      <c r="F202" s="33" t="inlineStr">
        <is>
          <t>lbs</t>
        </is>
      </c>
      <c r="G202" s="33" t="n">
        <v>2</v>
      </c>
      <c r="H202" s="33" t="n">
        <v>45</v>
      </c>
      <c r="I202" s="33" t="n">
        <v>8</v>
      </c>
      <c r="J202" s="33" t="inlineStr">
        <is>
          <t>N</t>
        </is>
      </c>
      <c r="K202" s="33">
        <f>IF($J202="Y","",IF($F202="BW",$I202,$H202*$I202))</f>
        <v/>
      </c>
      <c r="L202" s="33">
        <f>$D202&amp;"|"&amp;$H202</f>
        <v/>
      </c>
      <c r="M202" s="33" t="n"/>
    </row>
    <row r="203" ht="15" customHeight="1" s="22">
      <c r="A203" s="32" t="n">
        <v>46117</v>
      </c>
      <c r="B203" s="33" t="inlineStr">
        <is>
          <t>Sun</t>
        </is>
      </c>
      <c r="C203" s="33" t="inlineStr">
        <is>
          <t>Push</t>
        </is>
      </c>
      <c r="D203" s="33" t="inlineStr">
        <is>
          <t>Tricep Ext Overhead</t>
        </is>
      </c>
      <c r="E203" s="33" t="inlineStr">
        <is>
          <t>Dumbbell</t>
        </is>
      </c>
      <c r="F203" s="33" t="inlineStr">
        <is>
          <t>lbs</t>
        </is>
      </c>
      <c r="G203" s="33" t="n">
        <v>3</v>
      </c>
      <c r="H203" s="33" t="n">
        <v>50</v>
      </c>
      <c r="I203" s="33" t="n">
        <v>8</v>
      </c>
      <c r="J203" s="33" t="inlineStr">
        <is>
          <t>N</t>
        </is>
      </c>
      <c r="K203" s="33">
        <f>IF($J203="Y","",IF($F203="BW",$I203,$H203*$I203))</f>
        <v/>
      </c>
      <c r="L203" s="33">
        <f>$D203&amp;"|"&amp;$H203</f>
        <v/>
      </c>
      <c r="M203" s="33" t="n"/>
    </row>
    <row r="204" ht="15" customHeight="1" s="22">
      <c r="A204" s="32" t="n">
        <v>46117</v>
      </c>
      <c r="B204" s="33" t="inlineStr">
        <is>
          <t>Sun</t>
        </is>
      </c>
      <c r="C204" s="33" t="inlineStr">
        <is>
          <t>Push</t>
        </is>
      </c>
      <c r="D204" s="33" t="inlineStr">
        <is>
          <t>Shoulder Press</t>
        </is>
      </c>
      <c r="E204" s="33" t="inlineStr">
        <is>
          <t>Dumbbell</t>
        </is>
      </c>
      <c r="F204" s="33" t="inlineStr">
        <is>
          <t>lbs</t>
        </is>
      </c>
      <c r="G204" s="33" t="n">
        <v>1</v>
      </c>
      <c r="H204" s="33" t="n">
        <v>25</v>
      </c>
      <c r="I204" s="33" t="n">
        <v>8</v>
      </c>
      <c r="J204" s="33" t="inlineStr">
        <is>
          <t>N</t>
        </is>
      </c>
      <c r="K204" s="33">
        <f>IF($J204="Y","",IF($F204="BW",$I204,$H204*$I204))</f>
        <v/>
      </c>
      <c r="L204" s="33">
        <f>$D204&amp;"|"&amp;$H204</f>
        <v/>
      </c>
      <c r="M204" s="33" t="n"/>
    </row>
    <row r="205" ht="15" customHeight="1" s="22">
      <c r="A205" s="32" t="n">
        <v>46117</v>
      </c>
      <c r="B205" s="33" t="inlineStr">
        <is>
          <t>Sun</t>
        </is>
      </c>
      <c r="C205" s="33" t="inlineStr">
        <is>
          <t>Push</t>
        </is>
      </c>
      <c r="D205" s="33" t="inlineStr">
        <is>
          <t>Shoulder Press</t>
        </is>
      </c>
      <c r="E205" s="33" t="inlineStr">
        <is>
          <t>Dumbbell</t>
        </is>
      </c>
      <c r="F205" s="33" t="inlineStr">
        <is>
          <t>lbs</t>
        </is>
      </c>
      <c r="G205" s="33" t="n">
        <v>2</v>
      </c>
      <c r="H205" s="33" t="n">
        <v>30</v>
      </c>
      <c r="I205" s="33" t="n">
        <v>8</v>
      </c>
      <c r="J205" s="33" t="inlineStr">
        <is>
          <t>N</t>
        </is>
      </c>
      <c r="K205" s="33">
        <f>IF($J205="Y","",IF($F205="BW",$I205,$H205*$I205))</f>
        <v/>
      </c>
      <c r="L205" s="33">
        <f>$D205&amp;"|"&amp;$H205</f>
        <v/>
      </c>
      <c r="M205" s="33" t="n"/>
    </row>
    <row r="206" ht="15" customHeight="1" s="22">
      <c r="A206" s="32" t="n">
        <v>46117</v>
      </c>
      <c r="B206" s="33" t="inlineStr">
        <is>
          <t>Sun</t>
        </is>
      </c>
      <c r="C206" s="33" t="inlineStr">
        <is>
          <t>Push</t>
        </is>
      </c>
      <c r="D206" s="33" t="inlineStr">
        <is>
          <t>Shoulder Press</t>
        </is>
      </c>
      <c r="E206" s="33" t="inlineStr">
        <is>
          <t>Dumbbell</t>
        </is>
      </c>
      <c r="F206" s="33" t="inlineStr">
        <is>
          <t>lbs</t>
        </is>
      </c>
      <c r="G206" s="33" t="n">
        <v>3</v>
      </c>
      <c r="H206" s="33" t="n">
        <v>30</v>
      </c>
      <c r="I206" s="33" t="n">
        <v>8</v>
      </c>
      <c r="J206" s="33" t="inlineStr">
        <is>
          <t>N</t>
        </is>
      </c>
      <c r="K206" s="33">
        <f>IF($J206="Y","",IF($F206="BW",$I206,$H206*$I206))</f>
        <v/>
      </c>
      <c r="L206" s="33">
        <f>$D206&amp;"|"&amp;$H206</f>
        <v/>
      </c>
      <c r="M206" s="33" t="n"/>
    </row>
    <row r="207" ht="15" customHeight="1" s="22">
      <c r="A207" s="32" t="n">
        <v>46117</v>
      </c>
      <c r="B207" s="33" t="inlineStr">
        <is>
          <t>Sun</t>
        </is>
      </c>
      <c r="C207" s="33" t="inlineStr">
        <is>
          <t>Push</t>
        </is>
      </c>
      <c r="D207" s="33" t="inlineStr">
        <is>
          <t>Incline Bench (DB)</t>
        </is>
      </c>
      <c r="E207" s="33" t="inlineStr">
        <is>
          <t>Dumbbell</t>
        </is>
      </c>
      <c r="F207" s="33" t="inlineStr">
        <is>
          <t>lbs</t>
        </is>
      </c>
      <c r="G207" s="33" t="n">
        <v>1</v>
      </c>
      <c r="H207" s="33" t="n">
        <v>25</v>
      </c>
      <c r="I207" s="33" t="n">
        <v>8</v>
      </c>
      <c r="J207" s="33" t="inlineStr">
        <is>
          <t>N</t>
        </is>
      </c>
      <c r="K207" s="33">
        <f>IF($J207="Y","",IF($F207="BW",$I207,$H207*$I207))</f>
        <v/>
      </c>
      <c r="L207" s="33">
        <f>$D207&amp;"|"&amp;$H207</f>
        <v/>
      </c>
      <c r="M207" s="33" t="n"/>
    </row>
    <row r="208" ht="15" customHeight="1" s="22">
      <c r="A208" s="32" t="n">
        <v>46117</v>
      </c>
      <c r="B208" s="33" t="inlineStr">
        <is>
          <t>Sun</t>
        </is>
      </c>
      <c r="C208" s="33" t="inlineStr">
        <is>
          <t>Push</t>
        </is>
      </c>
      <c r="D208" s="33" t="inlineStr">
        <is>
          <t>Incline Bench (DB)</t>
        </is>
      </c>
      <c r="E208" s="33" t="inlineStr">
        <is>
          <t>Dumbbell</t>
        </is>
      </c>
      <c r="F208" s="33" t="inlineStr">
        <is>
          <t>lbs</t>
        </is>
      </c>
      <c r="G208" s="33" t="n">
        <v>2</v>
      </c>
      <c r="H208" s="33" t="n">
        <v>30</v>
      </c>
      <c r="I208" s="33" t="n">
        <v>8</v>
      </c>
      <c r="J208" s="33" t="inlineStr">
        <is>
          <t>N</t>
        </is>
      </c>
      <c r="K208" s="33">
        <f>IF($J208="Y","",IF($F208="BW",$I208,$H208*$I208))</f>
        <v/>
      </c>
      <c r="L208" s="33">
        <f>$D208&amp;"|"&amp;$H208</f>
        <v/>
      </c>
      <c r="M208" s="33" t="n"/>
    </row>
    <row r="209" ht="15" customHeight="1" s="22">
      <c r="A209" s="32" t="n">
        <v>46117</v>
      </c>
      <c r="B209" s="33" t="inlineStr">
        <is>
          <t>Sun</t>
        </is>
      </c>
      <c r="C209" s="33" t="inlineStr">
        <is>
          <t>Push</t>
        </is>
      </c>
      <c r="D209" s="33" t="inlineStr">
        <is>
          <t>Incline Bench (DB)</t>
        </is>
      </c>
      <c r="E209" s="33" t="inlineStr">
        <is>
          <t>Dumbbell</t>
        </is>
      </c>
      <c r="F209" s="33" t="inlineStr">
        <is>
          <t>lbs</t>
        </is>
      </c>
      <c r="G209" s="33" t="n">
        <v>3</v>
      </c>
      <c r="H209" s="33" t="n">
        <v>30</v>
      </c>
      <c r="I209" s="33" t="n">
        <v>8</v>
      </c>
      <c r="J209" s="33" t="inlineStr">
        <is>
          <t>N</t>
        </is>
      </c>
      <c r="K209" s="33">
        <f>IF($J209="Y","",IF($F209="BW",$I209,$H209*$I209))</f>
        <v/>
      </c>
      <c r="L209" s="33">
        <f>$D209&amp;"|"&amp;$H209</f>
        <v/>
      </c>
      <c r="M209" s="33" t="n"/>
    </row>
    <row r="210" ht="15" customHeight="1" s="22">
      <c r="A210" s="32" t="n">
        <v>46117</v>
      </c>
      <c r="B210" s="33" t="inlineStr">
        <is>
          <t>Sun</t>
        </is>
      </c>
      <c r="C210" s="33" t="inlineStr">
        <is>
          <t>Push</t>
        </is>
      </c>
      <c r="D210" s="33" t="inlineStr">
        <is>
          <t>Incline Bench (DB)</t>
        </is>
      </c>
      <c r="E210" s="33" t="inlineStr">
        <is>
          <t>Dumbbell</t>
        </is>
      </c>
      <c r="F210" s="33" t="inlineStr">
        <is>
          <t>lbs</t>
        </is>
      </c>
      <c r="G210" s="33" t="n">
        <v>4</v>
      </c>
      <c r="H210" s="33" t="n">
        <v>30</v>
      </c>
      <c r="I210" s="33" t="n">
        <v>8</v>
      </c>
      <c r="J210" s="33" t="inlineStr">
        <is>
          <t>N</t>
        </is>
      </c>
      <c r="K210" s="33">
        <f>IF($J210="Y","",IF($F210="BW",$I210,$H210*$I210))</f>
        <v/>
      </c>
      <c r="L210" s="33">
        <f>$D210&amp;"|"&amp;$H210</f>
        <v/>
      </c>
      <c r="M210" s="33" t="n"/>
    </row>
    <row r="211" ht="15" customHeight="1" s="22">
      <c r="A211" s="32" t="n">
        <v>46125</v>
      </c>
      <c r="B211" s="33" t="inlineStr">
        <is>
          <t>Mon</t>
        </is>
      </c>
      <c r="C211" s="33" t="inlineStr">
        <is>
          <t>Pull + Arms</t>
        </is>
      </c>
      <c r="D211" s="33" t="inlineStr">
        <is>
          <t>Single Arm Lat Pulldown</t>
        </is>
      </c>
      <c r="E211" s="33" t="inlineStr">
        <is>
          <t>Cable</t>
        </is>
      </c>
      <c r="F211" s="33" t="inlineStr">
        <is>
          <t>kg</t>
        </is>
      </c>
      <c r="G211" s="33" t="n">
        <v>1</v>
      </c>
      <c r="H211" s="33" t="n">
        <v>15</v>
      </c>
      <c r="I211" s="33" t="n">
        <v>8</v>
      </c>
      <c r="J211" s="33" t="inlineStr">
        <is>
          <t>N</t>
        </is>
      </c>
      <c r="K211" s="33">
        <f>IF($J211="Y","",IF($F211="BW",$I211,$H211*$I211))</f>
        <v/>
      </c>
      <c r="L211" s="33">
        <f>$D211&amp;"|"&amp;$H211</f>
        <v/>
      </c>
      <c r="M211" s="33" t="n"/>
    </row>
    <row r="212" ht="15" customHeight="1" s="22">
      <c r="A212" s="32" t="n">
        <v>46125</v>
      </c>
      <c r="B212" s="33" t="inlineStr">
        <is>
          <t>Mon</t>
        </is>
      </c>
      <c r="C212" s="33" t="inlineStr">
        <is>
          <t>Pull + Arms</t>
        </is>
      </c>
      <c r="D212" s="33" t="inlineStr">
        <is>
          <t>Single Arm Lat Pulldown</t>
        </is>
      </c>
      <c r="E212" s="33" t="inlineStr">
        <is>
          <t>Cable</t>
        </is>
      </c>
      <c r="F212" s="33" t="inlineStr">
        <is>
          <t>kg</t>
        </is>
      </c>
      <c r="G212" s="33" t="n">
        <v>2</v>
      </c>
      <c r="H212" s="33" t="n">
        <v>20</v>
      </c>
      <c r="I212" s="33" t="n">
        <v>8</v>
      </c>
      <c r="J212" s="33" t="inlineStr">
        <is>
          <t>N</t>
        </is>
      </c>
      <c r="K212" s="33">
        <f>IF($J212="Y","",IF($F212="BW",$I212,$H212*$I212))</f>
        <v/>
      </c>
      <c r="L212" s="33">
        <f>$D212&amp;"|"&amp;$H212</f>
        <v/>
      </c>
      <c r="M212" s="33" t="n"/>
    </row>
    <row r="213" ht="15" customHeight="1" s="22">
      <c r="A213" s="32" t="n">
        <v>46125</v>
      </c>
      <c r="B213" s="33" t="inlineStr">
        <is>
          <t>Mon</t>
        </is>
      </c>
      <c r="C213" s="33" t="inlineStr">
        <is>
          <t>Pull + Arms</t>
        </is>
      </c>
      <c r="D213" s="33" t="inlineStr">
        <is>
          <t>Single Arm Lat Pulldown</t>
        </is>
      </c>
      <c r="E213" s="33" t="inlineStr">
        <is>
          <t>Cable</t>
        </is>
      </c>
      <c r="F213" s="33" t="inlineStr">
        <is>
          <t>kg</t>
        </is>
      </c>
      <c r="G213" s="33" t="n">
        <v>3</v>
      </c>
      <c r="H213" s="33" t="n">
        <v>22.5</v>
      </c>
      <c r="I213" s="33" t="n">
        <v>8</v>
      </c>
      <c r="J213" s="33" t="inlineStr">
        <is>
          <t>N</t>
        </is>
      </c>
      <c r="K213" s="33">
        <f>IF($J213="Y","",IF($F213="BW",$I213,$H213*$I213))</f>
        <v/>
      </c>
      <c r="L213" s="33">
        <f>$D213&amp;"|"&amp;$H213</f>
        <v/>
      </c>
      <c r="M213" s="33" t="n"/>
    </row>
    <row r="214" ht="15" customHeight="1" s="22">
      <c r="A214" s="32" t="n">
        <v>46125</v>
      </c>
      <c r="B214" s="33" t="inlineStr">
        <is>
          <t>Mon</t>
        </is>
      </c>
      <c r="C214" s="33" t="inlineStr">
        <is>
          <t>Pull + Arms</t>
        </is>
      </c>
      <c r="D214" s="33" t="inlineStr">
        <is>
          <t>Smith Rows</t>
        </is>
      </c>
      <c r="E214" s="33" t="inlineStr">
        <is>
          <t>Smith</t>
        </is>
      </c>
      <c r="F214" s="33" t="inlineStr">
        <is>
          <t>lbs</t>
        </is>
      </c>
      <c r="G214" s="33" t="n">
        <v>1</v>
      </c>
      <c r="H214" s="33" t="n">
        <v>35</v>
      </c>
      <c r="I214" s="33" t="n">
        <v>8</v>
      </c>
      <c r="J214" s="33" t="inlineStr">
        <is>
          <t>N</t>
        </is>
      </c>
      <c r="K214" s="33">
        <f>IF($J214="Y","",IF($F214="BW",$I214,$H214*$I214))</f>
        <v/>
      </c>
      <c r="L214" s="33">
        <f>$D214&amp;"|"&amp;$H214</f>
        <v/>
      </c>
      <c r="M214" s="33" t="n"/>
    </row>
    <row r="215" ht="15" customHeight="1" s="22">
      <c r="A215" s="32" t="n">
        <v>46125</v>
      </c>
      <c r="B215" s="33" t="inlineStr">
        <is>
          <t>Mon</t>
        </is>
      </c>
      <c r="C215" s="33" t="inlineStr">
        <is>
          <t>Pull + Arms</t>
        </is>
      </c>
      <c r="D215" s="33" t="inlineStr">
        <is>
          <t>Smith Rows</t>
        </is>
      </c>
      <c r="E215" s="33" t="inlineStr">
        <is>
          <t>Smith</t>
        </is>
      </c>
      <c r="F215" s="33" t="inlineStr">
        <is>
          <t>lbs</t>
        </is>
      </c>
      <c r="G215" s="33" t="n">
        <v>2</v>
      </c>
      <c r="H215" s="33" t="n">
        <v>50</v>
      </c>
      <c r="I215" s="33" t="n">
        <v>8</v>
      </c>
      <c r="J215" s="33" t="inlineStr">
        <is>
          <t>N</t>
        </is>
      </c>
      <c r="K215" s="33">
        <f>IF($J215="Y","",IF($F215="BW",$I215,$H215*$I215))</f>
        <v/>
      </c>
      <c r="L215" s="33">
        <f>$D215&amp;"|"&amp;$H215</f>
        <v/>
      </c>
      <c r="M215" s="33" t="n"/>
    </row>
    <row r="216" ht="15" customHeight="1" s="22">
      <c r="A216" s="32" t="n">
        <v>46125</v>
      </c>
      <c r="B216" s="33" t="inlineStr">
        <is>
          <t>Mon</t>
        </is>
      </c>
      <c r="C216" s="33" t="inlineStr">
        <is>
          <t>Pull + Arms</t>
        </is>
      </c>
      <c r="D216" s="33" t="inlineStr">
        <is>
          <t>Smith Rows</t>
        </is>
      </c>
      <c r="E216" s="33" t="inlineStr">
        <is>
          <t>Smith</t>
        </is>
      </c>
      <c r="F216" s="33" t="inlineStr">
        <is>
          <t>lbs</t>
        </is>
      </c>
      <c r="G216" s="33" t="n">
        <v>3</v>
      </c>
      <c r="H216" s="33" t="n">
        <v>50</v>
      </c>
      <c r="I216" s="33" t="n">
        <v>8</v>
      </c>
      <c r="J216" s="33" t="inlineStr">
        <is>
          <t>N</t>
        </is>
      </c>
      <c r="K216" s="33">
        <f>IF($J216="Y","",IF($F216="BW",$I216,$H216*$I216))</f>
        <v/>
      </c>
      <c r="L216" s="33">
        <f>$D216&amp;"|"&amp;$H216</f>
        <v/>
      </c>
      <c r="M216" s="33" t="n"/>
    </row>
    <row r="217" ht="15" customHeight="1" s="22">
      <c r="A217" s="32" t="n">
        <v>46125</v>
      </c>
      <c r="B217" s="33" t="inlineStr">
        <is>
          <t>Mon</t>
        </is>
      </c>
      <c r="C217" s="33" t="inlineStr">
        <is>
          <t>Pull + Arms</t>
        </is>
      </c>
      <c r="D217" s="33" t="inlineStr">
        <is>
          <t>Shrugs</t>
        </is>
      </c>
      <c r="E217" s="33" t="inlineStr">
        <is>
          <t>Dumbbell</t>
        </is>
      </c>
      <c r="F217" s="33" t="inlineStr">
        <is>
          <t>lbs</t>
        </is>
      </c>
      <c r="G217" s="33" t="n">
        <v>1</v>
      </c>
      <c r="H217" s="33" t="n">
        <v>35</v>
      </c>
      <c r="I217" s="33" t="n">
        <v>8</v>
      </c>
      <c r="J217" s="33" t="inlineStr">
        <is>
          <t>N</t>
        </is>
      </c>
      <c r="K217" s="33">
        <f>IF($J217="Y","",IF($F217="BW",$I217,$H217*$I217))</f>
        <v/>
      </c>
      <c r="L217" s="33">
        <f>$D217&amp;"|"&amp;$H217</f>
        <v/>
      </c>
      <c r="M217" s="33" t="n"/>
    </row>
    <row r="218" ht="15" customHeight="1" s="22">
      <c r="A218" s="32" t="n">
        <v>46125</v>
      </c>
      <c r="B218" s="33" t="inlineStr">
        <is>
          <t>Mon</t>
        </is>
      </c>
      <c r="C218" s="33" t="inlineStr">
        <is>
          <t>Pull + Arms</t>
        </is>
      </c>
      <c r="D218" s="33" t="inlineStr">
        <is>
          <t>Shrugs</t>
        </is>
      </c>
      <c r="E218" s="33" t="inlineStr">
        <is>
          <t>Dumbbell</t>
        </is>
      </c>
      <c r="F218" s="33" t="inlineStr">
        <is>
          <t>lbs</t>
        </is>
      </c>
      <c r="G218" s="33" t="n">
        <v>2</v>
      </c>
      <c r="H218" s="33" t="n">
        <v>40</v>
      </c>
      <c r="I218" s="33" t="n">
        <v>8</v>
      </c>
      <c r="J218" s="33" t="inlineStr">
        <is>
          <t>N</t>
        </is>
      </c>
      <c r="K218" s="33">
        <f>IF($J218="Y","",IF($F218="BW",$I218,$H218*$I218))</f>
        <v/>
      </c>
      <c r="L218" s="33">
        <f>$D218&amp;"|"&amp;$H218</f>
        <v/>
      </c>
      <c r="M218" s="33" t="n"/>
    </row>
    <row r="219" ht="15" customHeight="1" s="22">
      <c r="A219" s="32" t="n">
        <v>46125</v>
      </c>
      <c r="B219" s="33" t="inlineStr">
        <is>
          <t>Mon</t>
        </is>
      </c>
      <c r="C219" s="33" t="inlineStr">
        <is>
          <t>Pull + Arms</t>
        </is>
      </c>
      <c r="D219" s="33" t="inlineStr">
        <is>
          <t>Bicep Curls (Cable)</t>
        </is>
      </c>
      <c r="E219" s="33" t="inlineStr">
        <is>
          <t>Cable</t>
        </is>
      </c>
      <c r="F219" s="33" t="inlineStr">
        <is>
          <t>kg</t>
        </is>
      </c>
      <c r="G219" s="33" t="n">
        <v>1</v>
      </c>
      <c r="H219" s="33" t="n">
        <v>7.5</v>
      </c>
      <c r="I219" s="33" t="n">
        <v>8</v>
      </c>
      <c r="J219" s="33" t="inlineStr">
        <is>
          <t>N</t>
        </is>
      </c>
      <c r="K219" s="33">
        <f>IF($J219="Y","",IF($F219="BW",$I219,$H219*$I219))</f>
        <v/>
      </c>
      <c r="L219" s="33">
        <f>$D219&amp;"|"&amp;$H219</f>
        <v/>
      </c>
      <c r="M219" s="33" t="n"/>
    </row>
    <row r="220" ht="15" customHeight="1" s="22">
      <c r="A220" s="32" t="n">
        <v>46125</v>
      </c>
      <c r="B220" s="33" t="inlineStr">
        <is>
          <t>Mon</t>
        </is>
      </c>
      <c r="C220" s="33" t="inlineStr">
        <is>
          <t>Pull + Arms</t>
        </is>
      </c>
      <c r="D220" s="33" t="inlineStr">
        <is>
          <t>Bicep Curls (Cable)</t>
        </is>
      </c>
      <c r="E220" s="33" t="inlineStr">
        <is>
          <t>Cable</t>
        </is>
      </c>
      <c r="F220" s="33" t="inlineStr">
        <is>
          <t>kg</t>
        </is>
      </c>
      <c r="G220" s="33" t="n">
        <v>2</v>
      </c>
      <c r="H220" s="33" t="n">
        <v>7.5</v>
      </c>
      <c r="I220" s="33" t="n">
        <v>8</v>
      </c>
      <c r="J220" s="33" t="inlineStr">
        <is>
          <t>N</t>
        </is>
      </c>
      <c r="K220" s="33">
        <f>IF($J220="Y","",IF($F220="BW",$I220,$H220*$I220))</f>
        <v/>
      </c>
      <c r="L220" s="33">
        <f>$D220&amp;"|"&amp;$H220</f>
        <v/>
      </c>
      <c r="M220" s="33" t="n"/>
    </row>
    <row r="221" ht="15" customHeight="1" s="22">
      <c r="A221" s="32" t="n">
        <v>46125</v>
      </c>
      <c r="B221" s="33" t="inlineStr">
        <is>
          <t>Mon</t>
        </is>
      </c>
      <c r="C221" s="33" t="inlineStr">
        <is>
          <t>Pull + Arms</t>
        </is>
      </c>
      <c r="D221" s="33" t="inlineStr">
        <is>
          <t>Bicep Curls (Cable)</t>
        </is>
      </c>
      <c r="E221" s="33" t="inlineStr">
        <is>
          <t>Cable</t>
        </is>
      </c>
      <c r="F221" s="33" t="inlineStr">
        <is>
          <t>kg</t>
        </is>
      </c>
      <c r="G221" s="33" t="n">
        <v>3</v>
      </c>
      <c r="H221" s="33" t="n">
        <v>7.5</v>
      </c>
      <c r="I221" s="33" t="n">
        <v>8</v>
      </c>
      <c r="J221" s="33" t="inlineStr">
        <is>
          <t>N</t>
        </is>
      </c>
      <c r="K221" s="33">
        <f>IF($J221="Y","",IF($F221="BW",$I221,$H221*$I221))</f>
        <v/>
      </c>
      <c r="L221" s="33">
        <f>$D221&amp;"|"&amp;$H221</f>
        <v/>
      </c>
      <c r="M221" s="33" t="n"/>
    </row>
    <row r="222" ht="15" customHeight="1" s="22">
      <c r="A222" s="32" t="n">
        <v>46127</v>
      </c>
      <c r="B222" s="33" t="inlineStr">
        <is>
          <t>Wed</t>
        </is>
      </c>
      <c r="C222" s="33" t="inlineStr">
        <is>
          <t>Push</t>
        </is>
      </c>
      <c r="D222" s="33" t="inlineStr">
        <is>
          <t>Bench Press (Smith)</t>
        </is>
      </c>
      <c r="E222" s="33" t="inlineStr">
        <is>
          <t>Smith</t>
        </is>
      </c>
      <c r="F222" s="33" t="inlineStr">
        <is>
          <t>lbs</t>
        </is>
      </c>
      <c r="G222" s="33" t="n">
        <v>1</v>
      </c>
      <c r="H222" s="33" t="n">
        <v>50</v>
      </c>
      <c r="I222" s="33" t="n">
        <v>8</v>
      </c>
      <c r="J222" s="33" t="inlineStr">
        <is>
          <t>N</t>
        </is>
      </c>
      <c r="K222" s="33">
        <f>IF($J222="Y","",IF($F222="BW",$I222,$H222*$I222))</f>
        <v/>
      </c>
      <c r="L222" s="33">
        <f>$D222&amp;"|"&amp;$H222</f>
        <v/>
      </c>
      <c r="M222" s="33" t="n"/>
    </row>
    <row r="223" ht="15" customHeight="1" s="22">
      <c r="A223" s="32" t="n">
        <v>46127</v>
      </c>
      <c r="B223" s="33" t="inlineStr">
        <is>
          <t>Wed</t>
        </is>
      </c>
      <c r="C223" s="33" t="inlineStr">
        <is>
          <t>Push</t>
        </is>
      </c>
      <c r="D223" s="33" t="inlineStr">
        <is>
          <t>Bench Press (Smith)</t>
        </is>
      </c>
      <c r="E223" s="33" t="inlineStr">
        <is>
          <t>Smith</t>
        </is>
      </c>
      <c r="F223" s="33" t="inlineStr">
        <is>
          <t>lbs</t>
        </is>
      </c>
      <c r="G223" s="33" t="n">
        <v>2</v>
      </c>
      <c r="H223" s="33" t="n">
        <v>60</v>
      </c>
      <c r="I223" s="33" t="n">
        <v>8</v>
      </c>
      <c r="J223" s="33" t="inlineStr">
        <is>
          <t>N</t>
        </is>
      </c>
      <c r="K223" s="33">
        <f>IF($J223="Y","",IF($F223="BW",$I223,$H223*$I223))</f>
        <v/>
      </c>
      <c r="L223" s="33">
        <f>$D223&amp;"|"&amp;$H223</f>
        <v/>
      </c>
      <c r="M223" s="33" t="n"/>
    </row>
    <row r="224" ht="15" customHeight="1" s="22">
      <c r="A224" s="32" t="n">
        <v>46127</v>
      </c>
      <c r="B224" s="33" t="inlineStr">
        <is>
          <t>Wed</t>
        </is>
      </c>
      <c r="C224" s="33" t="inlineStr">
        <is>
          <t>Push</t>
        </is>
      </c>
      <c r="D224" s="33" t="inlineStr">
        <is>
          <t>Bench Press (Smith)</t>
        </is>
      </c>
      <c r="E224" s="33" t="inlineStr">
        <is>
          <t>Smith</t>
        </is>
      </c>
      <c r="F224" s="33" t="inlineStr">
        <is>
          <t>lbs</t>
        </is>
      </c>
      <c r="G224" s="33" t="n">
        <v>3</v>
      </c>
      <c r="H224" s="33" t="n">
        <v>75</v>
      </c>
      <c r="I224" s="33" t="n">
        <v>8</v>
      </c>
      <c r="J224" s="33" t="inlineStr">
        <is>
          <t>N</t>
        </is>
      </c>
      <c r="K224" s="33">
        <f>IF($J224="Y","",IF($F224="BW",$I224,$H224*$I224))</f>
        <v/>
      </c>
      <c r="L224" s="33">
        <f>$D224&amp;"|"&amp;$H224</f>
        <v/>
      </c>
      <c r="M224" s="33" t="n"/>
    </row>
    <row r="225" ht="15" customHeight="1" s="22">
      <c r="A225" s="32" t="n">
        <v>46127</v>
      </c>
      <c r="B225" s="33" t="inlineStr">
        <is>
          <t>Wed</t>
        </is>
      </c>
      <c r="C225" s="33" t="inlineStr">
        <is>
          <t>Push</t>
        </is>
      </c>
      <c r="D225" s="33" t="inlineStr">
        <is>
          <t>Bench Press (Smith)</t>
        </is>
      </c>
      <c r="E225" s="33" t="inlineStr">
        <is>
          <t>Smith</t>
        </is>
      </c>
      <c r="F225" s="33" t="inlineStr">
        <is>
          <t>lbs</t>
        </is>
      </c>
      <c r="G225" s="33" t="n">
        <v>4</v>
      </c>
      <c r="H225" s="33" t="n">
        <v>75</v>
      </c>
      <c r="I225" s="33" t="n">
        <v>8</v>
      </c>
      <c r="J225" s="33" t="inlineStr">
        <is>
          <t>N</t>
        </is>
      </c>
      <c r="K225" s="33">
        <f>IF($J225="Y","",IF($F225="BW",$I225,$H225*$I225))</f>
        <v/>
      </c>
      <c r="L225" s="33">
        <f>$D225&amp;"|"&amp;$H225</f>
        <v/>
      </c>
      <c r="M225" s="33" t="n"/>
    </row>
    <row r="226" ht="15" customHeight="1" s="22">
      <c r="A226" s="32" t="n">
        <v>46127</v>
      </c>
      <c r="B226" s="33" t="inlineStr">
        <is>
          <t>Wed</t>
        </is>
      </c>
      <c r="C226" s="33" t="inlineStr">
        <is>
          <t>Push</t>
        </is>
      </c>
      <c r="D226" s="33" t="inlineStr">
        <is>
          <t>Shoulder Press</t>
        </is>
      </c>
      <c r="E226" s="33" t="inlineStr">
        <is>
          <t>Dumbbell</t>
        </is>
      </c>
      <c r="F226" s="33" t="inlineStr">
        <is>
          <t>lbs</t>
        </is>
      </c>
      <c r="G226" s="33" t="n">
        <v>1</v>
      </c>
      <c r="H226" s="33" t="n">
        <v>25</v>
      </c>
      <c r="I226" s="33" t="n">
        <v>8</v>
      </c>
      <c r="J226" s="33" t="inlineStr">
        <is>
          <t>N</t>
        </is>
      </c>
      <c r="K226" s="33">
        <f>IF($J226="Y","",IF($F226="BW",$I226,$H226*$I226))</f>
        <v/>
      </c>
      <c r="L226" s="33">
        <f>$D226&amp;"|"&amp;$H226</f>
        <v/>
      </c>
      <c r="M226" s="33" t="n"/>
    </row>
    <row r="227" ht="15" customHeight="1" s="22">
      <c r="A227" s="32" t="n">
        <v>46127</v>
      </c>
      <c r="B227" s="33" t="inlineStr">
        <is>
          <t>Wed</t>
        </is>
      </c>
      <c r="C227" s="33" t="inlineStr">
        <is>
          <t>Push</t>
        </is>
      </c>
      <c r="D227" s="33" t="inlineStr">
        <is>
          <t>Shoulder Press</t>
        </is>
      </c>
      <c r="E227" s="33" t="inlineStr">
        <is>
          <t>Dumbbell</t>
        </is>
      </c>
      <c r="F227" s="33" t="inlineStr">
        <is>
          <t>lbs</t>
        </is>
      </c>
      <c r="G227" s="33" t="n">
        <v>2</v>
      </c>
      <c r="H227" s="33" t="n">
        <v>30</v>
      </c>
      <c r="I227" s="33" t="n">
        <v>8</v>
      </c>
      <c r="J227" s="33" t="inlineStr">
        <is>
          <t>N</t>
        </is>
      </c>
      <c r="K227" s="33">
        <f>IF($J227="Y","",IF($F227="BW",$I227,$H227*$I227))</f>
        <v/>
      </c>
      <c r="L227" s="33">
        <f>$D227&amp;"|"&amp;$H227</f>
        <v/>
      </c>
      <c r="M227" s="33" t="n"/>
    </row>
    <row r="228" ht="15" customHeight="1" s="22">
      <c r="A228" s="32" t="n">
        <v>46127</v>
      </c>
      <c r="B228" s="33" t="inlineStr">
        <is>
          <t>Wed</t>
        </is>
      </c>
      <c r="C228" s="33" t="inlineStr">
        <is>
          <t>Push</t>
        </is>
      </c>
      <c r="D228" s="33" t="inlineStr">
        <is>
          <t>Shoulder Press</t>
        </is>
      </c>
      <c r="E228" s="33" t="inlineStr">
        <is>
          <t>Dumbbell</t>
        </is>
      </c>
      <c r="F228" s="33" t="inlineStr">
        <is>
          <t>lbs</t>
        </is>
      </c>
      <c r="G228" s="33" t="n">
        <v>3</v>
      </c>
      <c r="H228" s="33" t="n">
        <v>35</v>
      </c>
      <c r="I228" s="33" t="n">
        <v>6</v>
      </c>
      <c r="J228" s="33" t="inlineStr">
        <is>
          <t>N</t>
        </is>
      </c>
      <c r="K228" s="33">
        <f>IF($J228="Y","",IF($F228="BW",$I228,$H228*$I228))</f>
        <v/>
      </c>
      <c r="L228" s="33">
        <f>$D228&amp;"|"&amp;$H228</f>
        <v/>
      </c>
      <c r="M228" s="33" t="n"/>
    </row>
    <row r="229" ht="15" customHeight="1" s="22">
      <c r="A229" s="34" t="n">
        <v>46127</v>
      </c>
      <c r="B229" s="35" t="inlineStr">
        <is>
          <t>Wed</t>
        </is>
      </c>
      <c r="C229" s="35" t="inlineStr">
        <is>
          <t>Push</t>
        </is>
      </c>
      <c r="D229" s="35" t="inlineStr">
        <is>
          <t>Tricep Ext Overhead</t>
        </is>
      </c>
      <c r="E229" s="35" t="inlineStr">
        <is>
          <t>Dumbbell</t>
        </is>
      </c>
      <c r="F229" s="35" t="inlineStr">
        <is>
          <t>lbs</t>
        </is>
      </c>
      <c r="G229" s="35" t="n">
        <v>1</v>
      </c>
      <c r="H229" s="35" t="n">
        <v>25</v>
      </c>
      <c r="I229" s="35" t="n">
        <v>8</v>
      </c>
      <c r="J229" s="35" t="inlineStr">
        <is>
          <t>Y</t>
        </is>
      </c>
      <c r="K229" s="35">
        <f>IF($J229="Y","",IF($F229="BW",$I229,$H229*$I229))</f>
        <v/>
      </c>
      <c r="L229" s="35">
        <f>$D229&amp;"|"&amp;$H229</f>
        <v/>
      </c>
      <c r="M229" s="35" t="n"/>
    </row>
    <row r="230" ht="15" customHeight="1" s="22">
      <c r="A230" s="32" t="n">
        <v>46127</v>
      </c>
      <c r="B230" s="33" t="inlineStr">
        <is>
          <t>Wed</t>
        </is>
      </c>
      <c r="C230" s="33" t="inlineStr">
        <is>
          <t>Push</t>
        </is>
      </c>
      <c r="D230" s="33" t="inlineStr">
        <is>
          <t>Tricep Ext Overhead</t>
        </is>
      </c>
      <c r="E230" s="33" t="inlineStr">
        <is>
          <t>Dumbbell</t>
        </is>
      </c>
      <c r="F230" s="33" t="inlineStr">
        <is>
          <t>lbs</t>
        </is>
      </c>
      <c r="G230" s="33" t="n">
        <v>2</v>
      </c>
      <c r="H230" s="33" t="n">
        <v>40</v>
      </c>
      <c r="I230" s="33" t="n">
        <v>8</v>
      </c>
      <c r="J230" s="33" t="inlineStr">
        <is>
          <t>N</t>
        </is>
      </c>
      <c r="K230" s="33">
        <f>IF($J230="Y","",IF($F230="BW",$I230,$H230*$I230))</f>
        <v/>
      </c>
      <c r="L230" s="33">
        <f>$D230&amp;"|"&amp;$H230</f>
        <v/>
      </c>
      <c r="M230" s="33" t="n"/>
    </row>
    <row r="231" ht="15" customHeight="1" s="22">
      <c r="A231" s="32" t="n">
        <v>46127</v>
      </c>
      <c r="B231" s="33" t="inlineStr">
        <is>
          <t>Wed</t>
        </is>
      </c>
      <c r="C231" s="33" t="inlineStr">
        <is>
          <t>Push</t>
        </is>
      </c>
      <c r="D231" s="33" t="inlineStr">
        <is>
          <t>Tricep Ext Overhead</t>
        </is>
      </c>
      <c r="E231" s="33" t="inlineStr">
        <is>
          <t>Dumbbell</t>
        </is>
      </c>
      <c r="F231" s="33" t="inlineStr">
        <is>
          <t>lbs</t>
        </is>
      </c>
      <c r="G231" s="33" t="n">
        <v>3</v>
      </c>
      <c r="H231" s="33" t="n">
        <v>45</v>
      </c>
      <c r="I231" s="33" t="n">
        <v>8</v>
      </c>
      <c r="J231" s="33" t="inlineStr">
        <is>
          <t>N</t>
        </is>
      </c>
      <c r="K231" s="33">
        <f>IF($J231="Y","",IF($F231="BW",$I231,$H231*$I231))</f>
        <v/>
      </c>
      <c r="L231" s="33">
        <f>$D231&amp;"|"&amp;$H231</f>
        <v/>
      </c>
      <c r="M231" s="33" t="n"/>
    </row>
    <row r="232" ht="15" customHeight="1" s="22">
      <c r="A232" s="32" t="n">
        <v>46128</v>
      </c>
      <c r="B232" s="33" t="inlineStr">
        <is>
          <t>Thu</t>
        </is>
      </c>
      <c r="C232" s="33" t="inlineStr">
        <is>
          <t>Arms</t>
        </is>
      </c>
      <c r="D232" s="33" t="inlineStr">
        <is>
          <t>Bicep Curls (DB)</t>
        </is>
      </c>
      <c r="E232" s="33" t="inlineStr">
        <is>
          <t>Dumbbell</t>
        </is>
      </c>
      <c r="F232" s="33" t="inlineStr">
        <is>
          <t>lbs</t>
        </is>
      </c>
      <c r="G232" s="33" t="n">
        <v>1</v>
      </c>
      <c r="H232" s="33" t="n">
        <v>25</v>
      </c>
      <c r="I232" s="33" t="n">
        <v>8</v>
      </c>
      <c r="J232" s="33" t="inlineStr">
        <is>
          <t>N</t>
        </is>
      </c>
      <c r="K232" s="33">
        <f>IF($J232="Y","",IF($F232="BW",$I232,$H232*$I232))</f>
        <v/>
      </c>
      <c r="L232" s="33">
        <f>$D232&amp;"|"&amp;$H232</f>
        <v/>
      </c>
      <c r="M232" s="33" t="n"/>
    </row>
    <row r="233" ht="15" customHeight="1" s="22">
      <c r="A233" s="32" t="n">
        <v>46128</v>
      </c>
      <c r="B233" s="33" t="inlineStr">
        <is>
          <t>Thu</t>
        </is>
      </c>
      <c r="C233" s="33" t="inlineStr">
        <is>
          <t>Arms</t>
        </is>
      </c>
      <c r="D233" s="33" t="inlineStr">
        <is>
          <t>Bicep Curls (DB)</t>
        </is>
      </c>
      <c r="E233" s="33" t="inlineStr">
        <is>
          <t>Dumbbell</t>
        </is>
      </c>
      <c r="F233" s="33" t="inlineStr">
        <is>
          <t>lbs</t>
        </is>
      </c>
      <c r="G233" s="33" t="n">
        <v>2</v>
      </c>
      <c r="H233" s="33" t="n">
        <v>25</v>
      </c>
      <c r="I233" s="33" t="n">
        <v>8</v>
      </c>
      <c r="J233" s="33" t="inlineStr">
        <is>
          <t>N</t>
        </is>
      </c>
      <c r="K233" s="33">
        <f>IF($J233="Y","",IF($F233="BW",$I233,$H233*$I233))</f>
        <v/>
      </c>
      <c r="L233" s="33">
        <f>$D233&amp;"|"&amp;$H233</f>
        <v/>
      </c>
      <c r="M233" s="33" t="n"/>
    </row>
    <row r="234" ht="15" customHeight="1" s="22">
      <c r="A234" s="32" t="n">
        <v>46128</v>
      </c>
      <c r="B234" s="33" t="inlineStr">
        <is>
          <t>Thu</t>
        </is>
      </c>
      <c r="C234" s="33" t="inlineStr">
        <is>
          <t>Arms</t>
        </is>
      </c>
      <c r="D234" s="33" t="inlineStr">
        <is>
          <t>Bicep Curls (DB)</t>
        </is>
      </c>
      <c r="E234" s="33" t="inlineStr">
        <is>
          <t>Dumbbell</t>
        </is>
      </c>
      <c r="F234" s="33" t="inlineStr">
        <is>
          <t>lbs</t>
        </is>
      </c>
      <c r="G234" s="33" t="n">
        <v>3</v>
      </c>
      <c r="H234" s="33" t="n">
        <v>25</v>
      </c>
      <c r="I234" s="33" t="n">
        <v>8</v>
      </c>
      <c r="J234" s="33" t="inlineStr">
        <is>
          <t>N</t>
        </is>
      </c>
      <c r="K234" s="33">
        <f>IF($J234="Y","",IF($F234="BW",$I234,$H234*$I234))</f>
        <v/>
      </c>
      <c r="L234" s="33">
        <f>$D234&amp;"|"&amp;$H234</f>
        <v/>
      </c>
      <c r="M234" s="33" t="n"/>
    </row>
    <row r="235" ht="15" customHeight="1" s="22">
      <c r="A235" s="32" t="n">
        <v>46128</v>
      </c>
      <c r="B235" s="33" t="inlineStr">
        <is>
          <t>Thu</t>
        </is>
      </c>
      <c r="C235" s="33" t="inlineStr">
        <is>
          <t>Arms</t>
        </is>
      </c>
      <c r="D235" s="33" t="inlineStr">
        <is>
          <t>Tricep Ext Overhead</t>
        </is>
      </c>
      <c r="E235" s="33" t="inlineStr">
        <is>
          <t>Dumbbell</t>
        </is>
      </c>
      <c r="F235" s="33" t="inlineStr">
        <is>
          <t>lbs</t>
        </is>
      </c>
      <c r="G235" s="33" t="n">
        <v>1</v>
      </c>
      <c r="H235" s="33" t="n">
        <v>40</v>
      </c>
      <c r="I235" s="33" t="n">
        <v>8</v>
      </c>
      <c r="J235" s="33" t="inlineStr">
        <is>
          <t>N</t>
        </is>
      </c>
      <c r="K235" s="33">
        <f>IF($J235="Y","",IF($F235="BW",$I235,$H235*$I235))</f>
        <v/>
      </c>
      <c r="L235" s="33">
        <f>$D235&amp;"|"&amp;$H235</f>
        <v/>
      </c>
      <c r="M235" s="33" t="n"/>
    </row>
    <row r="236" ht="15" customHeight="1" s="22">
      <c r="A236" s="32" t="n">
        <v>46128</v>
      </c>
      <c r="B236" s="33" t="inlineStr">
        <is>
          <t>Thu</t>
        </is>
      </c>
      <c r="C236" s="33" t="inlineStr">
        <is>
          <t>Arms</t>
        </is>
      </c>
      <c r="D236" s="33" t="inlineStr">
        <is>
          <t>Tricep Ext Overhead</t>
        </is>
      </c>
      <c r="E236" s="33" t="inlineStr">
        <is>
          <t>Dumbbell</t>
        </is>
      </c>
      <c r="F236" s="33" t="inlineStr">
        <is>
          <t>lbs</t>
        </is>
      </c>
      <c r="G236" s="33" t="n">
        <v>2</v>
      </c>
      <c r="H236" s="33" t="n">
        <v>45</v>
      </c>
      <c r="I236" s="33" t="n">
        <v>8</v>
      </c>
      <c r="J236" s="33" t="inlineStr">
        <is>
          <t>N</t>
        </is>
      </c>
      <c r="K236" s="33">
        <f>IF($J236="Y","",IF($F236="BW",$I236,$H236*$I236))</f>
        <v/>
      </c>
      <c r="L236" s="33">
        <f>$D236&amp;"|"&amp;$H236</f>
        <v/>
      </c>
      <c r="M236" s="33" t="n"/>
    </row>
    <row r="237" ht="15" customHeight="1" s="22">
      <c r="A237" s="32" t="n">
        <v>46128</v>
      </c>
      <c r="B237" s="33" t="inlineStr">
        <is>
          <t>Thu</t>
        </is>
      </c>
      <c r="C237" s="33" t="inlineStr">
        <is>
          <t>Arms</t>
        </is>
      </c>
      <c r="D237" s="33" t="inlineStr">
        <is>
          <t>Tricep Ext Overhead</t>
        </is>
      </c>
      <c r="E237" s="33" t="inlineStr">
        <is>
          <t>Dumbbell</t>
        </is>
      </c>
      <c r="F237" s="33" t="inlineStr">
        <is>
          <t>lbs</t>
        </is>
      </c>
      <c r="G237" s="33" t="n">
        <v>3</v>
      </c>
      <c r="H237" s="33" t="n">
        <v>45</v>
      </c>
      <c r="I237" s="33" t="n">
        <v>8</v>
      </c>
      <c r="J237" s="33" t="inlineStr">
        <is>
          <t>N</t>
        </is>
      </c>
      <c r="K237" s="33">
        <f>IF($J237="Y","",IF($F237="BW",$I237,$H237*$I237))</f>
        <v/>
      </c>
      <c r="L237" s="33">
        <f>$D237&amp;"|"&amp;$H237</f>
        <v/>
      </c>
      <c r="M237" s="33" t="n"/>
    </row>
    <row r="238" ht="15" customHeight="1" s="22">
      <c r="A238" s="32" t="n">
        <v>46128</v>
      </c>
      <c r="B238" s="33" t="inlineStr">
        <is>
          <t>Thu</t>
        </is>
      </c>
      <c r="C238" s="33" t="inlineStr">
        <is>
          <t>Arms</t>
        </is>
      </c>
      <c r="D238" s="33" t="inlineStr">
        <is>
          <t>Lateral Raises</t>
        </is>
      </c>
      <c r="E238" s="33" t="inlineStr">
        <is>
          <t>Dumbbell</t>
        </is>
      </c>
      <c r="F238" s="33" t="inlineStr">
        <is>
          <t>lbs</t>
        </is>
      </c>
      <c r="G238" s="33" t="n">
        <v>1</v>
      </c>
      <c r="H238" s="33" t="n">
        <v>10</v>
      </c>
      <c r="I238" s="33" t="n">
        <v>10</v>
      </c>
      <c r="J238" s="33" t="inlineStr">
        <is>
          <t>N</t>
        </is>
      </c>
      <c r="K238" s="33">
        <f>IF($J238="Y","",IF($F238="BW",$I238,$H238*$I238))</f>
        <v/>
      </c>
      <c r="L238" s="33">
        <f>$D238&amp;"|"&amp;$H238</f>
        <v/>
      </c>
      <c r="M238" s="33" t="n"/>
    </row>
    <row r="239" ht="15" customHeight="1" s="22">
      <c r="A239" s="32" t="n">
        <v>46129</v>
      </c>
      <c r="B239" s="33" t="inlineStr">
        <is>
          <t>Fri</t>
        </is>
      </c>
      <c r="C239" s="33" t="inlineStr">
        <is>
          <t>Pull</t>
        </is>
      </c>
      <c r="D239" s="33" t="inlineStr">
        <is>
          <t>Single Arm Lat Pulldown</t>
        </is>
      </c>
      <c r="E239" s="33" t="inlineStr">
        <is>
          <t>Cable</t>
        </is>
      </c>
      <c r="F239" s="33" t="inlineStr">
        <is>
          <t>kg</t>
        </is>
      </c>
      <c r="G239" s="33" t="n">
        <v>1</v>
      </c>
      <c r="H239" s="33" t="n">
        <v>15</v>
      </c>
      <c r="I239" s="33" t="n">
        <v>8</v>
      </c>
      <c r="J239" s="33" t="inlineStr">
        <is>
          <t>N</t>
        </is>
      </c>
      <c r="K239" s="33">
        <f>IF($J239="Y","",IF($F239="BW",$I239,$H239*$I239))</f>
        <v/>
      </c>
      <c r="L239" s="33">
        <f>$D239&amp;"|"&amp;$H239</f>
        <v/>
      </c>
      <c r="M239" s="33" t="n"/>
    </row>
    <row r="240" ht="15" customHeight="1" s="22">
      <c r="A240" s="32" t="n">
        <v>46129</v>
      </c>
      <c r="B240" s="33" t="inlineStr">
        <is>
          <t>Fri</t>
        </is>
      </c>
      <c r="C240" s="33" t="inlineStr">
        <is>
          <t>Pull</t>
        </is>
      </c>
      <c r="D240" s="33" t="inlineStr">
        <is>
          <t>Single Arm Lat Pulldown</t>
        </is>
      </c>
      <c r="E240" s="33" t="inlineStr">
        <is>
          <t>Cable</t>
        </is>
      </c>
      <c r="F240" s="33" t="inlineStr">
        <is>
          <t>kg</t>
        </is>
      </c>
      <c r="G240" s="33" t="n">
        <v>2</v>
      </c>
      <c r="H240" s="33" t="n">
        <v>20</v>
      </c>
      <c r="I240" s="33" t="n">
        <v>8</v>
      </c>
      <c r="J240" s="33" t="inlineStr">
        <is>
          <t>N</t>
        </is>
      </c>
      <c r="K240" s="33">
        <f>IF($J240="Y","",IF($F240="BW",$I240,$H240*$I240))</f>
        <v/>
      </c>
      <c r="L240" s="33">
        <f>$D240&amp;"|"&amp;$H240</f>
        <v/>
      </c>
      <c r="M240" s="33" t="n"/>
    </row>
    <row r="241" ht="15" customHeight="1" s="22">
      <c r="A241" s="32" t="n">
        <v>46129</v>
      </c>
      <c r="B241" s="33" t="inlineStr">
        <is>
          <t>Fri</t>
        </is>
      </c>
      <c r="C241" s="33" t="inlineStr">
        <is>
          <t>Pull</t>
        </is>
      </c>
      <c r="D241" s="33" t="inlineStr">
        <is>
          <t>Single Arm Lat Pulldown</t>
        </is>
      </c>
      <c r="E241" s="33" t="inlineStr">
        <is>
          <t>Cable</t>
        </is>
      </c>
      <c r="F241" s="33" t="inlineStr">
        <is>
          <t>kg</t>
        </is>
      </c>
      <c r="G241" s="33" t="n">
        <v>3</v>
      </c>
      <c r="H241" s="33" t="n">
        <v>22.5</v>
      </c>
      <c r="I241" s="33" t="n">
        <v>8</v>
      </c>
      <c r="J241" s="33" t="inlineStr">
        <is>
          <t>N</t>
        </is>
      </c>
      <c r="K241" s="33">
        <f>IF($J241="Y","",IF($F241="BW",$I241,$H241*$I241))</f>
        <v/>
      </c>
      <c r="L241" s="33">
        <f>$D241&amp;"|"&amp;$H241</f>
        <v/>
      </c>
      <c r="M241" s="33" t="n"/>
    </row>
    <row r="242" ht="15" customHeight="1" s="22">
      <c r="A242" s="32" t="n">
        <v>46129</v>
      </c>
      <c r="B242" s="33" t="inlineStr">
        <is>
          <t>Fri</t>
        </is>
      </c>
      <c r="C242" s="33" t="inlineStr">
        <is>
          <t>Pull</t>
        </is>
      </c>
      <c r="D242" s="33" t="inlineStr">
        <is>
          <t>Smith Rows</t>
        </is>
      </c>
      <c r="E242" s="33" t="inlineStr">
        <is>
          <t>Smith</t>
        </is>
      </c>
      <c r="F242" s="33" t="inlineStr">
        <is>
          <t>lbs</t>
        </is>
      </c>
      <c r="G242" s="33" t="n">
        <v>1</v>
      </c>
      <c r="H242" s="33" t="n">
        <v>40</v>
      </c>
      <c r="I242" s="33" t="n">
        <v>8</v>
      </c>
      <c r="J242" s="33" t="inlineStr">
        <is>
          <t>N</t>
        </is>
      </c>
      <c r="K242" s="33">
        <f>IF($J242="Y","",IF($F242="BW",$I242,$H242*$I242))</f>
        <v/>
      </c>
      <c r="L242" s="33">
        <f>$D242&amp;"|"&amp;$H242</f>
        <v/>
      </c>
      <c r="M242" s="33" t="n"/>
    </row>
    <row r="243" ht="15" customHeight="1" s="22">
      <c r="A243" s="32" t="n">
        <v>46129</v>
      </c>
      <c r="B243" s="33" t="inlineStr">
        <is>
          <t>Fri</t>
        </is>
      </c>
      <c r="C243" s="33" t="inlineStr">
        <is>
          <t>Pull</t>
        </is>
      </c>
      <c r="D243" s="33" t="inlineStr">
        <is>
          <t>Smith Rows</t>
        </is>
      </c>
      <c r="E243" s="33" t="inlineStr">
        <is>
          <t>Smith</t>
        </is>
      </c>
      <c r="F243" s="33" t="inlineStr">
        <is>
          <t>lbs</t>
        </is>
      </c>
      <c r="G243" s="33" t="n">
        <v>2</v>
      </c>
      <c r="H243" s="33" t="n">
        <v>50</v>
      </c>
      <c r="I243" s="33" t="n">
        <v>8</v>
      </c>
      <c r="J243" s="33" t="inlineStr">
        <is>
          <t>N</t>
        </is>
      </c>
      <c r="K243" s="33">
        <f>IF($J243="Y","",IF($F243="BW",$I243,$H243*$I243))</f>
        <v/>
      </c>
      <c r="L243" s="33">
        <f>$D243&amp;"|"&amp;$H243</f>
        <v/>
      </c>
      <c r="M243" s="33" t="n"/>
    </row>
    <row r="244" ht="15" customHeight="1" s="22">
      <c r="A244" s="32" t="n">
        <v>46129</v>
      </c>
      <c r="B244" s="33" t="inlineStr">
        <is>
          <t>Fri</t>
        </is>
      </c>
      <c r="C244" s="33" t="inlineStr">
        <is>
          <t>Pull</t>
        </is>
      </c>
      <c r="D244" s="33" t="inlineStr">
        <is>
          <t>Smith Rows</t>
        </is>
      </c>
      <c r="E244" s="33" t="inlineStr">
        <is>
          <t>Smith</t>
        </is>
      </c>
      <c r="F244" s="33" t="inlineStr">
        <is>
          <t>lbs</t>
        </is>
      </c>
      <c r="G244" s="33" t="n">
        <v>3</v>
      </c>
      <c r="H244" s="33" t="n">
        <v>60</v>
      </c>
      <c r="I244" s="33" t="n">
        <v>8</v>
      </c>
      <c r="J244" s="33" t="inlineStr">
        <is>
          <t>N</t>
        </is>
      </c>
      <c r="K244" s="33">
        <f>IF($J244="Y","",IF($F244="BW",$I244,$H244*$I244))</f>
        <v/>
      </c>
      <c r="L244" s="33">
        <f>$D244&amp;"|"&amp;$H244</f>
        <v/>
      </c>
      <c r="M244" s="33" t="n"/>
    </row>
    <row r="245" ht="15" customHeight="1" s="22">
      <c r="A245" s="32" t="n">
        <v>46129</v>
      </c>
      <c r="B245" s="33" t="inlineStr">
        <is>
          <t>Fri</t>
        </is>
      </c>
      <c r="C245" s="33" t="inlineStr">
        <is>
          <t>Pull</t>
        </is>
      </c>
      <c r="D245" s="33" t="inlineStr">
        <is>
          <t>Shrugs</t>
        </is>
      </c>
      <c r="E245" s="33" t="inlineStr">
        <is>
          <t>Dumbbell</t>
        </is>
      </c>
      <c r="F245" s="33" t="inlineStr">
        <is>
          <t>lbs</t>
        </is>
      </c>
      <c r="G245" s="33" t="n">
        <v>1</v>
      </c>
      <c r="H245" s="33" t="n">
        <v>35</v>
      </c>
      <c r="I245" s="33" t="n">
        <v>8</v>
      </c>
      <c r="J245" s="33" t="inlineStr">
        <is>
          <t>N</t>
        </is>
      </c>
      <c r="K245" s="33">
        <f>IF($J245="Y","",IF($F245="BW",$I245,$H245*$I245))</f>
        <v/>
      </c>
      <c r="L245" s="33">
        <f>$D245&amp;"|"&amp;$H245</f>
        <v/>
      </c>
      <c r="M245" s="33" t="n"/>
    </row>
    <row r="246" ht="15" customHeight="1" s="22">
      <c r="A246" s="32" t="n">
        <v>46129</v>
      </c>
      <c r="B246" s="33" t="inlineStr">
        <is>
          <t>Fri</t>
        </is>
      </c>
      <c r="C246" s="33" t="inlineStr">
        <is>
          <t>Pull</t>
        </is>
      </c>
      <c r="D246" s="33" t="inlineStr">
        <is>
          <t>Shrugs</t>
        </is>
      </c>
      <c r="E246" s="33" t="inlineStr">
        <is>
          <t>Dumbbell</t>
        </is>
      </c>
      <c r="F246" s="33" t="inlineStr">
        <is>
          <t>lbs</t>
        </is>
      </c>
      <c r="G246" s="33" t="n">
        <v>2</v>
      </c>
      <c r="H246" s="33" t="n">
        <v>40</v>
      </c>
      <c r="I246" s="33" t="n">
        <v>8</v>
      </c>
      <c r="J246" s="33" t="inlineStr">
        <is>
          <t>N</t>
        </is>
      </c>
      <c r="K246" s="33">
        <f>IF($J246="Y","",IF($F246="BW",$I246,$H246*$I246))</f>
        <v/>
      </c>
      <c r="L246" s="33">
        <f>$D246&amp;"|"&amp;$H246</f>
        <v/>
      </c>
      <c r="M246" s="33" t="n"/>
    </row>
    <row r="247" ht="15" customHeight="1" s="22">
      <c r="A247" s="32" t="n">
        <v>46129</v>
      </c>
      <c r="B247" s="33" t="inlineStr">
        <is>
          <t>Fri</t>
        </is>
      </c>
      <c r="C247" s="33" t="inlineStr">
        <is>
          <t>Pull</t>
        </is>
      </c>
      <c r="D247" s="33" t="inlineStr">
        <is>
          <t>Shrugs</t>
        </is>
      </c>
      <c r="E247" s="33" t="inlineStr">
        <is>
          <t>Dumbbell</t>
        </is>
      </c>
      <c r="F247" s="33" t="inlineStr">
        <is>
          <t>lbs</t>
        </is>
      </c>
      <c r="G247" s="33" t="n">
        <v>3</v>
      </c>
      <c r="H247" s="33" t="n">
        <v>45</v>
      </c>
      <c r="I247" s="33" t="n">
        <v>8</v>
      </c>
      <c r="J247" s="33" t="inlineStr">
        <is>
          <t>N</t>
        </is>
      </c>
      <c r="K247" s="33">
        <f>IF($J247="Y","",IF($F247="BW",$I247,$H247*$I247))</f>
        <v/>
      </c>
      <c r="L247" s="33">
        <f>$D247&amp;"|"&amp;$H247</f>
        <v/>
      </c>
      <c r="M247" s="33" t="n"/>
    </row>
    <row r="248" ht="15" customHeight="1" s="22">
      <c r="A248" s="34" t="n">
        <v>46131</v>
      </c>
      <c r="B248" s="35" t="inlineStr">
        <is>
          <t>Sun</t>
        </is>
      </c>
      <c r="C248" s="35" t="inlineStr">
        <is>
          <t>Push</t>
        </is>
      </c>
      <c r="D248" s="35" t="inlineStr">
        <is>
          <t>Bench Press (Smith)</t>
        </is>
      </c>
      <c r="E248" s="35" t="inlineStr">
        <is>
          <t>Smith</t>
        </is>
      </c>
      <c r="F248" s="35" t="inlineStr">
        <is>
          <t>lbs</t>
        </is>
      </c>
      <c r="G248" s="35" t="n">
        <v>1</v>
      </c>
      <c r="H248" s="35" t="n">
        <v>20</v>
      </c>
      <c r="I248" s="35" t="n">
        <v>8</v>
      </c>
      <c r="J248" s="35" t="inlineStr">
        <is>
          <t>Y</t>
        </is>
      </c>
      <c r="K248" s="35">
        <f>IF($J248="Y","",IF($F248="BW",$I248,$H248*$I248))</f>
        <v/>
      </c>
      <c r="L248" s="35">
        <f>$D248&amp;"|"&amp;$H248</f>
        <v/>
      </c>
      <c r="M248" s="35" t="n"/>
    </row>
    <row r="249" ht="15" customHeight="1" s="22">
      <c r="A249" s="32" t="n">
        <v>46131</v>
      </c>
      <c r="B249" s="33" t="inlineStr">
        <is>
          <t>Sun</t>
        </is>
      </c>
      <c r="C249" s="33" t="inlineStr">
        <is>
          <t>Push</t>
        </is>
      </c>
      <c r="D249" s="33" t="inlineStr">
        <is>
          <t>Bench Press (Smith)</t>
        </is>
      </c>
      <c r="E249" s="33" t="inlineStr">
        <is>
          <t>Smith</t>
        </is>
      </c>
      <c r="F249" s="33" t="inlineStr">
        <is>
          <t>lbs</t>
        </is>
      </c>
      <c r="G249" s="33" t="n">
        <v>2</v>
      </c>
      <c r="H249" s="33" t="n">
        <v>50</v>
      </c>
      <c r="I249" s="33" t="n">
        <v>8</v>
      </c>
      <c r="J249" s="33" t="inlineStr">
        <is>
          <t>N</t>
        </is>
      </c>
      <c r="K249" s="33">
        <f>IF($J249="Y","",IF($F249="BW",$I249,$H249*$I249))</f>
        <v/>
      </c>
      <c r="L249" s="33">
        <f>$D249&amp;"|"&amp;$H249</f>
        <v/>
      </c>
      <c r="M249" s="33" t="n"/>
    </row>
    <row r="250" ht="15" customHeight="1" s="22">
      <c r="A250" s="32" t="n">
        <v>46131</v>
      </c>
      <c r="B250" s="33" t="inlineStr">
        <is>
          <t>Sun</t>
        </is>
      </c>
      <c r="C250" s="33" t="inlineStr">
        <is>
          <t>Push</t>
        </is>
      </c>
      <c r="D250" s="33" t="inlineStr">
        <is>
          <t>Bench Press (Smith)</t>
        </is>
      </c>
      <c r="E250" s="33" t="inlineStr">
        <is>
          <t>Smith</t>
        </is>
      </c>
      <c r="F250" s="33" t="inlineStr">
        <is>
          <t>lbs</t>
        </is>
      </c>
      <c r="G250" s="33" t="n">
        <v>3</v>
      </c>
      <c r="H250" s="33" t="n">
        <v>70</v>
      </c>
      <c r="I250" s="33" t="n">
        <v>8</v>
      </c>
      <c r="J250" s="33" t="inlineStr">
        <is>
          <t>N</t>
        </is>
      </c>
      <c r="K250" s="33">
        <f>IF($J250="Y","",IF($F250="BW",$I250,$H250*$I250))</f>
        <v/>
      </c>
      <c r="L250" s="33">
        <f>$D250&amp;"|"&amp;$H250</f>
        <v/>
      </c>
      <c r="M250" s="33" t="n"/>
    </row>
    <row r="251" ht="15" customHeight="1" s="22">
      <c r="A251" s="32" t="n">
        <v>46131</v>
      </c>
      <c r="B251" s="33" t="inlineStr">
        <is>
          <t>Sun</t>
        </is>
      </c>
      <c r="C251" s="33" t="inlineStr">
        <is>
          <t>Push</t>
        </is>
      </c>
      <c r="D251" s="33" t="inlineStr">
        <is>
          <t>Bench Press (Smith)</t>
        </is>
      </c>
      <c r="E251" s="33" t="inlineStr">
        <is>
          <t>Smith</t>
        </is>
      </c>
      <c r="F251" s="33" t="inlineStr">
        <is>
          <t>lbs</t>
        </is>
      </c>
      <c r="G251" s="33" t="n">
        <v>4</v>
      </c>
      <c r="H251" s="33" t="n">
        <v>80</v>
      </c>
      <c r="I251" s="33" t="n">
        <v>8</v>
      </c>
      <c r="J251" s="33" t="inlineStr">
        <is>
          <t>N</t>
        </is>
      </c>
      <c r="K251" s="33">
        <f>IF($J251="Y","",IF($F251="BW",$I251,$H251*$I251))</f>
        <v/>
      </c>
      <c r="L251" s="33">
        <f>$D251&amp;"|"&amp;$H251</f>
        <v/>
      </c>
      <c r="M251" s="33" t="n"/>
    </row>
    <row r="252" ht="15" customHeight="1" s="22">
      <c r="A252" s="34" t="n">
        <v>46131</v>
      </c>
      <c r="B252" s="35" t="inlineStr">
        <is>
          <t>Sun</t>
        </is>
      </c>
      <c r="C252" s="35" t="inlineStr">
        <is>
          <t>Push</t>
        </is>
      </c>
      <c r="D252" s="35" t="inlineStr">
        <is>
          <t>Shoulder Press</t>
        </is>
      </c>
      <c r="E252" s="35" t="inlineStr">
        <is>
          <t>Dumbbell</t>
        </is>
      </c>
      <c r="F252" s="35" t="inlineStr">
        <is>
          <t>lbs</t>
        </is>
      </c>
      <c r="G252" s="35" t="n">
        <v>1</v>
      </c>
      <c r="H252" s="35" t="n">
        <v>15</v>
      </c>
      <c r="I252" s="35" t="n">
        <v>8</v>
      </c>
      <c r="J252" s="35" t="inlineStr">
        <is>
          <t>Y</t>
        </is>
      </c>
      <c r="K252" s="35">
        <f>IF($J252="Y","",IF($F252="BW",$I252,$H252*$I252))</f>
        <v/>
      </c>
      <c r="L252" s="35">
        <f>$D252&amp;"|"&amp;$H252</f>
        <v/>
      </c>
      <c r="M252" s="35" t="n"/>
    </row>
    <row r="253" ht="15" customHeight="1" s="22">
      <c r="A253" s="32" t="n">
        <v>46131</v>
      </c>
      <c r="B253" s="33" t="inlineStr">
        <is>
          <t>Sun</t>
        </is>
      </c>
      <c r="C253" s="33" t="inlineStr">
        <is>
          <t>Push</t>
        </is>
      </c>
      <c r="D253" s="33" t="inlineStr">
        <is>
          <t>Shoulder Press</t>
        </is>
      </c>
      <c r="E253" s="33" t="inlineStr">
        <is>
          <t>Dumbbell</t>
        </is>
      </c>
      <c r="F253" s="33" t="inlineStr">
        <is>
          <t>lbs</t>
        </is>
      </c>
      <c r="G253" s="33" t="n">
        <v>2</v>
      </c>
      <c r="H253" s="33" t="n">
        <v>25</v>
      </c>
      <c r="I253" s="33" t="n">
        <v>8</v>
      </c>
      <c r="J253" s="33" t="inlineStr">
        <is>
          <t>N</t>
        </is>
      </c>
      <c r="K253" s="33">
        <f>IF($J253="Y","",IF($F253="BW",$I253,$H253*$I253))</f>
        <v/>
      </c>
      <c r="L253" s="33">
        <f>$D253&amp;"|"&amp;$H253</f>
        <v/>
      </c>
      <c r="M253" s="33" t="n"/>
    </row>
    <row r="254" ht="15" customHeight="1" s="22">
      <c r="A254" s="32" t="n">
        <v>46131</v>
      </c>
      <c r="B254" s="33" t="inlineStr">
        <is>
          <t>Sun</t>
        </is>
      </c>
      <c r="C254" s="33" t="inlineStr">
        <is>
          <t>Push</t>
        </is>
      </c>
      <c r="D254" s="33" t="inlineStr">
        <is>
          <t>Shoulder Press</t>
        </is>
      </c>
      <c r="E254" s="33" t="inlineStr">
        <is>
          <t>Dumbbell</t>
        </is>
      </c>
      <c r="F254" s="33" t="inlineStr">
        <is>
          <t>lbs</t>
        </is>
      </c>
      <c r="G254" s="33" t="n">
        <v>3</v>
      </c>
      <c r="H254" s="33" t="n">
        <v>30</v>
      </c>
      <c r="I254" s="33" t="n">
        <v>8</v>
      </c>
      <c r="J254" s="33" t="inlineStr">
        <is>
          <t>N</t>
        </is>
      </c>
      <c r="K254" s="33">
        <f>IF($J254="Y","",IF($F254="BW",$I254,$H254*$I254))</f>
        <v/>
      </c>
      <c r="L254" s="33">
        <f>$D254&amp;"|"&amp;$H254</f>
        <v/>
      </c>
      <c r="M254" s="33" t="n"/>
    </row>
    <row r="255" ht="15" customHeight="1" s="22">
      <c r="A255" s="32" t="n">
        <v>46131</v>
      </c>
      <c r="B255" s="33" t="inlineStr">
        <is>
          <t>Sun</t>
        </is>
      </c>
      <c r="C255" s="33" t="inlineStr">
        <is>
          <t>Push</t>
        </is>
      </c>
      <c r="D255" s="33" t="inlineStr">
        <is>
          <t>Shoulder Press</t>
        </is>
      </c>
      <c r="E255" s="33" t="inlineStr">
        <is>
          <t>Dumbbell</t>
        </is>
      </c>
      <c r="F255" s="33" t="inlineStr">
        <is>
          <t>lbs</t>
        </is>
      </c>
      <c r="G255" s="33" t="n">
        <v>4</v>
      </c>
      <c r="H255" s="33" t="n">
        <v>35</v>
      </c>
      <c r="I255" s="33" t="n">
        <v>8</v>
      </c>
      <c r="J255" s="33" t="inlineStr">
        <is>
          <t>N</t>
        </is>
      </c>
      <c r="K255" s="33">
        <f>IF($J255="Y","",IF($F255="BW",$I255,$H255*$I255))</f>
        <v/>
      </c>
      <c r="L255" s="33">
        <f>$D255&amp;"|"&amp;$H255</f>
        <v/>
      </c>
      <c r="M255" s="33" t="n"/>
    </row>
    <row r="256" ht="15" customHeight="1" s="22">
      <c r="A256" s="34" t="n">
        <v>46131</v>
      </c>
      <c r="B256" s="35" t="inlineStr">
        <is>
          <t>Sun</t>
        </is>
      </c>
      <c r="C256" s="35" t="inlineStr">
        <is>
          <t>Push</t>
        </is>
      </c>
      <c r="D256" s="35" t="inlineStr">
        <is>
          <t>Tricep Ext Overhead</t>
        </is>
      </c>
      <c r="E256" s="35" t="inlineStr">
        <is>
          <t>Dumbbell</t>
        </is>
      </c>
      <c r="F256" s="35" t="inlineStr">
        <is>
          <t>lbs</t>
        </is>
      </c>
      <c r="G256" s="35" t="n">
        <v>1</v>
      </c>
      <c r="H256" s="35" t="n">
        <v>20</v>
      </c>
      <c r="I256" s="35" t="n">
        <v>8</v>
      </c>
      <c r="J256" s="35" t="inlineStr">
        <is>
          <t>Y</t>
        </is>
      </c>
      <c r="K256" s="35">
        <f>IF($J256="Y","",IF($F256="BW",$I256,$H256*$I256))</f>
        <v/>
      </c>
      <c r="L256" s="35">
        <f>$D256&amp;"|"&amp;$H256</f>
        <v/>
      </c>
      <c r="M256" s="35" t="n"/>
    </row>
    <row r="257" ht="15" customHeight="1" s="22">
      <c r="A257" s="32" t="n">
        <v>46131</v>
      </c>
      <c r="B257" s="33" t="inlineStr">
        <is>
          <t>Sun</t>
        </is>
      </c>
      <c r="C257" s="33" t="inlineStr">
        <is>
          <t>Push</t>
        </is>
      </c>
      <c r="D257" s="33" t="inlineStr">
        <is>
          <t>Tricep Ext Overhead</t>
        </is>
      </c>
      <c r="E257" s="33" t="inlineStr">
        <is>
          <t>Dumbbell</t>
        </is>
      </c>
      <c r="F257" s="33" t="inlineStr">
        <is>
          <t>lbs</t>
        </is>
      </c>
      <c r="G257" s="33" t="n">
        <v>2</v>
      </c>
      <c r="H257" s="33" t="n">
        <v>40</v>
      </c>
      <c r="I257" s="33" t="n">
        <v>8</v>
      </c>
      <c r="J257" s="33" t="inlineStr">
        <is>
          <t>N</t>
        </is>
      </c>
      <c r="K257" s="33">
        <f>IF($J257="Y","",IF($F257="BW",$I257,$H257*$I257))</f>
        <v/>
      </c>
      <c r="L257" s="33">
        <f>$D257&amp;"|"&amp;$H257</f>
        <v/>
      </c>
      <c r="M257" s="33" t="n"/>
    </row>
    <row r="258" ht="15" customHeight="1" s="22">
      <c r="A258" s="32" t="n">
        <v>46131</v>
      </c>
      <c r="B258" s="33" t="inlineStr">
        <is>
          <t>Sun</t>
        </is>
      </c>
      <c r="C258" s="33" t="inlineStr">
        <is>
          <t>Push</t>
        </is>
      </c>
      <c r="D258" s="33" t="inlineStr">
        <is>
          <t>Tricep Ext Overhead</t>
        </is>
      </c>
      <c r="E258" s="33" t="inlineStr">
        <is>
          <t>Dumbbell</t>
        </is>
      </c>
      <c r="F258" s="33" t="inlineStr">
        <is>
          <t>lbs</t>
        </is>
      </c>
      <c r="G258" s="33" t="n">
        <v>3</v>
      </c>
      <c r="H258" s="33" t="n">
        <v>45</v>
      </c>
      <c r="I258" s="33" t="n">
        <v>8</v>
      </c>
      <c r="J258" s="33" t="inlineStr">
        <is>
          <t>N</t>
        </is>
      </c>
      <c r="K258" s="33">
        <f>IF($J258="Y","",IF($F258="BW",$I258,$H258*$I258))</f>
        <v/>
      </c>
      <c r="L258" s="33">
        <f>$D258&amp;"|"&amp;$H258</f>
        <v/>
      </c>
      <c r="M258" s="33" t="n"/>
    </row>
    <row r="259" ht="15" customHeight="1" s="22">
      <c r="A259" s="32" t="n">
        <v>46131</v>
      </c>
      <c r="B259" s="33" t="inlineStr">
        <is>
          <t>Sun</t>
        </is>
      </c>
      <c r="C259" s="33" t="inlineStr">
        <is>
          <t>Push</t>
        </is>
      </c>
      <c r="D259" s="33" t="inlineStr">
        <is>
          <t>Tricep Ext Overhead</t>
        </is>
      </c>
      <c r="E259" s="33" t="inlineStr">
        <is>
          <t>Dumbbell</t>
        </is>
      </c>
      <c r="F259" s="33" t="inlineStr">
        <is>
          <t>lbs</t>
        </is>
      </c>
      <c r="G259" s="33" t="n">
        <v>4</v>
      </c>
      <c r="H259" s="33" t="n">
        <v>50</v>
      </c>
      <c r="I259" s="33" t="n">
        <v>8</v>
      </c>
      <c r="J259" s="33" t="inlineStr">
        <is>
          <t>N</t>
        </is>
      </c>
      <c r="K259" s="33">
        <f>IF($J259="Y","",IF($F259="BW",$I259,$H259*$I259))</f>
        <v/>
      </c>
      <c r="L259" s="33">
        <f>$D259&amp;"|"&amp;$H259</f>
        <v/>
      </c>
      <c r="M259" s="33" t="n"/>
    </row>
    <row r="260" ht="15" customHeight="1" s="22">
      <c r="A260" s="32" t="n">
        <v>46131</v>
      </c>
      <c r="B260" s="33" t="inlineStr">
        <is>
          <t>Sun</t>
        </is>
      </c>
      <c r="C260" s="33" t="inlineStr">
        <is>
          <t>Push</t>
        </is>
      </c>
      <c r="D260" s="33" t="inlineStr">
        <is>
          <t>Incline Bench (DB)</t>
        </is>
      </c>
      <c r="E260" s="33" t="inlineStr">
        <is>
          <t>Dumbbell</t>
        </is>
      </c>
      <c r="F260" s="33" t="inlineStr">
        <is>
          <t>lbs</t>
        </is>
      </c>
      <c r="G260" s="33" t="n">
        <v>1</v>
      </c>
      <c r="H260" s="33" t="n">
        <v>25</v>
      </c>
      <c r="I260" s="33" t="n">
        <v>8</v>
      </c>
      <c r="J260" s="33" t="inlineStr">
        <is>
          <t>N</t>
        </is>
      </c>
      <c r="K260" s="33">
        <f>IF($J260="Y","",IF($F260="BW",$I260,$H260*$I260))</f>
        <v/>
      </c>
      <c r="L260" s="33">
        <f>$D260&amp;"|"&amp;$H260</f>
        <v/>
      </c>
      <c r="M260" s="33" t="n"/>
    </row>
    <row r="261" ht="15" customHeight="1" s="22">
      <c r="A261" s="32" t="n">
        <v>46131</v>
      </c>
      <c r="B261" s="33" t="inlineStr">
        <is>
          <t>Sun</t>
        </is>
      </c>
      <c r="C261" s="33" t="inlineStr">
        <is>
          <t>Push</t>
        </is>
      </c>
      <c r="D261" s="33" t="inlineStr">
        <is>
          <t>Incline Bench (DB)</t>
        </is>
      </c>
      <c r="E261" s="33" t="inlineStr">
        <is>
          <t>Dumbbell</t>
        </is>
      </c>
      <c r="F261" s="33" t="inlineStr">
        <is>
          <t>lbs</t>
        </is>
      </c>
      <c r="G261" s="33" t="n">
        <v>2</v>
      </c>
      <c r="H261" s="33" t="n">
        <v>35</v>
      </c>
      <c r="I261" s="33" t="n">
        <v>8</v>
      </c>
      <c r="J261" s="33" t="inlineStr">
        <is>
          <t>N</t>
        </is>
      </c>
      <c r="K261" s="33">
        <f>IF($J261="Y","",IF($F261="BW",$I261,$H261*$I261))</f>
        <v/>
      </c>
      <c r="L261" s="33">
        <f>$D261&amp;"|"&amp;$H261</f>
        <v/>
      </c>
      <c r="M261" s="33" t="n"/>
    </row>
    <row r="262" ht="15" customHeight="1" s="22">
      <c r="A262" s="32" t="n">
        <v>46131</v>
      </c>
      <c r="B262" s="33" t="inlineStr">
        <is>
          <t>Sun</t>
        </is>
      </c>
      <c r="C262" s="33" t="inlineStr">
        <is>
          <t>Push</t>
        </is>
      </c>
      <c r="D262" s="33" t="inlineStr">
        <is>
          <t>Incline Bench (DB)</t>
        </is>
      </c>
      <c r="E262" s="33" t="inlineStr">
        <is>
          <t>Dumbbell</t>
        </is>
      </c>
      <c r="F262" s="33" t="inlineStr">
        <is>
          <t>lbs</t>
        </is>
      </c>
      <c r="G262" s="33" t="n">
        <v>3</v>
      </c>
      <c r="H262" s="33" t="n">
        <v>35</v>
      </c>
      <c r="I262" s="33" t="n">
        <v>8</v>
      </c>
      <c r="J262" s="33" t="inlineStr">
        <is>
          <t>N</t>
        </is>
      </c>
      <c r="K262" s="33">
        <f>IF($J262="Y","",IF($F262="BW",$I262,$H262*$I262))</f>
        <v/>
      </c>
      <c r="L262" s="33">
        <f>$D262&amp;"|"&amp;$H262</f>
        <v/>
      </c>
      <c r="M262" s="33" t="n"/>
    </row>
    <row r="263" ht="15" customHeight="1" s="22">
      <c r="A263" s="32" t="n">
        <v>46131</v>
      </c>
      <c r="B263" s="33" t="inlineStr">
        <is>
          <t>Sun</t>
        </is>
      </c>
      <c r="C263" s="33" t="inlineStr">
        <is>
          <t>Push</t>
        </is>
      </c>
      <c r="D263" s="33" t="inlineStr">
        <is>
          <t>Incline Bench (DB)</t>
        </is>
      </c>
      <c r="E263" s="33" t="inlineStr">
        <is>
          <t>Dumbbell</t>
        </is>
      </c>
      <c r="F263" s="33" t="inlineStr">
        <is>
          <t>lbs</t>
        </is>
      </c>
      <c r="G263" s="33" t="n">
        <v>4</v>
      </c>
      <c r="H263" s="33" t="n">
        <v>35</v>
      </c>
      <c r="I263" s="33" t="n">
        <v>8</v>
      </c>
      <c r="J263" s="33" t="inlineStr">
        <is>
          <t>N</t>
        </is>
      </c>
      <c r="K263" s="33">
        <f>IF($J263="Y","",IF($F263="BW",$I263,$H263*$I263))</f>
        <v/>
      </c>
      <c r="L263" s="33">
        <f>$D263&amp;"|"&amp;$H263</f>
        <v/>
      </c>
      <c r="M263" s="33" t="n"/>
    </row>
    <row r="264" ht="15" customHeight="1" s="22">
      <c r="A264" s="32" t="n">
        <v>46131</v>
      </c>
      <c r="B264" s="33" t="inlineStr">
        <is>
          <t>Sun</t>
        </is>
      </c>
      <c r="C264" s="33" t="inlineStr">
        <is>
          <t>Push</t>
        </is>
      </c>
      <c r="D264" s="33" t="inlineStr">
        <is>
          <t>Lateral Raises</t>
        </is>
      </c>
      <c r="E264" s="33" t="inlineStr">
        <is>
          <t>Dumbbell</t>
        </is>
      </c>
      <c r="F264" s="33" t="inlineStr">
        <is>
          <t>lbs</t>
        </is>
      </c>
      <c r="G264" s="33" t="n">
        <v>1</v>
      </c>
      <c r="H264" s="33" t="n">
        <v>10</v>
      </c>
      <c r="I264" s="33" t="n">
        <v>12</v>
      </c>
      <c r="J264" s="33" t="inlineStr">
        <is>
          <t>N</t>
        </is>
      </c>
      <c r="K264" s="33">
        <f>IF($J264="Y","",IF($F264="BW",$I264,$H264*$I264))</f>
        <v/>
      </c>
      <c r="L264" s="33">
        <f>$D264&amp;"|"&amp;$H264</f>
        <v/>
      </c>
      <c r="M264" s="33" t="n"/>
    </row>
    <row r="265" ht="15" customHeight="1" s="22">
      <c r="A265" s="32" t="n">
        <v>46131</v>
      </c>
      <c r="B265" s="33" t="inlineStr">
        <is>
          <t>Sun</t>
        </is>
      </c>
      <c r="C265" s="33" t="inlineStr">
        <is>
          <t>Push</t>
        </is>
      </c>
      <c r="D265" s="33" t="inlineStr">
        <is>
          <t>Lateral Raises</t>
        </is>
      </c>
      <c r="E265" s="33" t="inlineStr">
        <is>
          <t>Dumbbell</t>
        </is>
      </c>
      <c r="F265" s="33" t="inlineStr">
        <is>
          <t>lbs</t>
        </is>
      </c>
      <c r="G265" s="33" t="n">
        <v>2</v>
      </c>
      <c r="H265" s="33" t="n">
        <v>10</v>
      </c>
      <c r="I265" s="33" t="n">
        <v>12</v>
      </c>
      <c r="J265" s="33" t="inlineStr">
        <is>
          <t>N</t>
        </is>
      </c>
      <c r="K265" s="33">
        <f>IF($J265="Y","",IF($F265="BW",$I265,$H265*$I265))</f>
        <v/>
      </c>
      <c r="L265" s="33">
        <f>$D265&amp;"|"&amp;$H265</f>
        <v/>
      </c>
      <c r="M265" s="33" t="n"/>
    </row>
    <row r="266" ht="15" customHeight="1" s="22">
      <c r="A266" s="32" t="n">
        <v>46134</v>
      </c>
      <c r="B266" s="33" t="inlineStr">
        <is>
          <t>Wed</t>
        </is>
      </c>
      <c r="C266" s="33" t="inlineStr">
        <is>
          <t>Pull + Arms</t>
        </is>
      </c>
      <c r="D266" s="33" t="inlineStr">
        <is>
          <t>Face Pulls</t>
        </is>
      </c>
      <c r="E266" s="33" t="inlineStr">
        <is>
          <t>Cable</t>
        </is>
      </c>
      <c r="F266" s="33" t="inlineStr">
        <is>
          <t>kg</t>
        </is>
      </c>
      <c r="G266" s="33" t="n">
        <v>1</v>
      </c>
      <c r="H266" s="33" t="n">
        <v>5</v>
      </c>
      <c r="I266" s="33" t="n">
        <v>8</v>
      </c>
      <c r="J266" s="33" t="inlineStr">
        <is>
          <t>N</t>
        </is>
      </c>
      <c r="K266" s="33">
        <f>IF($J266="Y","",IF($F266="BW",$I266,$H266*$I266))</f>
        <v/>
      </c>
      <c r="L266" s="33">
        <f>$D266&amp;"|"&amp;$H266</f>
        <v/>
      </c>
      <c r="M266" s="33" t="n"/>
    </row>
    <row r="267" ht="15" customHeight="1" s="22">
      <c r="A267" s="32" t="n">
        <v>46134</v>
      </c>
      <c r="B267" s="33" t="inlineStr">
        <is>
          <t>Wed</t>
        </is>
      </c>
      <c r="C267" s="33" t="inlineStr">
        <is>
          <t>Pull + Arms</t>
        </is>
      </c>
      <c r="D267" s="33" t="inlineStr">
        <is>
          <t>Face Pulls</t>
        </is>
      </c>
      <c r="E267" s="33" t="inlineStr">
        <is>
          <t>Cable</t>
        </is>
      </c>
      <c r="F267" s="33" t="inlineStr">
        <is>
          <t>kg</t>
        </is>
      </c>
      <c r="G267" s="33" t="n">
        <v>2</v>
      </c>
      <c r="H267" s="33" t="n">
        <v>7.5</v>
      </c>
      <c r="I267" s="33" t="n">
        <v>8</v>
      </c>
      <c r="J267" s="33" t="inlineStr">
        <is>
          <t>N</t>
        </is>
      </c>
      <c r="K267" s="33">
        <f>IF($J267="Y","",IF($F267="BW",$I267,$H267*$I267))</f>
        <v/>
      </c>
      <c r="L267" s="33">
        <f>$D267&amp;"|"&amp;$H267</f>
        <v/>
      </c>
      <c r="M267" s="33" t="n"/>
    </row>
    <row r="268" ht="15" customHeight="1" s="22">
      <c r="A268" s="32" t="n">
        <v>46134</v>
      </c>
      <c r="B268" s="33" t="inlineStr">
        <is>
          <t>Wed</t>
        </is>
      </c>
      <c r="C268" s="33" t="inlineStr">
        <is>
          <t>Pull + Arms</t>
        </is>
      </c>
      <c r="D268" s="33" t="inlineStr">
        <is>
          <t>Face Pulls</t>
        </is>
      </c>
      <c r="E268" s="33" t="inlineStr">
        <is>
          <t>Cable</t>
        </is>
      </c>
      <c r="F268" s="33" t="inlineStr">
        <is>
          <t>kg</t>
        </is>
      </c>
      <c r="G268" s="33" t="n">
        <v>3</v>
      </c>
      <c r="H268" s="33" t="n">
        <v>7.5</v>
      </c>
      <c r="I268" s="33" t="n">
        <v>8</v>
      </c>
      <c r="J268" s="33" t="inlineStr">
        <is>
          <t>N</t>
        </is>
      </c>
      <c r="K268" s="33">
        <f>IF($J268="Y","",IF($F268="BW",$I268,$H268*$I268))</f>
        <v/>
      </c>
      <c r="L268" s="33">
        <f>$D268&amp;"|"&amp;$H268</f>
        <v/>
      </c>
      <c r="M268" s="33" t="n"/>
    </row>
    <row r="269" ht="15" customHeight="1" s="22">
      <c r="A269" s="32" t="n">
        <v>46134</v>
      </c>
      <c r="B269" s="33" t="inlineStr">
        <is>
          <t>Wed</t>
        </is>
      </c>
      <c r="C269" s="33" t="inlineStr">
        <is>
          <t>Pull + Arms</t>
        </is>
      </c>
      <c r="D269" s="33" t="inlineStr">
        <is>
          <t>Single Arm Lat Pulldown</t>
        </is>
      </c>
      <c r="E269" s="33" t="inlineStr">
        <is>
          <t>Cable</t>
        </is>
      </c>
      <c r="F269" s="33" t="inlineStr">
        <is>
          <t>kg</t>
        </is>
      </c>
      <c r="G269" s="33" t="n">
        <v>1</v>
      </c>
      <c r="H269" s="33" t="n">
        <v>17.5</v>
      </c>
      <c r="I269" s="33" t="n">
        <v>8</v>
      </c>
      <c r="J269" s="33" t="inlineStr">
        <is>
          <t>N</t>
        </is>
      </c>
      <c r="K269" s="33">
        <f>IF($J269="Y","",IF($F269="BW",$I269,$H269*$I269))</f>
        <v/>
      </c>
      <c r="L269" s="33">
        <f>$D269&amp;"|"&amp;$H269</f>
        <v/>
      </c>
      <c r="M269" s="33" t="n"/>
    </row>
    <row r="270" ht="15" customHeight="1" s="22">
      <c r="A270" s="32" t="n">
        <v>46134</v>
      </c>
      <c r="B270" s="33" t="inlineStr">
        <is>
          <t>Wed</t>
        </is>
      </c>
      <c r="C270" s="33" t="inlineStr">
        <is>
          <t>Pull + Arms</t>
        </is>
      </c>
      <c r="D270" s="33" t="inlineStr">
        <is>
          <t>Single Arm Lat Pulldown</t>
        </is>
      </c>
      <c r="E270" s="33" t="inlineStr">
        <is>
          <t>Cable</t>
        </is>
      </c>
      <c r="F270" s="33" t="inlineStr">
        <is>
          <t>kg</t>
        </is>
      </c>
      <c r="G270" s="33" t="n">
        <v>2</v>
      </c>
      <c r="H270" s="33" t="n">
        <v>20</v>
      </c>
      <c r="I270" s="33" t="n">
        <v>8</v>
      </c>
      <c r="J270" s="33" t="inlineStr">
        <is>
          <t>N</t>
        </is>
      </c>
      <c r="K270" s="33">
        <f>IF($J270="Y","",IF($F270="BW",$I270,$H270*$I270))</f>
        <v/>
      </c>
      <c r="L270" s="33">
        <f>$D270&amp;"|"&amp;$H270</f>
        <v/>
      </c>
      <c r="M270" s="33" t="n"/>
    </row>
    <row r="271" ht="15" customHeight="1" s="22">
      <c r="A271" s="32" t="n">
        <v>46134</v>
      </c>
      <c r="B271" s="33" t="inlineStr">
        <is>
          <t>Wed</t>
        </is>
      </c>
      <c r="C271" s="33" t="inlineStr">
        <is>
          <t>Pull + Arms</t>
        </is>
      </c>
      <c r="D271" s="33" t="inlineStr">
        <is>
          <t>Single Arm Lat Pulldown</t>
        </is>
      </c>
      <c r="E271" s="33" t="inlineStr">
        <is>
          <t>Cable</t>
        </is>
      </c>
      <c r="F271" s="33" t="inlineStr">
        <is>
          <t>kg</t>
        </is>
      </c>
      <c r="G271" s="33" t="n">
        <v>3</v>
      </c>
      <c r="H271" s="33" t="n">
        <v>22.5</v>
      </c>
      <c r="I271" s="33" t="n">
        <v>8</v>
      </c>
      <c r="J271" s="33" t="inlineStr">
        <is>
          <t>N</t>
        </is>
      </c>
      <c r="K271" s="33">
        <f>IF($J271="Y","",IF($F271="BW",$I271,$H271*$I271))</f>
        <v/>
      </c>
      <c r="L271" s="33">
        <f>$D271&amp;"|"&amp;$H271</f>
        <v/>
      </c>
      <c r="M271" s="33" t="n"/>
    </row>
    <row r="272" ht="15" customHeight="1" s="22">
      <c r="A272" s="32" t="n">
        <v>46134</v>
      </c>
      <c r="B272" s="33" t="inlineStr">
        <is>
          <t>Wed</t>
        </is>
      </c>
      <c r="C272" s="33" t="inlineStr">
        <is>
          <t>Pull + Arms</t>
        </is>
      </c>
      <c r="D272" s="33" t="inlineStr">
        <is>
          <t>Hammer Curls</t>
        </is>
      </c>
      <c r="E272" s="33" t="inlineStr">
        <is>
          <t>Dumbbell</t>
        </is>
      </c>
      <c r="F272" s="33" t="inlineStr">
        <is>
          <t>lbs</t>
        </is>
      </c>
      <c r="G272" s="33" t="n">
        <v>1</v>
      </c>
      <c r="H272" s="33" t="n">
        <v>20</v>
      </c>
      <c r="I272" s="33" t="n">
        <v>8</v>
      </c>
      <c r="J272" s="33" t="inlineStr">
        <is>
          <t>N</t>
        </is>
      </c>
      <c r="K272" s="33">
        <f>IF($J272="Y","",IF($F272="BW",$I272,$H272*$I272))</f>
        <v/>
      </c>
      <c r="L272" s="33">
        <f>$D272&amp;"|"&amp;$H272</f>
        <v/>
      </c>
      <c r="M272" s="33" t="n"/>
    </row>
    <row r="273" ht="15" customHeight="1" s="22">
      <c r="A273" s="32" t="n">
        <v>46134</v>
      </c>
      <c r="B273" s="33" t="inlineStr">
        <is>
          <t>Wed</t>
        </is>
      </c>
      <c r="C273" s="33" t="inlineStr">
        <is>
          <t>Pull + Arms</t>
        </is>
      </c>
      <c r="D273" s="33" t="inlineStr">
        <is>
          <t>Hammer Curls</t>
        </is>
      </c>
      <c r="E273" s="33" t="inlineStr">
        <is>
          <t>Dumbbell</t>
        </is>
      </c>
      <c r="F273" s="33" t="inlineStr">
        <is>
          <t>lbs</t>
        </is>
      </c>
      <c r="G273" s="33" t="n">
        <v>2</v>
      </c>
      <c r="H273" s="33" t="n">
        <v>25</v>
      </c>
      <c r="I273" s="33" t="n">
        <v>8</v>
      </c>
      <c r="J273" s="33" t="inlineStr">
        <is>
          <t>N</t>
        </is>
      </c>
      <c r="K273" s="33">
        <f>IF($J273="Y","",IF($F273="BW",$I273,$H273*$I273))</f>
        <v/>
      </c>
      <c r="L273" s="33">
        <f>$D273&amp;"|"&amp;$H273</f>
        <v/>
      </c>
      <c r="M273" s="33" t="n"/>
    </row>
    <row r="274" ht="15" customHeight="1" s="22">
      <c r="A274" s="32" t="n">
        <v>46134</v>
      </c>
      <c r="B274" s="33" t="inlineStr">
        <is>
          <t>Wed</t>
        </is>
      </c>
      <c r="C274" s="33" t="inlineStr">
        <is>
          <t>Pull + Arms</t>
        </is>
      </c>
      <c r="D274" s="33" t="inlineStr">
        <is>
          <t>Hammer Curls</t>
        </is>
      </c>
      <c r="E274" s="33" t="inlineStr">
        <is>
          <t>Dumbbell</t>
        </is>
      </c>
      <c r="F274" s="33" t="inlineStr">
        <is>
          <t>lbs</t>
        </is>
      </c>
      <c r="G274" s="33" t="n">
        <v>3</v>
      </c>
      <c r="H274" s="33" t="n">
        <v>25</v>
      </c>
      <c r="I274" s="33" t="n">
        <v>8</v>
      </c>
      <c r="J274" s="33" t="inlineStr">
        <is>
          <t>N</t>
        </is>
      </c>
      <c r="K274" s="33">
        <f>IF($J274="Y","",IF($F274="BW",$I274,$H274*$I274))</f>
        <v/>
      </c>
      <c r="L274" s="33">
        <f>$D274&amp;"|"&amp;$H274</f>
        <v/>
      </c>
      <c r="M274" s="33" t="n"/>
    </row>
    <row r="275" ht="15" customHeight="1" s="22">
      <c r="A275" s="34" t="n">
        <v>46134</v>
      </c>
      <c r="B275" s="35" t="inlineStr">
        <is>
          <t>Wed</t>
        </is>
      </c>
      <c r="C275" s="35" t="inlineStr">
        <is>
          <t>Pull + Arms</t>
        </is>
      </c>
      <c r="D275" s="35" t="inlineStr">
        <is>
          <t>Smith Rows</t>
        </is>
      </c>
      <c r="E275" s="35" t="inlineStr">
        <is>
          <t>Smith</t>
        </is>
      </c>
      <c r="F275" s="35" t="inlineStr">
        <is>
          <t>lbs</t>
        </is>
      </c>
      <c r="G275" s="35" t="n">
        <v>1</v>
      </c>
      <c r="H275" s="35" t="n">
        <v>20</v>
      </c>
      <c r="I275" s="35" t="n">
        <v>8</v>
      </c>
      <c r="J275" s="35" t="inlineStr">
        <is>
          <t>Y</t>
        </is>
      </c>
      <c r="K275" s="35">
        <f>IF($J275="Y","",IF($F275="BW",$I275,$H275*$I275))</f>
        <v/>
      </c>
      <c r="L275" s="35">
        <f>$D275&amp;"|"&amp;$H275</f>
        <v/>
      </c>
      <c r="M275" s="35" t="n"/>
    </row>
    <row r="276" ht="15" customHeight="1" s="22">
      <c r="A276" s="32" t="n">
        <v>46134</v>
      </c>
      <c r="B276" s="33" t="inlineStr">
        <is>
          <t>Wed</t>
        </is>
      </c>
      <c r="C276" s="33" t="inlineStr">
        <is>
          <t>Pull + Arms</t>
        </is>
      </c>
      <c r="D276" s="33" t="inlineStr">
        <is>
          <t>Smith Rows</t>
        </is>
      </c>
      <c r="E276" s="33" t="inlineStr">
        <is>
          <t>Smith</t>
        </is>
      </c>
      <c r="F276" s="33" t="inlineStr">
        <is>
          <t>lbs</t>
        </is>
      </c>
      <c r="G276" s="33" t="n">
        <v>2</v>
      </c>
      <c r="H276" s="33" t="n">
        <v>40</v>
      </c>
      <c r="I276" s="33" t="n">
        <v>8</v>
      </c>
      <c r="J276" s="33" t="inlineStr">
        <is>
          <t>N</t>
        </is>
      </c>
      <c r="K276" s="33">
        <f>IF($J276="Y","",IF($F276="BW",$I276,$H276*$I276))</f>
        <v/>
      </c>
      <c r="L276" s="33">
        <f>$D276&amp;"|"&amp;$H276</f>
        <v/>
      </c>
      <c r="M276" s="33" t="n"/>
    </row>
    <row r="277" ht="15" customHeight="1" s="22">
      <c r="A277" s="32" t="n">
        <v>46134</v>
      </c>
      <c r="B277" s="33" t="inlineStr">
        <is>
          <t>Wed</t>
        </is>
      </c>
      <c r="C277" s="33" t="inlineStr">
        <is>
          <t>Pull + Arms</t>
        </is>
      </c>
      <c r="D277" s="33" t="inlineStr">
        <is>
          <t>Smith Rows</t>
        </is>
      </c>
      <c r="E277" s="33" t="inlineStr">
        <is>
          <t>Smith</t>
        </is>
      </c>
      <c r="F277" s="33" t="inlineStr">
        <is>
          <t>lbs</t>
        </is>
      </c>
      <c r="G277" s="33" t="n">
        <v>3</v>
      </c>
      <c r="H277" s="33" t="n">
        <v>55</v>
      </c>
      <c r="I277" s="33" t="n">
        <v>8</v>
      </c>
      <c r="J277" s="33" t="inlineStr">
        <is>
          <t>N</t>
        </is>
      </c>
      <c r="K277" s="33">
        <f>IF($J277="Y","",IF($F277="BW",$I277,$H277*$I277))</f>
        <v/>
      </c>
      <c r="L277" s="33">
        <f>$D277&amp;"|"&amp;$H277</f>
        <v/>
      </c>
      <c r="M277" s="33" t="n"/>
    </row>
    <row r="278" ht="15" customHeight="1" s="22">
      <c r="A278" s="32" t="n">
        <v>46134</v>
      </c>
      <c r="B278" s="33" t="inlineStr">
        <is>
          <t>Wed</t>
        </is>
      </c>
      <c r="C278" s="33" t="inlineStr">
        <is>
          <t>Pull + Arms</t>
        </is>
      </c>
      <c r="D278" s="33" t="inlineStr">
        <is>
          <t>Smith Rows</t>
        </is>
      </c>
      <c r="E278" s="33" t="inlineStr">
        <is>
          <t>Smith</t>
        </is>
      </c>
      <c r="F278" s="33" t="inlineStr">
        <is>
          <t>lbs</t>
        </is>
      </c>
      <c r="G278" s="33" t="n">
        <v>4</v>
      </c>
      <c r="H278" s="33" t="n">
        <v>65</v>
      </c>
      <c r="I278" s="33" t="n">
        <v>8</v>
      </c>
      <c r="J278" s="33" t="inlineStr">
        <is>
          <t>N</t>
        </is>
      </c>
      <c r="K278" s="33">
        <f>IF($J278="Y","",IF($F278="BW",$I278,$H278*$I278))</f>
        <v/>
      </c>
      <c r="L278" s="33">
        <f>$D278&amp;"|"&amp;$H278</f>
        <v/>
      </c>
      <c r="M278" s="33" t="n"/>
    </row>
    <row r="279" ht="15" customHeight="1" s="22">
      <c r="A279" s="32" t="n">
        <v>46134</v>
      </c>
      <c r="B279" s="33" t="inlineStr">
        <is>
          <t>Wed</t>
        </is>
      </c>
      <c r="C279" s="33" t="inlineStr">
        <is>
          <t>Pull + Arms</t>
        </is>
      </c>
      <c r="D279" s="33" t="inlineStr">
        <is>
          <t>Shrugs</t>
        </is>
      </c>
      <c r="E279" s="33" t="inlineStr">
        <is>
          <t>Dumbbell</t>
        </is>
      </c>
      <c r="F279" s="33" t="inlineStr">
        <is>
          <t>lbs</t>
        </is>
      </c>
      <c r="G279" s="33" t="n">
        <v>1</v>
      </c>
      <c r="H279" s="33" t="n">
        <v>35</v>
      </c>
      <c r="I279" s="33" t="n">
        <v>8</v>
      </c>
      <c r="J279" s="33" t="inlineStr">
        <is>
          <t>N</t>
        </is>
      </c>
      <c r="K279" s="33">
        <f>IF($J279="Y","",IF($F279="BW",$I279,$H279*$I279))</f>
        <v/>
      </c>
      <c r="L279" s="33">
        <f>$D279&amp;"|"&amp;$H279</f>
        <v/>
      </c>
      <c r="M279" s="33" t="n"/>
    </row>
    <row r="280" ht="15" customHeight="1" s="22">
      <c r="A280" s="32" t="n">
        <v>46134</v>
      </c>
      <c r="B280" s="33" t="inlineStr">
        <is>
          <t>Wed</t>
        </is>
      </c>
      <c r="C280" s="33" t="inlineStr">
        <is>
          <t>Pull + Arms</t>
        </is>
      </c>
      <c r="D280" s="33" t="inlineStr">
        <is>
          <t>Shrugs</t>
        </is>
      </c>
      <c r="E280" s="33" t="inlineStr">
        <is>
          <t>Dumbbell</t>
        </is>
      </c>
      <c r="F280" s="33" t="inlineStr">
        <is>
          <t>lbs</t>
        </is>
      </c>
      <c r="G280" s="33" t="n">
        <v>2</v>
      </c>
      <c r="H280" s="33" t="n">
        <v>45</v>
      </c>
      <c r="I280" s="33" t="n">
        <v>8</v>
      </c>
      <c r="J280" s="33" t="inlineStr">
        <is>
          <t>N</t>
        </is>
      </c>
      <c r="K280" s="33">
        <f>IF($J280="Y","",IF($F280="BW",$I280,$H280*$I280))</f>
        <v/>
      </c>
      <c r="L280" s="33">
        <f>$D280&amp;"|"&amp;$H280</f>
        <v/>
      </c>
      <c r="M280" s="33" t="n"/>
    </row>
    <row r="281" ht="15" customHeight="1" s="22">
      <c r="A281" s="32" t="n">
        <v>46134</v>
      </c>
      <c r="B281" s="33" t="inlineStr">
        <is>
          <t>Wed</t>
        </is>
      </c>
      <c r="C281" s="33" t="inlineStr">
        <is>
          <t>Pull + Arms</t>
        </is>
      </c>
      <c r="D281" s="33" t="inlineStr">
        <is>
          <t>Shrugs</t>
        </is>
      </c>
      <c r="E281" s="33" t="inlineStr">
        <is>
          <t>Dumbbell</t>
        </is>
      </c>
      <c r="F281" s="33" t="inlineStr">
        <is>
          <t>lbs</t>
        </is>
      </c>
      <c r="G281" s="33" t="n">
        <v>3</v>
      </c>
      <c r="H281" s="33" t="n">
        <v>50</v>
      </c>
      <c r="I281" s="33" t="n">
        <v>8</v>
      </c>
      <c r="J281" s="33" t="inlineStr">
        <is>
          <t>N</t>
        </is>
      </c>
      <c r="K281" s="33">
        <f>IF($J281="Y","",IF($F281="BW",$I281,$H281*$I281))</f>
        <v/>
      </c>
      <c r="L281" s="33">
        <f>$D281&amp;"|"&amp;$H281</f>
        <v/>
      </c>
      <c r="M281" s="33" t="n"/>
    </row>
    <row r="282" ht="15" customHeight="1" s="22">
      <c r="A282" s="34" t="n">
        <v>46140</v>
      </c>
      <c r="B282" s="35" t="inlineStr">
        <is>
          <t>Tue</t>
        </is>
      </c>
      <c r="C282" s="35" t="inlineStr">
        <is>
          <t>Push</t>
        </is>
      </c>
      <c r="D282" s="35" t="inlineStr">
        <is>
          <t>Bench Press (Smith)</t>
        </is>
      </c>
      <c r="E282" s="35" t="inlineStr">
        <is>
          <t>Smith</t>
        </is>
      </c>
      <c r="F282" s="35" t="inlineStr">
        <is>
          <t>lbs</t>
        </is>
      </c>
      <c r="G282" s="35" t="n">
        <v>1</v>
      </c>
      <c r="H282" s="35" t="n">
        <v>40</v>
      </c>
      <c r="I282" s="35" t="n">
        <v>8</v>
      </c>
      <c r="J282" s="35" t="inlineStr">
        <is>
          <t>Y</t>
        </is>
      </c>
      <c r="K282" s="35">
        <f>IF($J282="Y","",IF($F282="BW",$I282,$H282*$I282))</f>
        <v/>
      </c>
      <c r="L282" s="35">
        <f>$D282&amp;"|"&amp;$H282</f>
        <v/>
      </c>
      <c r="M282" s="35" t="n"/>
    </row>
    <row r="283" ht="15" customHeight="1" s="22">
      <c r="A283" s="32" t="n">
        <v>46140</v>
      </c>
      <c r="B283" s="33" t="inlineStr">
        <is>
          <t>Tue</t>
        </is>
      </c>
      <c r="C283" s="33" t="inlineStr">
        <is>
          <t>Push</t>
        </is>
      </c>
      <c r="D283" s="33" t="inlineStr">
        <is>
          <t>Bench Press (Smith)</t>
        </is>
      </c>
      <c r="E283" s="33" t="inlineStr">
        <is>
          <t>Smith</t>
        </is>
      </c>
      <c r="F283" s="33" t="inlineStr">
        <is>
          <t>lbs</t>
        </is>
      </c>
      <c r="G283" s="33" t="n">
        <v>2</v>
      </c>
      <c r="H283" s="33" t="n">
        <v>60</v>
      </c>
      <c r="I283" s="33" t="n">
        <v>8</v>
      </c>
      <c r="J283" s="33" t="inlineStr">
        <is>
          <t>N</t>
        </is>
      </c>
      <c r="K283" s="33">
        <f>IF($J283="Y","",IF($F283="BW",$I283,$H283*$I283))</f>
        <v/>
      </c>
      <c r="L283" s="33">
        <f>$D283&amp;"|"&amp;$H283</f>
        <v/>
      </c>
      <c r="M283" s="33" t="n"/>
    </row>
    <row r="284" ht="15" customHeight="1" s="22">
      <c r="A284" s="32" t="n">
        <v>46140</v>
      </c>
      <c r="B284" s="33" t="inlineStr">
        <is>
          <t>Tue</t>
        </is>
      </c>
      <c r="C284" s="33" t="inlineStr">
        <is>
          <t>Push</t>
        </is>
      </c>
      <c r="D284" s="33" t="inlineStr">
        <is>
          <t>Bench Press (Smith)</t>
        </is>
      </c>
      <c r="E284" s="33" t="inlineStr">
        <is>
          <t>Smith</t>
        </is>
      </c>
      <c r="F284" s="33" t="inlineStr">
        <is>
          <t>lbs</t>
        </is>
      </c>
      <c r="G284" s="33" t="n">
        <v>3</v>
      </c>
      <c r="H284" s="33" t="n">
        <v>70</v>
      </c>
      <c r="I284" s="33" t="n">
        <v>8</v>
      </c>
      <c r="J284" s="33" t="inlineStr">
        <is>
          <t>N</t>
        </is>
      </c>
      <c r="K284" s="33">
        <f>IF($J284="Y","",IF($F284="BW",$I284,$H284*$I284))</f>
        <v/>
      </c>
      <c r="L284" s="33">
        <f>$D284&amp;"|"&amp;$H284</f>
        <v/>
      </c>
      <c r="M284" s="33" t="n"/>
    </row>
    <row r="285" ht="15" customHeight="1" s="22">
      <c r="A285" s="32" t="n">
        <v>46140</v>
      </c>
      <c r="B285" s="33" t="inlineStr">
        <is>
          <t>Tue</t>
        </is>
      </c>
      <c r="C285" s="33" t="inlineStr">
        <is>
          <t>Push</t>
        </is>
      </c>
      <c r="D285" s="33" t="inlineStr">
        <is>
          <t>Bench Press (Smith)</t>
        </is>
      </c>
      <c r="E285" s="33" t="inlineStr">
        <is>
          <t>Smith</t>
        </is>
      </c>
      <c r="F285" s="33" t="inlineStr">
        <is>
          <t>lbs</t>
        </is>
      </c>
      <c r="G285" s="33" t="n">
        <v>4</v>
      </c>
      <c r="H285" s="33" t="n">
        <v>80</v>
      </c>
      <c r="I285" s="33" t="n">
        <v>8</v>
      </c>
      <c r="J285" s="33" t="inlineStr">
        <is>
          <t>N</t>
        </is>
      </c>
      <c r="K285" s="33">
        <f>IF($J285="Y","",IF($F285="BW",$I285,$H285*$I285))</f>
        <v/>
      </c>
      <c r="L285" s="33">
        <f>$D285&amp;"|"&amp;$H285</f>
        <v/>
      </c>
      <c r="M285" s="33" t="n"/>
    </row>
    <row r="286" ht="15" customHeight="1" s="22">
      <c r="A286" s="34" t="n">
        <v>46140</v>
      </c>
      <c r="B286" s="35" t="inlineStr">
        <is>
          <t>Tue</t>
        </is>
      </c>
      <c r="C286" s="35" t="inlineStr">
        <is>
          <t>Push</t>
        </is>
      </c>
      <c r="D286" s="35" t="inlineStr">
        <is>
          <t>Incline Bench (DB)</t>
        </is>
      </c>
      <c r="E286" s="35" t="inlineStr">
        <is>
          <t>Dumbbell</t>
        </is>
      </c>
      <c r="F286" s="35" t="inlineStr">
        <is>
          <t>lbs</t>
        </is>
      </c>
      <c r="G286" s="35" t="n">
        <v>1</v>
      </c>
      <c r="H286" s="35" t="n">
        <v>25</v>
      </c>
      <c r="I286" s="35" t="n">
        <v>8</v>
      </c>
      <c r="J286" s="35" t="inlineStr">
        <is>
          <t>Y</t>
        </is>
      </c>
      <c r="K286" s="35">
        <f>IF($J286="Y","",IF($F286="BW",$I286,$H286*$I286))</f>
        <v/>
      </c>
      <c r="L286" s="35">
        <f>$D286&amp;"|"&amp;$H286</f>
        <v/>
      </c>
      <c r="M286" s="35" t="n"/>
    </row>
    <row r="287" ht="15" customHeight="1" s="22">
      <c r="A287" s="32" t="n">
        <v>46140</v>
      </c>
      <c r="B287" s="33" t="inlineStr">
        <is>
          <t>Tue</t>
        </is>
      </c>
      <c r="C287" s="33" t="inlineStr">
        <is>
          <t>Push</t>
        </is>
      </c>
      <c r="D287" s="33" t="inlineStr">
        <is>
          <t>Incline Bench (DB)</t>
        </is>
      </c>
      <c r="E287" s="33" t="inlineStr">
        <is>
          <t>Dumbbell</t>
        </is>
      </c>
      <c r="F287" s="33" t="inlineStr">
        <is>
          <t>lbs</t>
        </is>
      </c>
      <c r="G287" s="33" t="n">
        <v>2</v>
      </c>
      <c r="H287" s="33" t="n">
        <v>35</v>
      </c>
      <c r="I287" s="33" t="n">
        <v>8</v>
      </c>
      <c r="J287" s="33" t="inlineStr">
        <is>
          <t>N</t>
        </is>
      </c>
      <c r="K287" s="33">
        <f>IF($J287="Y","",IF($F287="BW",$I287,$H287*$I287))</f>
        <v/>
      </c>
      <c r="L287" s="33">
        <f>$D287&amp;"|"&amp;$H287</f>
        <v/>
      </c>
      <c r="M287" s="33" t="n"/>
    </row>
    <row r="288" ht="15" customHeight="1" s="22">
      <c r="A288" s="32" t="n">
        <v>46140</v>
      </c>
      <c r="B288" s="33" t="inlineStr">
        <is>
          <t>Tue</t>
        </is>
      </c>
      <c r="C288" s="33" t="inlineStr">
        <is>
          <t>Push</t>
        </is>
      </c>
      <c r="D288" s="33" t="inlineStr">
        <is>
          <t>Incline Bench (DB)</t>
        </is>
      </c>
      <c r="E288" s="33" t="inlineStr">
        <is>
          <t>Dumbbell</t>
        </is>
      </c>
      <c r="F288" s="33" t="inlineStr">
        <is>
          <t>lbs</t>
        </is>
      </c>
      <c r="G288" s="33" t="n">
        <v>3</v>
      </c>
      <c r="H288" s="33" t="n">
        <v>40</v>
      </c>
      <c r="I288" s="33" t="n">
        <v>8</v>
      </c>
      <c r="J288" s="33" t="inlineStr">
        <is>
          <t>N</t>
        </is>
      </c>
      <c r="K288" s="33">
        <f>IF($J288="Y","",IF($F288="BW",$I288,$H288*$I288))</f>
        <v/>
      </c>
      <c r="L288" s="33">
        <f>$D288&amp;"|"&amp;$H288</f>
        <v/>
      </c>
      <c r="M288" s="33" t="n"/>
    </row>
    <row r="289" ht="15" customHeight="1" s="22">
      <c r="A289" s="32" t="n">
        <v>46140</v>
      </c>
      <c r="B289" s="33" t="inlineStr">
        <is>
          <t>Tue</t>
        </is>
      </c>
      <c r="C289" s="33" t="inlineStr">
        <is>
          <t>Push</t>
        </is>
      </c>
      <c r="D289" s="33" t="inlineStr">
        <is>
          <t>Incline Bench (DB)</t>
        </is>
      </c>
      <c r="E289" s="33" t="inlineStr">
        <is>
          <t>Dumbbell</t>
        </is>
      </c>
      <c r="F289" s="33" t="inlineStr">
        <is>
          <t>lbs</t>
        </is>
      </c>
      <c r="G289" s="33" t="n">
        <v>4</v>
      </c>
      <c r="H289" s="33" t="n">
        <v>40</v>
      </c>
      <c r="I289" s="33" t="n">
        <v>8</v>
      </c>
      <c r="J289" s="33" t="inlineStr">
        <is>
          <t>N</t>
        </is>
      </c>
      <c r="K289" s="33">
        <f>IF($J289="Y","",IF($F289="BW",$I289,$H289*$I289))</f>
        <v/>
      </c>
      <c r="L289" s="33">
        <f>$D289&amp;"|"&amp;$H289</f>
        <v/>
      </c>
      <c r="M289" s="33" t="n"/>
    </row>
    <row r="290" ht="15" customHeight="1" s="22">
      <c r="A290" s="34" t="n">
        <v>46140</v>
      </c>
      <c r="B290" s="35" t="inlineStr">
        <is>
          <t>Tue</t>
        </is>
      </c>
      <c r="C290" s="35" t="inlineStr">
        <is>
          <t>Push</t>
        </is>
      </c>
      <c r="D290" s="35" t="inlineStr">
        <is>
          <t>Tricep Ext Overhead</t>
        </is>
      </c>
      <c r="E290" s="35" t="inlineStr">
        <is>
          <t>Dumbbell</t>
        </is>
      </c>
      <c r="F290" s="35" t="inlineStr">
        <is>
          <t>lbs</t>
        </is>
      </c>
      <c r="G290" s="35" t="n">
        <v>1</v>
      </c>
      <c r="H290" s="35" t="n">
        <v>20</v>
      </c>
      <c r="I290" s="35" t="n">
        <v>8</v>
      </c>
      <c r="J290" s="35" t="inlineStr">
        <is>
          <t>Y</t>
        </is>
      </c>
      <c r="K290" s="35">
        <f>IF($J290="Y","",IF($F290="BW",$I290,$H290*$I290))</f>
        <v/>
      </c>
      <c r="L290" s="35">
        <f>$D290&amp;"|"&amp;$H290</f>
        <v/>
      </c>
      <c r="M290" s="35" t="n"/>
    </row>
    <row r="291" ht="15" customHeight="1" s="22">
      <c r="A291" s="32" t="n">
        <v>46140</v>
      </c>
      <c r="B291" s="33" t="inlineStr">
        <is>
          <t>Tue</t>
        </is>
      </c>
      <c r="C291" s="33" t="inlineStr">
        <is>
          <t>Push</t>
        </is>
      </c>
      <c r="D291" s="33" t="inlineStr">
        <is>
          <t>Tricep Ext Overhead</t>
        </is>
      </c>
      <c r="E291" s="33" t="inlineStr">
        <is>
          <t>Dumbbell</t>
        </is>
      </c>
      <c r="F291" s="33" t="inlineStr">
        <is>
          <t>lbs</t>
        </is>
      </c>
      <c r="G291" s="33" t="n">
        <v>2</v>
      </c>
      <c r="H291" s="33" t="n">
        <v>40</v>
      </c>
      <c r="I291" s="33" t="n">
        <v>8</v>
      </c>
      <c r="J291" s="33" t="inlineStr">
        <is>
          <t>N</t>
        </is>
      </c>
      <c r="K291" s="33">
        <f>IF($J291="Y","",IF($F291="BW",$I291,$H291*$I291))</f>
        <v/>
      </c>
      <c r="L291" s="33">
        <f>$D291&amp;"|"&amp;$H291</f>
        <v/>
      </c>
      <c r="M291" s="33" t="n"/>
    </row>
    <row r="292" ht="15" customHeight="1" s="22">
      <c r="A292" s="32" t="n">
        <v>46140</v>
      </c>
      <c r="B292" s="33" t="inlineStr">
        <is>
          <t>Tue</t>
        </is>
      </c>
      <c r="C292" s="33" t="inlineStr">
        <is>
          <t>Push</t>
        </is>
      </c>
      <c r="D292" s="33" t="inlineStr">
        <is>
          <t>Tricep Ext Overhead</t>
        </is>
      </c>
      <c r="E292" s="33" t="inlineStr">
        <is>
          <t>Dumbbell</t>
        </is>
      </c>
      <c r="F292" s="33" t="inlineStr">
        <is>
          <t>lbs</t>
        </is>
      </c>
      <c r="G292" s="33" t="n">
        <v>3</v>
      </c>
      <c r="H292" s="33" t="n">
        <v>40</v>
      </c>
      <c r="I292" s="33" t="n">
        <v>8</v>
      </c>
      <c r="J292" s="33" t="inlineStr">
        <is>
          <t>N</t>
        </is>
      </c>
      <c r="K292" s="33">
        <f>IF($J292="Y","",IF($F292="BW",$I292,$H292*$I292))</f>
        <v/>
      </c>
      <c r="L292" s="33">
        <f>$D292&amp;"|"&amp;$H292</f>
        <v/>
      </c>
      <c r="M292" s="33" t="n"/>
    </row>
    <row r="293" ht="15" customHeight="1" s="22">
      <c r="A293" s="32" t="n">
        <v>46140</v>
      </c>
      <c r="B293" s="33" t="inlineStr">
        <is>
          <t>Tue</t>
        </is>
      </c>
      <c r="C293" s="33" t="inlineStr">
        <is>
          <t>Push</t>
        </is>
      </c>
      <c r="D293" s="33" t="inlineStr">
        <is>
          <t>Tricep Ext Overhead</t>
        </is>
      </c>
      <c r="E293" s="33" t="inlineStr">
        <is>
          <t>Dumbbell</t>
        </is>
      </c>
      <c r="F293" s="33" t="inlineStr">
        <is>
          <t>lbs</t>
        </is>
      </c>
      <c r="G293" s="33" t="n">
        <v>4</v>
      </c>
      <c r="H293" s="33" t="n">
        <v>45</v>
      </c>
      <c r="I293" s="33" t="n">
        <v>8</v>
      </c>
      <c r="J293" s="33" t="inlineStr">
        <is>
          <t>N</t>
        </is>
      </c>
      <c r="K293" s="33">
        <f>IF($J293="Y","",IF($F293="BW",$I293,$H293*$I293))</f>
        <v/>
      </c>
      <c r="L293" s="33">
        <f>$D293&amp;"|"&amp;$H293</f>
        <v/>
      </c>
      <c r="M293" s="33" t="n"/>
    </row>
    <row r="294" ht="15" customHeight="1" s="22">
      <c r="A294" s="34" t="n">
        <v>46142</v>
      </c>
      <c r="B294" s="35" t="inlineStr">
        <is>
          <t>Thu</t>
        </is>
      </c>
      <c r="C294" s="35" t="inlineStr">
        <is>
          <t>Pull + Arms</t>
        </is>
      </c>
      <c r="D294" s="35" t="inlineStr">
        <is>
          <t>Single Arm Lat Pulldown</t>
        </is>
      </c>
      <c r="E294" s="35" t="inlineStr">
        <is>
          <t>Cable</t>
        </is>
      </c>
      <c r="F294" s="35" t="inlineStr">
        <is>
          <t>kg</t>
        </is>
      </c>
      <c r="G294" s="35" t="n">
        <v>1</v>
      </c>
      <c r="H294" s="35" t="n">
        <v>12.5</v>
      </c>
      <c r="I294" s="35" t="n">
        <v>8</v>
      </c>
      <c r="J294" s="35" t="inlineStr">
        <is>
          <t>Y</t>
        </is>
      </c>
      <c r="K294" s="35">
        <f>IF($J294="Y","",IF($F294="BW",$I294,$H294*$I294))</f>
        <v/>
      </c>
      <c r="L294" s="35">
        <f>$D294&amp;"|"&amp;$H294</f>
        <v/>
      </c>
      <c r="M294" s="35" t="n"/>
    </row>
    <row r="295" ht="15" customHeight="1" s="22">
      <c r="A295" s="32" t="n">
        <v>46142</v>
      </c>
      <c r="B295" s="33" t="inlineStr">
        <is>
          <t>Thu</t>
        </is>
      </c>
      <c r="C295" s="33" t="inlineStr">
        <is>
          <t>Pull + Arms</t>
        </is>
      </c>
      <c r="D295" s="33" t="inlineStr">
        <is>
          <t>Single Arm Lat Pulldown</t>
        </is>
      </c>
      <c r="E295" s="33" t="inlineStr">
        <is>
          <t>Cable</t>
        </is>
      </c>
      <c r="F295" s="33" t="inlineStr">
        <is>
          <t>kg</t>
        </is>
      </c>
      <c r="G295" s="33" t="n">
        <v>2</v>
      </c>
      <c r="H295" s="33" t="n">
        <v>17.5</v>
      </c>
      <c r="I295" s="33" t="n">
        <v>8</v>
      </c>
      <c r="J295" s="33" t="inlineStr">
        <is>
          <t>N</t>
        </is>
      </c>
      <c r="K295" s="33">
        <f>IF($J295="Y","",IF($F295="BW",$I295,$H295*$I295))</f>
        <v/>
      </c>
      <c r="L295" s="33">
        <f>$D295&amp;"|"&amp;$H295</f>
        <v/>
      </c>
      <c r="M295" s="33" t="n"/>
    </row>
    <row r="296" ht="15" customHeight="1" s="22">
      <c r="A296" s="32" t="n">
        <v>46142</v>
      </c>
      <c r="B296" s="33" t="inlineStr">
        <is>
          <t>Thu</t>
        </is>
      </c>
      <c r="C296" s="33" t="inlineStr">
        <is>
          <t>Pull + Arms</t>
        </is>
      </c>
      <c r="D296" s="33" t="inlineStr">
        <is>
          <t>Single Arm Lat Pulldown</t>
        </is>
      </c>
      <c r="E296" s="33" t="inlineStr">
        <is>
          <t>Cable</t>
        </is>
      </c>
      <c r="F296" s="33" t="inlineStr">
        <is>
          <t>kg</t>
        </is>
      </c>
      <c r="G296" s="33" t="n">
        <v>3</v>
      </c>
      <c r="H296" s="33" t="n">
        <v>22.5</v>
      </c>
      <c r="I296" s="33" t="n">
        <v>8</v>
      </c>
      <c r="J296" s="33" t="inlineStr">
        <is>
          <t>N</t>
        </is>
      </c>
      <c r="K296" s="33">
        <f>IF($J296="Y","",IF($F296="BW",$I296,$H296*$I296))</f>
        <v/>
      </c>
      <c r="L296" s="33">
        <f>$D296&amp;"|"&amp;$H296</f>
        <v/>
      </c>
      <c r="M296" s="33" t="n"/>
    </row>
    <row r="297" ht="15" customHeight="1" s="22">
      <c r="A297" s="32" t="n">
        <v>46142</v>
      </c>
      <c r="B297" s="33" t="inlineStr">
        <is>
          <t>Thu</t>
        </is>
      </c>
      <c r="C297" s="33" t="inlineStr">
        <is>
          <t>Pull + Arms</t>
        </is>
      </c>
      <c r="D297" s="33" t="inlineStr">
        <is>
          <t>Single Arm Lat Pulldown</t>
        </is>
      </c>
      <c r="E297" s="33" t="inlineStr">
        <is>
          <t>Cable</t>
        </is>
      </c>
      <c r="F297" s="33" t="inlineStr">
        <is>
          <t>kg</t>
        </is>
      </c>
      <c r="G297" s="33" t="n">
        <v>4</v>
      </c>
      <c r="H297" s="33" t="n">
        <v>22.5</v>
      </c>
      <c r="I297" s="33" t="n">
        <v>8</v>
      </c>
      <c r="J297" s="33" t="inlineStr">
        <is>
          <t>N</t>
        </is>
      </c>
      <c r="K297" s="33">
        <f>IF($J297="Y","",IF($F297="BW",$I297,$H297*$I297))</f>
        <v/>
      </c>
      <c r="L297" s="33">
        <f>$D297&amp;"|"&amp;$H297</f>
        <v/>
      </c>
      <c r="M297" s="33" t="n"/>
    </row>
    <row r="298" ht="15" customHeight="1" s="22">
      <c r="A298" s="34" t="n">
        <v>46142</v>
      </c>
      <c r="B298" s="35" t="inlineStr">
        <is>
          <t>Thu</t>
        </is>
      </c>
      <c r="C298" s="35" t="inlineStr">
        <is>
          <t>Pull + Arms</t>
        </is>
      </c>
      <c r="D298" s="35" t="inlineStr">
        <is>
          <t>DB Rows</t>
        </is>
      </c>
      <c r="E298" s="35" t="inlineStr">
        <is>
          <t>Dumbbell</t>
        </is>
      </c>
      <c r="F298" s="35" t="inlineStr">
        <is>
          <t>lbs</t>
        </is>
      </c>
      <c r="G298" s="35" t="n">
        <v>1</v>
      </c>
      <c r="H298" s="35" t="n">
        <v>15</v>
      </c>
      <c r="I298" s="35" t="n">
        <v>8</v>
      </c>
      <c r="J298" s="35" t="inlineStr">
        <is>
          <t>Y</t>
        </is>
      </c>
      <c r="K298" s="35">
        <f>IF($J298="Y","",IF($F298="BW",$I298,$H298*$I298))</f>
        <v/>
      </c>
      <c r="L298" s="35">
        <f>$D298&amp;"|"&amp;$H298</f>
        <v/>
      </c>
      <c r="M298" s="35" t="n"/>
    </row>
    <row r="299" ht="15" customHeight="1" s="22">
      <c r="A299" s="32" t="n">
        <v>46142</v>
      </c>
      <c r="B299" s="33" t="inlineStr">
        <is>
          <t>Thu</t>
        </is>
      </c>
      <c r="C299" s="33" t="inlineStr">
        <is>
          <t>Pull + Arms</t>
        </is>
      </c>
      <c r="D299" s="33" t="inlineStr">
        <is>
          <t>DB Rows</t>
        </is>
      </c>
      <c r="E299" s="33" t="inlineStr">
        <is>
          <t>Dumbbell</t>
        </is>
      </c>
      <c r="F299" s="33" t="inlineStr">
        <is>
          <t>lbs</t>
        </is>
      </c>
      <c r="G299" s="33" t="n">
        <v>2</v>
      </c>
      <c r="H299" s="33" t="n">
        <v>25</v>
      </c>
      <c r="I299" s="33" t="n">
        <v>8</v>
      </c>
      <c r="J299" s="33" t="inlineStr">
        <is>
          <t>N</t>
        </is>
      </c>
      <c r="K299" s="33">
        <f>IF($J299="Y","",IF($F299="BW",$I299,$H299*$I299))</f>
        <v/>
      </c>
      <c r="L299" s="33">
        <f>$D299&amp;"|"&amp;$H299</f>
        <v/>
      </c>
      <c r="M299" s="33" t="n"/>
    </row>
    <row r="300" ht="15" customHeight="1" s="22">
      <c r="A300" s="32" t="n">
        <v>46142</v>
      </c>
      <c r="B300" s="33" t="inlineStr">
        <is>
          <t>Thu</t>
        </is>
      </c>
      <c r="C300" s="33" t="inlineStr">
        <is>
          <t>Pull + Arms</t>
        </is>
      </c>
      <c r="D300" s="33" t="inlineStr">
        <is>
          <t>DB Rows</t>
        </is>
      </c>
      <c r="E300" s="33" t="inlineStr">
        <is>
          <t>Dumbbell</t>
        </is>
      </c>
      <c r="F300" s="33" t="inlineStr">
        <is>
          <t>lbs</t>
        </is>
      </c>
      <c r="G300" s="33" t="n">
        <v>3</v>
      </c>
      <c r="H300" s="33" t="n">
        <v>25</v>
      </c>
      <c r="I300" s="33" t="n">
        <v>8</v>
      </c>
      <c r="J300" s="33" t="inlineStr">
        <is>
          <t>N</t>
        </is>
      </c>
      <c r="K300" s="33">
        <f>IF($J300="Y","",IF($F300="BW",$I300,$H300*$I300))</f>
        <v/>
      </c>
      <c r="L300" s="33">
        <f>$D300&amp;"|"&amp;$H300</f>
        <v/>
      </c>
      <c r="M300" s="33" t="n"/>
    </row>
    <row r="301" ht="15" customHeight="1" s="22">
      <c r="A301" s="32" t="n">
        <v>46142</v>
      </c>
      <c r="B301" s="33" t="inlineStr">
        <is>
          <t>Thu</t>
        </is>
      </c>
      <c r="C301" s="33" t="inlineStr">
        <is>
          <t>Pull + Arms</t>
        </is>
      </c>
      <c r="D301" s="33" t="inlineStr">
        <is>
          <t>DB Rows</t>
        </is>
      </c>
      <c r="E301" s="33" t="inlineStr">
        <is>
          <t>Dumbbell</t>
        </is>
      </c>
      <c r="F301" s="33" t="inlineStr">
        <is>
          <t>lbs</t>
        </is>
      </c>
      <c r="G301" s="33" t="n">
        <v>4</v>
      </c>
      <c r="H301" s="33" t="n">
        <v>30</v>
      </c>
      <c r="I301" s="33" t="n">
        <v>8</v>
      </c>
      <c r="J301" s="33" t="inlineStr">
        <is>
          <t>N</t>
        </is>
      </c>
      <c r="K301" s="33">
        <f>IF($J301="Y","",IF($F301="BW",$I301,$H301*$I301))</f>
        <v/>
      </c>
      <c r="L301" s="33">
        <f>$D301&amp;"|"&amp;$H301</f>
        <v/>
      </c>
      <c r="M301" s="33" t="n"/>
    </row>
    <row r="302" ht="15" customHeight="1" s="22">
      <c r="A302" s="34" t="n">
        <v>46142</v>
      </c>
      <c r="B302" s="35" t="inlineStr">
        <is>
          <t>Thu</t>
        </is>
      </c>
      <c r="C302" s="35" t="inlineStr">
        <is>
          <t>Pull + Arms</t>
        </is>
      </c>
      <c r="D302" s="35" t="inlineStr">
        <is>
          <t>Bicep Curls (DB)</t>
        </is>
      </c>
      <c r="E302" s="35" t="inlineStr">
        <is>
          <t>Dumbbell</t>
        </is>
      </c>
      <c r="F302" s="35" t="inlineStr">
        <is>
          <t>lbs</t>
        </is>
      </c>
      <c r="G302" s="35" t="n">
        <v>1</v>
      </c>
      <c r="H302" s="35" t="n">
        <v>20</v>
      </c>
      <c r="I302" s="35" t="n">
        <v>8</v>
      </c>
      <c r="J302" s="35" t="inlineStr">
        <is>
          <t>Y</t>
        </is>
      </c>
      <c r="K302" s="35">
        <f>IF($J302="Y","",IF($F302="BW",$I302,$H302*$I302))</f>
        <v/>
      </c>
      <c r="L302" s="35">
        <f>$D302&amp;"|"&amp;$H302</f>
        <v/>
      </c>
      <c r="M302" s="35" t="n"/>
    </row>
    <row r="303" ht="15" customHeight="1" s="22">
      <c r="A303" s="32" t="n">
        <v>46142</v>
      </c>
      <c r="B303" s="33" t="inlineStr">
        <is>
          <t>Thu</t>
        </is>
      </c>
      <c r="C303" s="33" t="inlineStr">
        <is>
          <t>Pull + Arms</t>
        </is>
      </c>
      <c r="D303" s="33" t="inlineStr">
        <is>
          <t>Bicep Curls (DB)</t>
        </is>
      </c>
      <c r="E303" s="33" t="inlineStr">
        <is>
          <t>Dumbbell</t>
        </is>
      </c>
      <c r="F303" s="33" t="inlineStr">
        <is>
          <t>lbs</t>
        </is>
      </c>
      <c r="G303" s="33" t="n">
        <v>2</v>
      </c>
      <c r="H303" s="33" t="n">
        <v>25</v>
      </c>
      <c r="I303" s="33" t="n">
        <v>8</v>
      </c>
      <c r="J303" s="33" t="inlineStr">
        <is>
          <t>N</t>
        </is>
      </c>
      <c r="K303" s="33">
        <f>IF($J303="Y","",IF($F303="BW",$I303,$H303*$I303))</f>
        <v/>
      </c>
      <c r="L303" s="33">
        <f>$D303&amp;"|"&amp;$H303</f>
        <v/>
      </c>
      <c r="M303" s="33" t="n"/>
    </row>
    <row r="304" ht="15" customHeight="1" s="22">
      <c r="A304" s="32" t="n">
        <v>46142</v>
      </c>
      <c r="B304" s="33" t="inlineStr">
        <is>
          <t>Thu</t>
        </is>
      </c>
      <c r="C304" s="33" t="inlineStr">
        <is>
          <t>Pull + Arms</t>
        </is>
      </c>
      <c r="D304" s="33" t="inlineStr">
        <is>
          <t>Bicep Curls (DB)</t>
        </is>
      </c>
      <c r="E304" s="33" t="inlineStr">
        <is>
          <t>Dumbbell</t>
        </is>
      </c>
      <c r="F304" s="33" t="inlineStr">
        <is>
          <t>lbs</t>
        </is>
      </c>
      <c r="G304" s="33" t="n">
        <v>3</v>
      </c>
      <c r="H304" s="33" t="n">
        <v>30</v>
      </c>
      <c r="I304" s="33" t="n">
        <v>8</v>
      </c>
      <c r="J304" s="33" t="inlineStr">
        <is>
          <t>N</t>
        </is>
      </c>
      <c r="K304" s="33">
        <f>IF($J304="Y","",IF($F304="BW",$I304,$H304*$I304))</f>
        <v/>
      </c>
      <c r="L304" s="33">
        <f>$D304&amp;"|"&amp;$H304</f>
        <v/>
      </c>
      <c r="M304" s="33" t="n"/>
    </row>
    <row r="305" ht="15" customHeight="1" s="22">
      <c r="A305" s="32" t="n">
        <v>46142</v>
      </c>
      <c r="B305" s="33" t="inlineStr">
        <is>
          <t>Thu</t>
        </is>
      </c>
      <c r="C305" s="33" t="inlineStr">
        <is>
          <t>Pull + Arms</t>
        </is>
      </c>
      <c r="D305" s="33" t="inlineStr">
        <is>
          <t>Bicep Curls (DB)</t>
        </is>
      </c>
      <c r="E305" s="33" t="inlineStr">
        <is>
          <t>Dumbbell</t>
        </is>
      </c>
      <c r="F305" s="33" t="inlineStr">
        <is>
          <t>lbs</t>
        </is>
      </c>
      <c r="G305" s="33" t="n">
        <v>4</v>
      </c>
      <c r="H305" s="33" t="n">
        <v>25</v>
      </c>
      <c r="I305" s="33" t="n">
        <v>8</v>
      </c>
      <c r="J305" s="33" t="inlineStr">
        <is>
          <t>N</t>
        </is>
      </c>
      <c r="K305" s="33">
        <f>IF($J305="Y","",IF($F305="BW",$I305,$H305*$I305))</f>
        <v/>
      </c>
      <c r="L305" s="33">
        <f>$D305&amp;"|"&amp;$H305</f>
        <v/>
      </c>
      <c r="M305" s="33" t="n"/>
    </row>
    <row r="306" ht="15" customHeight="1" s="22">
      <c r="A306" s="32" t="n">
        <v>46142</v>
      </c>
      <c r="B306" s="33" t="inlineStr">
        <is>
          <t>Thu</t>
        </is>
      </c>
      <c r="C306" s="33" t="inlineStr">
        <is>
          <t>Pull + Arms</t>
        </is>
      </c>
      <c r="D306" s="33" t="inlineStr">
        <is>
          <t>Shrugs</t>
        </is>
      </c>
      <c r="E306" s="33" t="inlineStr">
        <is>
          <t>Dumbbell</t>
        </is>
      </c>
      <c r="F306" s="33" t="inlineStr">
        <is>
          <t>lbs</t>
        </is>
      </c>
      <c r="G306" s="33" t="n">
        <v>1</v>
      </c>
      <c r="H306" s="33" t="n">
        <v>35</v>
      </c>
      <c r="I306" s="33" t="n">
        <v>8</v>
      </c>
      <c r="J306" s="33" t="inlineStr">
        <is>
          <t>N</t>
        </is>
      </c>
      <c r="K306" s="33">
        <f>IF($J306="Y","",IF($F306="BW",$I306,$H306*$I306))</f>
        <v/>
      </c>
      <c r="L306" s="33">
        <f>$D306&amp;"|"&amp;$H306</f>
        <v/>
      </c>
      <c r="M306" s="33" t="n"/>
    </row>
    <row r="307" ht="15" customHeight="1" s="22">
      <c r="A307" s="32" t="n">
        <v>46142</v>
      </c>
      <c r="B307" s="33" t="inlineStr">
        <is>
          <t>Thu</t>
        </is>
      </c>
      <c r="C307" s="33" t="inlineStr">
        <is>
          <t>Pull + Arms</t>
        </is>
      </c>
      <c r="D307" s="33" t="inlineStr">
        <is>
          <t>Shrugs</t>
        </is>
      </c>
      <c r="E307" s="33" t="inlineStr">
        <is>
          <t>Dumbbell</t>
        </is>
      </c>
      <c r="F307" s="33" t="inlineStr">
        <is>
          <t>lbs</t>
        </is>
      </c>
      <c r="G307" s="33" t="n">
        <v>2</v>
      </c>
      <c r="H307" s="33" t="n">
        <v>45</v>
      </c>
      <c r="I307" s="33" t="n">
        <v>8</v>
      </c>
      <c r="J307" s="33" t="inlineStr">
        <is>
          <t>N</t>
        </is>
      </c>
      <c r="K307" s="33">
        <f>IF($J307="Y","",IF($F307="BW",$I307,$H307*$I307))</f>
        <v/>
      </c>
      <c r="L307" s="33">
        <f>$D307&amp;"|"&amp;$H307</f>
        <v/>
      </c>
      <c r="M307" s="33" t="n"/>
    </row>
    <row r="308" ht="15" customHeight="1" s="22">
      <c r="A308" s="32" t="n">
        <v>46142</v>
      </c>
      <c r="B308" s="33" t="inlineStr">
        <is>
          <t>Thu</t>
        </is>
      </c>
      <c r="C308" s="33" t="inlineStr">
        <is>
          <t>Pull + Arms</t>
        </is>
      </c>
      <c r="D308" s="33" t="inlineStr">
        <is>
          <t>Shrugs</t>
        </is>
      </c>
      <c r="E308" s="33" t="inlineStr">
        <is>
          <t>Dumbbell</t>
        </is>
      </c>
      <c r="F308" s="33" t="inlineStr">
        <is>
          <t>lbs</t>
        </is>
      </c>
      <c r="G308" s="33" t="n">
        <v>3</v>
      </c>
      <c r="H308" s="33" t="n">
        <v>50</v>
      </c>
      <c r="I308" s="33" t="n">
        <v>8</v>
      </c>
      <c r="J308" s="33" t="inlineStr">
        <is>
          <t>N</t>
        </is>
      </c>
      <c r="K308" s="33">
        <f>IF($J308="Y","",IF($F308="BW",$I308,$H308*$I308))</f>
        <v/>
      </c>
      <c r="L308" s="33">
        <f>$D308&amp;"|"&amp;$H308</f>
        <v/>
      </c>
      <c r="M308" s="33" t="n"/>
    </row>
    <row r="309" ht="15" customHeight="1" s="22">
      <c r="A309" s="34" t="n">
        <v>46145</v>
      </c>
      <c r="B309" s="35" t="inlineStr">
        <is>
          <t>Sun</t>
        </is>
      </c>
      <c r="C309" s="35" t="inlineStr">
        <is>
          <t>Push</t>
        </is>
      </c>
      <c r="D309" s="35" t="inlineStr">
        <is>
          <t>Bench Press (Smith)</t>
        </is>
      </c>
      <c r="E309" s="35" t="inlineStr">
        <is>
          <t>Smith</t>
        </is>
      </c>
      <c r="F309" s="35" t="inlineStr">
        <is>
          <t>lbs</t>
        </is>
      </c>
      <c r="G309" s="35" t="n">
        <v>1</v>
      </c>
      <c r="H309" s="35" t="n">
        <v>40</v>
      </c>
      <c r="I309" s="35" t="n">
        <v>8</v>
      </c>
      <c r="J309" s="35" t="inlineStr">
        <is>
          <t>Y</t>
        </is>
      </c>
      <c r="K309" s="35">
        <f>IF($J309="Y","",IF($F309="BW",$I309,$H309*$I309))</f>
        <v/>
      </c>
      <c r="L309" s="35">
        <f>$D309&amp;"|"&amp;$H309</f>
        <v/>
      </c>
      <c r="M309" s="35" t="n"/>
    </row>
    <row r="310" ht="15" customHeight="1" s="22">
      <c r="A310" s="32" t="n">
        <v>46145</v>
      </c>
      <c r="B310" s="33" t="inlineStr">
        <is>
          <t>Sun</t>
        </is>
      </c>
      <c r="C310" s="33" t="inlineStr">
        <is>
          <t>Push</t>
        </is>
      </c>
      <c r="D310" s="33" t="inlineStr">
        <is>
          <t>Bench Press (Smith)</t>
        </is>
      </c>
      <c r="E310" s="33" t="inlineStr">
        <is>
          <t>Smith</t>
        </is>
      </c>
      <c r="F310" s="33" t="inlineStr">
        <is>
          <t>lbs</t>
        </is>
      </c>
      <c r="G310" s="33" t="n">
        <v>2</v>
      </c>
      <c r="H310" s="33" t="n">
        <v>65</v>
      </c>
      <c r="I310" s="33" t="n">
        <v>8</v>
      </c>
      <c r="J310" s="33" t="inlineStr">
        <is>
          <t>N</t>
        </is>
      </c>
      <c r="K310" s="33">
        <f>IF($J310="Y","",IF($F310="BW",$I310,$H310*$I310))</f>
        <v/>
      </c>
      <c r="L310" s="33">
        <f>$D310&amp;"|"&amp;$H310</f>
        <v/>
      </c>
      <c r="M310" s="33" t="n"/>
    </row>
    <row r="311" ht="15" customHeight="1" s="22">
      <c r="A311" s="32" t="n">
        <v>46145</v>
      </c>
      <c r="B311" s="33" t="inlineStr">
        <is>
          <t>Sun</t>
        </is>
      </c>
      <c r="C311" s="33" t="inlineStr">
        <is>
          <t>Push</t>
        </is>
      </c>
      <c r="D311" s="33" t="inlineStr">
        <is>
          <t>Bench Press (Smith)</t>
        </is>
      </c>
      <c r="E311" s="33" t="inlineStr">
        <is>
          <t>Smith</t>
        </is>
      </c>
      <c r="F311" s="33" t="inlineStr">
        <is>
          <t>lbs</t>
        </is>
      </c>
      <c r="G311" s="33" t="n">
        <v>3</v>
      </c>
      <c r="H311" s="33" t="n">
        <v>80</v>
      </c>
      <c r="I311" s="33" t="n">
        <v>8</v>
      </c>
      <c r="J311" s="33" t="inlineStr">
        <is>
          <t>N</t>
        </is>
      </c>
      <c r="K311" s="33">
        <f>IF($J311="Y","",IF($F311="BW",$I311,$H311*$I311))</f>
        <v/>
      </c>
      <c r="L311" s="33">
        <f>$D311&amp;"|"&amp;$H311</f>
        <v/>
      </c>
      <c r="M311" s="33" t="n"/>
    </row>
    <row r="312" ht="15" customHeight="1" s="22">
      <c r="A312" s="32" t="n">
        <v>46145</v>
      </c>
      <c r="B312" s="33" t="inlineStr">
        <is>
          <t>Sun</t>
        </is>
      </c>
      <c r="C312" s="33" t="inlineStr">
        <is>
          <t>Push</t>
        </is>
      </c>
      <c r="D312" s="33" t="inlineStr">
        <is>
          <t>Bench Press (Smith)</t>
        </is>
      </c>
      <c r="E312" s="33" t="inlineStr">
        <is>
          <t>Smith</t>
        </is>
      </c>
      <c r="F312" s="33" t="inlineStr">
        <is>
          <t>lbs</t>
        </is>
      </c>
      <c r="G312" s="33" t="n">
        <v>4</v>
      </c>
      <c r="H312" s="33" t="n">
        <v>90</v>
      </c>
      <c r="I312" s="33" t="n">
        <v>8</v>
      </c>
      <c r="J312" s="33" t="inlineStr">
        <is>
          <t>N</t>
        </is>
      </c>
      <c r="K312" s="33">
        <f>IF($J312="Y","",IF($F312="BW",$I312,$H312*$I312))</f>
        <v/>
      </c>
      <c r="L312" s="33">
        <f>$D312&amp;"|"&amp;$H312</f>
        <v/>
      </c>
      <c r="M312" s="33" t="n"/>
    </row>
    <row r="313" ht="15" customHeight="1" s="22">
      <c r="A313" s="34" t="n">
        <v>46145</v>
      </c>
      <c r="B313" s="35" t="inlineStr">
        <is>
          <t>Sun</t>
        </is>
      </c>
      <c r="C313" s="35" t="inlineStr">
        <is>
          <t>Push</t>
        </is>
      </c>
      <c r="D313" s="35" t="inlineStr">
        <is>
          <t>Shoulder Press</t>
        </is>
      </c>
      <c r="E313" s="35" t="inlineStr">
        <is>
          <t>Dumbbell</t>
        </is>
      </c>
      <c r="F313" s="35" t="inlineStr">
        <is>
          <t>lbs</t>
        </is>
      </c>
      <c r="G313" s="35" t="n">
        <v>1</v>
      </c>
      <c r="H313" s="35" t="n">
        <v>15</v>
      </c>
      <c r="I313" s="35" t="n">
        <v>8</v>
      </c>
      <c r="J313" s="35" t="inlineStr">
        <is>
          <t>Y</t>
        </is>
      </c>
      <c r="K313" s="35">
        <f>IF($J313="Y","",IF($F313="BW",$I313,$H313*$I313))</f>
        <v/>
      </c>
      <c r="L313" s="35">
        <f>$D313&amp;"|"&amp;$H313</f>
        <v/>
      </c>
      <c r="M313" s="35" t="n"/>
    </row>
    <row r="314" ht="15" customHeight="1" s="22">
      <c r="A314" s="32" t="n">
        <v>46145</v>
      </c>
      <c r="B314" s="33" t="inlineStr">
        <is>
          <t>Sun</t>
        </is>
      </c>
      <c r="C314" s="33" t="inlineStr">
        <is>
          <t>Push</t>
        </is>
      </c>
      <c r="D314" s="33" t="inlineStr">
        <is>
          <t>Shoulder Press</t>
        </is>
      </c>
      <c r="E314" s="33" t="inlineStr">
        <is>
          <t>Dumbbell</t>
        </is>
      </c>
      <c r="F314" s="33" t="inlineStr">
        <is>
          <t>lbs</t>
        </is>
      </c>
      <c r="G314" s="33" t="n">
        <v>2</v>
      </c>
      <c r="H314" s="33" t="n">
        <v>25</v>
      </c>
      <c r="I314" s="33" t="n">
        <v>8</v>
      </c>
      <c r="J314" s="33" t="inlineStr">
        <is>
          <t>N</t>
        </is>
      </c>
      <c r="K314" s="33">
        <f>IF($J314="Y","",IF($F314="BW",$I314,$H314*$I314))</f>
        <v/>
      </c>
      <c r="L314" s="33">
        <f>$D314&amp;"|"&amp;$H314</f>
        <v/>
      </c>
      <c r="M314" s="33" t="n"/>
    </row>
    <row r="315" ht="15" customHeight="1" s="22">
      <c r="A315" s="32" t="n">
        <v>46145</v>
      </c>
      <c r="B315" s="33" t="inlineStr">
        <is>
          <t>Sun</t>
        </is>
      </c>
      <c r="C315" s="33" t="inlineStr">
        <is>
          <t>Push</t>
        </is>
      </c>
      <c r="D315" s="33" t="inlineStr">
        <is>
          <t>Shoulder Press</t>
        </is>
      </c>
      <c r="E315" s="33" t="inlineStr">
        <is>
          <t>Dumbbell</t>
        </is>
      </c>
      <c r="F315" s="33" t="inlineStr">
        <is>
          <t>lbs</t>
        </is>
      </c>
      <c r="G315" s="33" t="n">
        <v>3</v>
      </c>
      <c r="H315" s="33" t="n">
        <v>30</v>
      </c>
      <c r="I315" s="33" t="n">
        <v>8</v>
      </c>
      <c r="J315" s="33" t="inlineStr">
        <is>
          <t>N</t>
        </is>
      </c>
      <c r="K315" s="33">
        <f>IF($J315="Y","",IF($F315="BW",$I315,$H315*$I315))</f>
        <v/>
      </c>
      <c r="L315" s="33">
        <f>$D315&amp;"|"&amp;$H315</f>
        <v/>
      </c>
      <c r="M315" s="33" t="n"/>
    </row>
    <row r="316" ht="15" customHeight="1" s="22">
      <c r="A316" s="32" t="n">
        <v>46145</v>
      </c>
      <c r="B316" s="33" t="inlineStr">
        <is>
          <t>Sun</t>
        </is>
      </c>
      <c r="C316" s="33" t="inlineStr">
        <is>
          <t>Push</t>
        </is>
      </c>
      <c r="D316" s="33" t="inlineStr">
        <is>
          <t>Shoulder Press</t>
        </is>
      </c>
      <c r="E316" s="33" t="inlineStr">
        <is>
          <t>Dumbbell</t>
        </is>
      </c>
      <c r="F316" s="33" t="inlineStr">
        <is>
          <t>lbs</t>
        </is>
      </c>
      <c r="G316" s="33" t="n">
        <v>4</v>
      </c>
      <c r="H316" s="33" t="n">
        <v>30</v>
      </c>
      <c r="I316" s="33" t="n">
        <v>8</v>
      </c>
      <c r="J316" s="33" t="inlineStr">
        <is>
          <t>N</t>
        </is>
      </c>
      <c r="K316" s="33">
        <f>IF($J316="Y","",IF($F316="BW",$I316,$H316*$I316))</f>
        <v/>
      </c>
      <c r="L316" s="33">
        <f>$D316&amp;"|"&amp;$H316</f>
        <v/>
      </c>
      <c r="M316" s="33" t="n"/>
    </row>
    <row r="317" ht="15" customHeight="1" s="22">
      <c r="A317" s="34" t="n">
        <v>46145</v>
      </c>
      <c r="B317" s="35" t="inlineStr">
        <is>
          <t>Sun</t>
        </is>
      </c>
      <c r="C317" s="35" t="inlineStr">
        <is>
          <t>Push</t>
        </is>
      </c>
      <c r="D317" s="35" t="inlineStr">
        <is>
          <t>Tricep Ext Overhead</t>
        </is>
      </c>
      <c r="E317" s="35" t="inlineStr">
        <is>
          <t>Dumbbell</t>
        </is>
      </c>
      <c r="F317" s="35" t="inlineStr">
        <is>
          <t>lbs</t>
        </is>
      </c>
      <c r="G317" s="35" t="n">
        <v>1</v>
      </c>
      <c r="H317" s="35" t="n">
        <v>20</v>
      </c>
      <c r="I317" s="35" t="n">
        <v>8</v>
      </c>
      <c r="J317" s="35" t="inlineStr">
        <is>
          <t>Y</t>
        </is>
      </c>
      <c r="K317" s="35">
        <f>IF($J317="Y","",IF($F317="BW",$I317,$H317*$I317))</f>
        <v/>
      </c>
      <c r="L317" s="35">
        <f>$D317&amp;"|"&amp;$H317</f>
        <v/>
      </c>
      <c r="M317" s="35" t="n"/>
    </row>
    <row r="318" ht="15" customHeight="1" s="22">
      <c r="A318" s="32" t="n">
        <v>46145</v>
      </c>
      <c r="B318" s="33" t="inlineStr">
        <is>
          <t>Sun</t>
        </is>
      </c>
      <c r="C318" s="33" t="inlineStr">
        <is>
          <t>Push</t>
        </is>
      </c>
      <c r="D318" s="33" t="inlineStr">
        <is>
          <t>Tricep Ext Overhead</t>
        </is>
      </c>
      <c r="E318" s="33" t="inlineStr">
        <is>
          <t>Dumbbell</t>
        </is>
      </c>
      <c r="F318" s="33" t="inlineStr">
        <is>
          <t>lbs</t>
        </is>
      </c>
      <c r="G318" s="33" t="n">
        <v>2</v>
      </c>
      <c r="H318" s="33" t="n">
        <v>40</v>
      </c>
      <c r="I318" s="33" t="n">
        <v>8</v>
      </c>
      <c r="J318" s="33" t="inlineStr">
        <is>
          <t>N</t>
        </is>
      </c>
      <c r="K318" s="33">
        <f>IF($J318="Y","",IF($F318="BW",$I318,$H318*$I318))</f>
        <v/>
      </c>
      <c r="L318" s="33">
        <f>$D318&amp;"|"&amp;$H318</f>
        <v/>
      </c>
      <c r="M318" s="33" t="n"/>
    </row>
    <row r="319" ht="15" customHeight="1" s="22">
      <c r="A319" s="32" t="n">
        <v>46145</v>
      </c>
      <c r="B319" s="33" t="inlineStr">
        <is>
          <t>Sun</t>
        </is>
      </c>
      <c r="C319" s="33" t="inlineStr">
        <is>
          <t>Push</t>
        </is>
      </c>
      <c r="D319" s="33" t="inlineStr">
        <is>
          <t>Tricep Ext Overhead</t>
        </is>
      </c>
      <c r="E319" s="33" t="inlineStr">
        <is>
          <t>Dumbbell</t>
        </is>
      </c>
      <c r="F319" s="33" t="inlineStr">
        <is>
          <t>lbs</t>
        </is>
      </c>
      <c r="G319" s="33" t="n">
        <v>3</v>
      </c>
      <c r="H319" s="33" t="n">
        <v>40</v>
      </c>
      <c r="I319" s="33" t="n">
        <v>8</v>
      </c>
      <c r="J319" s="33" t="inlineStr">
        <is>
          <t>N</t>
        </is>
      </c>
      <c r="K319" s="33">
        <f>IF($J319="Y","",IF($F319="BW",$I319,$H319*$I319))</f>
        <v/>
      </c>
      <c r="L319" s="33">
        <f>$D319&amp;"|"&amp;$H319</f>
        <v/>
      </c>
      <c r="M319" s="33" t="n"/>
    </row>
    <row r="320" ht="15" customHeight="1" s="22">
      <c r="A320" s="32" t="n">
        <v>46145</v>
      </c>
      <c r="B320" s="33" t="inlineStr">
        <is>
          <t>Sun</t>
        </is>
      </c>
      <c r="C320" s="33" t="inlineStr">
        <is>
          <t>Push</t>
        </is>
      </c>
      <c r="D320" s="33" t="inlineStr">
        <is>
          <t>Tricep Ext Overhead</t>
        </is>
      </c>
      <c r="E320" s="33" t="inlineStr">
        <is>
          <t>Dumbbell</t>
        </is>
      </c>
      <c r="F320" s="33" t="inlineStr">
        <is>
          <t>lbs</t>
        </is>
      </c>
      <c r="G320" s="33" t="n">
        <v>4</v>
      </c>
      <c r="H320" s="33" t="n">
        <v>45</v>
      </c>
      <c r="I320" s="33" t="n">
        <v>8</v>
      </c>
      <c r="J320" s="33" t="inlineStr">
        <is>
          <t>N</t>
        </is>
      </c>
      <c r="K320" s="33">
        <f>IF($J320="Y","",IF($F320="BW",$I320,$H320*$I320))</f>
        <v/>
      </c>
      <c r="L320" s="33">
        <f>$D320&amp;"|"&amp;$H320</f>
        <v/>
      </c>
      <c r="M320" s="33" t="n"/>
    </row>
    <row r="321" ht="15" customHeight="1" s="22">
      <c r="A321" s="34" t="n">
        <v>46145</v>
      </c>
      <c r="B321" s="35" t="inlineStr">
        <is>
          <t>Sun</t>
        </is>
      </c>
      <c r="C321" s="35" t="inlineStr">
        <is>
          <t>Push</t>
        </is>
      </c>
      <c r="D321" s="35" t="inlineStr">
        <is>
          <t>Incline Bench (DB)</t>
        </is>
      </c>
      <c r="E321" s="35" t="inlineStr">
        <is>
          <t>Dumbbell</t>
        </is>
      </c>
      <c r="F321" s="35" t="inlineStr">
        <is>
          <t>lbs</t>
        </is>
      </c>
      <c r="G321" s="35" t="n">
        <v>1</v>
      </c>
      <c r="H321" s="35" t="n">
        <v>25</v>
      </c>
      <c r="I321" s="35" t="n">
        <v>8</v>
      </c>
      <c r="J321" s="35" t="inlineStr">
        <is>
          <t>Y</t>
        </is>
      </c>
      <c r="K321" s="35">
        <f>IF($J321="Y","",IF($F321="BW",$I321,$H321*$I321))</f>
        <v/>
      </c>
      <c r="L321" s="35">
        <f>$D321&amp;"|"&amp;$H321</f>
        <v/>
      </c>
      <c r="M321" s="35" t="n"/>
    </row>
    <row r="322" ht="15" customHeight="1" s="22">
      <c r="A322" s="32" t="n">
        <v>46145</v>
      </c>
      <c r="B322" s="33" t="inlineStr">
        <is>
          <t>Sun</t>
        </is>
      </c>
      <c r="C322" s="33" t="inlineStr">
        <is>
          <t>Push</t>
        </is>
      </c>
      <c r="D322" s="33" t="inlineStr">
        <is>
          <t>Incline Bench (DB)</t>
        </is>
      </c>
      <c r="E322" s="33" t="inlineStr">
        <is>
          <t>Dumbbell</t>
        </is>
      </c>
      <c r="F322" s="33" t="inlineStr">
        <is>
          <t>lbs</t>
        </is>
      </c>
      <c r="G322" s="33" t="n">
        <v>2</v>
      </c>
      <c r="H322" s="33" t="n">
        <v>35</v>
      </c>
      <c r="I322" s="33" t="n">
        <v>8</v>
      </c>
      <c r="J322" s="33" t="inlineStr">
        <is>
          <t>N</t>
        </is>
      </c>
      <c r="K322" s="33">
        <f>IF($J322="Y","",IF($F322="BW",$I322,$H322*$I322))</f>
        <v/>
      </c>
      <c r="L322" s="33">
        <f>$D322&amp;"|"&amp;$H322</f>
        <v/>
      </c>
      <c r="M322" s="33" t="n"/>
    </row>
    <row r="323" ht="15" customHeight="1" s="22">
      <c r="A323" s="32" t="n">
        <v>46145</v>
      </c>
      <c r="B323" s="33" t="inlineStr">
        <is>
          <t>Sun</t>
        </is>
      </c>
      <c r="C323" s="33" t="inlineStr">
        <is>
          <t>Push</t>
        </is>
      </c>
      <c r="D323" s="33" t="inlineStr">
        <is>
          <t>Incline Bench (DB)</t>
        </is>
      </c>
      <c r="E323" s="33" t="inlineStr">
        <is>
          <t>Dumbbell</t>
        </is>
      </c>
      <c r="F323" s="33" t="inlineStr">
        <is>
          <t>lbs</t>
        </is>
      </c>
      <c r="G323" s="33" t="n">
        <v>3</v>
      </c>
      <c r="H323" s="33" t="n">
        <v>40</v>
      </c>
      <c r="I323" s="33" t="n">
        <v>8</v>
      </c>
      <c r="J323" s="33" t="inlineStr">
        <is>
          <t>N</t>
        </is>
      </c>
      <c r="K323" s="33">
        <f>IF($J323="Y","",IF($F323="BW",$I323,$H323*$I323))</f>
        <v/>
      </c>
      <c r="L323" s="33">
        <f>$D323&amp;"|"&amp;$H323</f>
        <v/>
      </c>
      <c r="M323" s="33" t="n"/>
    </row>
    <row r="324" ht="15" customHeight="1" s="22">
      <c r="A324" s="32" t="n">
        <v>46145</v>
      </c>
      <c r="B324" s="33" t="inlineStr">
        <is>
          <t>Sun</t>
        </is>
      </c>
      <c r="C324" s="33" t="inlineStr">
        <is>
          <t>Push</t>
        </is>
      </c>
      <c r="D324" s="33" t="inlineStr">
        <is>
          <t>Incline Bench (DB)</t>
        </is>
      </c>
      <c r="E324" s="33" t="inlineStr">
        <is>
          <t>Dumbbell</t>
        </is>
      </c>
      <c r="F324" s="33" t="inlineStr">
        <is>
          <t>lbs</t>
        </is>
      </c>
      <c r="G324" s="33" t="n">
        <v>4</v>
      </c>
      <c r="H324" s="33" t="n">
        <v>40</v>
      </c>
      <c r="I324" s="33" t="n">
        <v>8</v>
      </c>
      <c r="J324" s="33" t="inlineStr">
        <is>
          <t>N</t>
        </is>
      </c>
      <c r="K324" s="33">
        <f>IF($J324="Y","",IF($F324="BW",$I324,$H324*$I324))</f>
        <v/>
      </c>
      <c r="L324" s="33">
        <f>$D324&amp;"|"&amp;$H324</f>
        <v/>
      </c>
      <c r="M324" s="33" t="n"/>
    </row>
    <row r="325" ht="15" customHeight="1" s="22">
      <c r="A325" s="34" t="n">
        <v>46151</v>
      </c>
      <c r="B325" s="35" t="inlineStr">
        <is>
          <t>Sat</t>
        </is>
      </c>
      <c r="C325" s="35" t="inlineStr">
        <is>
          <t>Pull</t>
        </is>
      </c>
      <c r="D325" s="35" t="inlineStr">
        <is>
          <t>Single Arm Lat Pulldown</t>
        </is>
      </c>
      <c r="E325" s="35" t="inlineStr">
        <is>
          <t>Cable</t>
        </is>
      </c>
      <c r="F325" s="35" t="inlineStr">
        <is>
          <t>kg</t>
        </is>
      </c>
      <c r="G325" s="35" t="n">
        <v>1</v>
      </c>
      <c r="H325" s="35" t="n">
        <v>12.5</v>
      </c>
      <c r="I325" s="35" t="n">
        <v>8</v>
      </c>
      <c r="J325" s="35" t="inlineStr">
        <is>
          <t>Y</t>
        </is>
      </c>
      <c r="K325" s="35">
        <f>IF($J325="Y","",IF($F325="BW",$I325,$H325*$I325))</f>
        <v/>
      </c>
      <c r="L325" s="35">
        <f>$D325&amp;"|"&amp;$H325</f>
        <v/>
      </c>
      <c r="M325" s="35" t="n"/>
    </row>
    <row r="326" ht="15" customHeight="1" s="22">
      <c r="A326" s="32" t="n">
        <v>46151</v>
      </c>
      <c r="B326" s="33" t="inlineStr">
        <is>
          <t>Sat</t>
        </is>
      </c>
      <c r="C326" s="33" t="inlineStr">
        <is>
          <t>Pull</t>
        </is>
      </c>
      <c r="D326" s="33" t="inlineStr">
        <is>
          <t>Single Arm Lat Pulldown</t>
        </is>
      </c>
      <c r="E326" s="33" t="inlineStr">
        <is>
          <t>Cable</t>
        </is>
      </c>
      <c r="F326" s="33" t="inlineStr">
        <is>
          <t>kg</t>
        </is>
      </c>
      <c r="G326" s="33" t="n">
        <v>2</v>
      </c>
      <c r="H326" s="33" t="n">
        <v>17.5</v>
      </c>
      <c r="I326" s="33" t="n">
        <v>8</v>
      </c>
      <c r="J326" s="33" t="inlineStr">
        <is>
          <t>N</t>
        </is>
      </c>
      <c r="K326" s="33">
        <f>IF($J326="Y","",IF($F326="BW",$I326,$H326*$I326))</f>
        <v/>
      </c>
      <c r="L326" s="33">
        <f>$D326&amp;"|"&amp;$H326</f>
        <v/>
      </c>
      <c r="M326" s="33" t="n"/>
    </row>
    <row r="327" ht="15" customHeight="1" s="22">
      <c r="A327" s="32" t="n">
        <v>46151</v>
      </c>
      <c r="B327" s="33" t="inlineStr">
        <is>
          <t>Sat</t>
        </is>
      </c>
      <c r="C327" s="33" t="inlineStr">
        <is>
          <t>Pull</t>
        </is>
      </c>
      <c r="D327" s="33" t="inlineStr">
        <is>
          <t>Single Arm Lat Pulldown</t>
        </is>
      </c>
      <c r="E327" s="33" t="inlineStr">
        <is>
          <t>Cable</t>
        </is>
      </c>
      <c r="F327" s="33" t="inlineStr">
        <is>
          <t>kg</t>
        </is>
      </c>
      <c r="G327" s="33" t="n">
        <v>3</v>
      </c>
      <c r="H327" s="33" t="n">
        <v>22.5</v>
      </c>
      <c r="I327" s="33" t="n">
        <v>8</v>
      </c>
      <c r="J327" s="33" t="inlineStr">
        <is>
          <t>N</t>
        </is>
      </c>
      <c r="K327" s="33">
        <f>IF($J327="Y","",IF($F327="BW",$I327,$H327*$I327))</f>
        <v/>
      </c>
      <c r="L327" s="33">
        <f>$D327&amp;"|"&amp;$H327</f>
        <v/>
      </c>
      <c r="M327" s="33" t="n"/>
    </row>
    <row r="328" ht="15" customHeight="1" s="22">
      <c r="A328" s="32" t="n">
        <v>46151</v>
      </c>
      <c r="B328" s="33" t="inlineStr">
        <is>
          <t>Sat</t>
        </is>
      </c>
      <c r="C328" s="33" t="inlineStr">
        <is>
          <t>Pull</t>
        </is>
      </c>
      <c r="D328" s="33" t="inlineStr">
        <is>
          <t>Single Arm Lat Pulldown</t>
        </is>
      </c>
      <c r="E328" s="33" t="inlineStr">
        <is>
          <t>Cable</t>
        </is>
      </c>
      <c r="F328" s="33" t="inlineStr">
        <is>
          <t>kg</t>
        </is>
      </c>
      <c r="G328" s="33" t="n">
        <v>4</v>
      </c>
      <c r="H328" s="33" t="n">
        <v>22.5</v>
      </c>
      <c r="I328" s="33" t="n">
        <v>8</v>
      </c>
      <c r="J328" s="33" t="inlineStr">
        <is>
          <t>N</t>
        </is>
      </c>
      <c r="K328" s="33">
        <f>IF($J328="Y","",IF($F328="BW",$I328,$H328*$I328))</f>
        <v/>
      </c>
      <c r="L328" s="33">
        <f>$D328&amp;"|"&amp;$H328</f>
        <v/>
      </c>
      <c r="M328" s="33" t="n"/>
    </row>
    <row r="329" ht="15" customHeight="1" s="22">
      <c r="A329" s="34" t="n">
        <v>46151</v>
      </c>
      <c r="B329" s="35" t="inlineStr">
        <is>
          <t>Sat</t>
        </is>
      </c>
      <c r="C329" s="35" t="inlineStr">
        <is>
          <t>Pull</t>
        </is>
      </c>
      <c r="D329" s="35" t="inlineStr">
        <is>
          <t>Smith Rows</t>
        </is>
      </c>
      <c r="E329" s="35" t="inlineStr">
        <is>
          <t>Smith</t>
        </is>
      </c>
      <c r="F329" s="35" t="inlineStr">
        <is>
          <t>lbs</t>
        </is>
      </c>
      <c r="G329" s="35" t="n">
        <v>1</v>
      </c>
      <c r="H329" s="35" t="n">
        <v>25</v>
      </c>
      <c r="I329" s="35" t="n">
        <v>8</v>
      </c>
      <c r="J329" s="35" t="inlineStr">
        <is>
          <t>Y</t>
        </is>
      </c>
      <c r="K329" s="35">
        <f>IF($J329="Y","",IF($F329="BW",$I329,$H329*$I329))</f>
        <v/>
      </c>
      <c r="L329" s="35">
        <f>$D329&amp;"|"&amp;$H329</f>
        <v/>
      </c>
      <c r="M329" s="35" t="n"/>
    </row>
    <row r="330" ht="15" customHeight="1" s="22">
      <c r="A330" s="32" t="n">
        <v>46151</v>
      </c>
      <c r="B330" s="33" t="inlineStr">
        <is>
          <t>Sat</t>
        </is>
      </c>
      <c r="C330" s="33" t="inlineStr">
        <is>
          <t>Pull</t>
        </is>
      </c>
      <c r="D330" s="33" t="inlineStr">
        <is>
          <t>Smith Rows</t>
        </is>
      </c>
      <c r="E330" s="33" t="inlineStr">
        <is>
          <t>Smith</t>
        </is>
      </c>
      <c r="F330" s="33" t="inlineStr">
        <is>
          <t>lbs</t>
        </is>
      </c>
      <c r="G330" s="33" t="n">
        <v>2</v>
      </c>
      <c r="H330" s="33" t="n">
        <v>50</v>
      </c>
      <c r="I330" s="33" t="n">
        <v>8</v>
      </c>
      <c r="J330" s="33" t="inlineStr">
        <is>
          <t>N</t>
        </is>
      </c>
      <c r="K330" s="33">
        <f>IF($J330="Y","",IF($F330="BW",$I330,$H330*$I330))</f>
        <v/>
      </c>
      <c r="L330" s="33">
        <f>$D330&amp;"|"&amp;$H330</f>
        <v/>
      </c>
      <c r="M330" s="33" t="n"/>
    </row>
    <row r="331" ht="15" customHeight="1" s="22">
      <c r="A331" s="32" t="n">
        <v>46151</v>
      </c>
      <c r="B331" s="33" t="inlineStr">
        <is>
          <t>Sat</t>
        </is>
      </c>
      <c r="C331" s="33" t="inlineStr">
        <is>
          <t>Pull</t>
        </is>
      </c>
      <c r="D331" s="33" t="inlineStr">
        <is>
          <t>Smith Rows</t>
        </is>
      </c>
      <c r="E331" s="33" t="inlineStr">
        <is>
          <t>Smith</t>
        </is>
      </c>
      <c r="F331" s="33" t="inlineStr">
        <is>
          <t>lbs</t>
        </is>
      </c>
      <c r="G331" s="33" t="n">
        <v>3</v>
      </c>
      <c r="H331" s="33" t="n">
        <v>65</v>
      </c>
      <c r="I331" s="33" t="n">
        <v>8</v>
      </c>
      <c r="J331" s="33" t="inlineStr">
        <is>
          <t>N</t>
        </is>
      </c>
      <c r="K331" s="33">
        <f>IF($J331="Y","",IF($F331="BW",$I331,$H331*$I331))</f>
        <v/>
      </c>
      <c r="L331" s="33">
        <f>$D331&amp;"|"&amp;$H331</f>
        <v/>
      </c>
      <c r="M331" s="33" t="n"/>
    </row>
    <row r="332" ht="15" customHeight="1" s="22">
      <c r="A332" s="32" t="n">
        <v>46151</v>
      </c>
      <c r="B332" s="33" t="inlineStr">
        <is>
          <t>Sat</t>
        </is>
      </c>
      <c r="C332" s="33" t="inlineStr">
        <is>
          <t>Pull</t>
        </is>
      </c>
      <c r="D332" s="33" t="inlineStr">
        <is>
          <t>Smith Rows</t>
        </is>
      </c>
      <c r="E332" s="33" t="inlineStr">
        <is>
          <t>Smith</t>
        </is>
      </c>
      <c r="F332" s="33" t="inlineStr">
        <is>
          <t>lbs</t>
        </is>
      </c>
      <c r="G332" s="33" t="n">
        <v>4</v>
      </c>
      <c r="H332" s="33" t="n">
        <v>65</v>
      </c>
      <c r="I332" s="33" t="n">
        <v>8</v>
      </c>
      <c r="J332" s="33" t="inlineStr">
        <is>
          <t>N</t>
        </is>
      </c>
      <c r="K332" s="33">
        <f>IF($J332="Y","",IF($F332="BW",$I332,$H332*$I332))</f>
        <v/>
      </c>
      <c r="L332" s="33">
        <f>$D332&amp;"|"&amp;$H332</f>
        <v/>
      </c>
      <c r="M332" s="33" t="n"/>
    </row>
    <row r="333" ht="15" customHeight="1" s="22">
      <c r="A333" s="34" t="n">
        <v>46151</v>
      </c>
      <c r="B333" s="35" t="inlineStr">
        <is>
          <t>Sat</t>
        </is>
      </c>
      <c r="C333" s="35" t="inlineStr">
        <is>
          <t>Pull</t>
        </is>
      </c>
      <c r="D333" s="35" t="inlineStr">
        <is>
          <t>Shrugs</t>
        </is>
      </c>
      <c r="E333" s="35" t="inlineStr">
        <is>
          <t>Dumbbell</t>
        </is>
      </c>
      <c r="F333" s="35" t="inlineStr">
        <is>
          <t>lbs</t>
        </is>
      </c>
      <c r="G333" s="35" t="n">
        <v>1</v>
      </c>
      <c r="H333" s="35" t="n">
        <v>20</v>
      </c>
      <c r="I333" s="35" t="n">
        <v>8</v>
      </c>
      <c r="J333" s="35" t="inlineStr">
        <is>
          <t>Y</t>
        </is>
      </c>
      <c r="K333" s="35">
        <f>IF($J333="Y","",IF($F333="BW",$I333,$H333*$I333))</f>
        <v/>
      </c>
      <c r="L333" s="35">
        <f>$D333&amp;"|"&amp;$H333</f>
        <v/>
      </c>
      <c r="M333" s="35" t="n"/>
    </row>
    <row r="334" ht="15" customHeight="1" s="22">
      <c r="A334" s="32" t="n">
        <v>46151</v>
      </c>
      <c r="B334" s="33" t="inlineStr">
        <is>
          <t>Sat</t>
        </is>
      </c>
      <c r="C334" s="33" t="inlineStr">
        <is>
          <t>Pull</t>
        </is>
      </c>
      <c r="D334" s="33" t="inlineStr">
        <is>
          <t>Shrugs</t>
        </is>
      </c>
      <c r="E334" s="33" t="inlineStr">
        <is>
          <t>Dumbbell</t>
        </is>
      </c>
      <c r="F334" s="33" t="inlineStr">
        <is>
          <t>lbs</t>
        </is>
      </c>
      <c r="G334" s="33" t="n">
        <v>2</v>
      </c>
      <c r="H334" s="33" t="n">
        <v>40</v>
      </c>
      <c r="I334" s="33" t="n">
        <v>8</v>
      </c>
      <c r="J334" s="33" t="inlineStr">
        <is>
          <t>N</t>
        </is>
      </c>
      <c r="K334" s="33">
        <f>IF($J334="Y","",IF($F334="BW",$I334,$H334*$I334))</f>
        <v/>
      </c>
      <c r="L334" s="33">
        <f>$D334&amp;"|"&amp;$H334</f>
        <v/>
      </c>
      <c r="M334" s="33" t="n"/>
    </row>
    <row r="335" ht="15" customHeight="1" s="22">
      <c r="A335" s="32" t="n">
        <v>46151</v>
      </c>
      <c r="B335" s="33" t="inlineStr">
        <is>
          <t>Sat</t>
        </is>
      </c>
      <c r="C335" s="33" t="inlineStr">
        <is>
          <t>Pull</t>
        </is>
      </c>
      <c r="D335" s="33" t="inlineStr">
        <is>
          <t>Shrugs</t>
        </is>
      </c>
      <c r="E335" s="33" t="inlineStr">
        <is>
          <t>Dumbbell</t>
        </is>
      </c>
      <c r="F335" s="33" t="inlineStr">
        <is>
          <t>lbs</t>
        </is>
      </c>
      <c r="G335" s="33" t="n">
        <v>3</v>
      </c>
      <c r="H335" s="33" t="n">
        <v>50</v>
      </c>
      <c r="I335" s="33" t="n">
        <v>8</v>
      </c>
      <c r="J335" s="33" t="inlineStr">
        <is>
          <t>N</t>
        </is>
      </c>
      <c r="K335" s="33">
        <f>IF($J335="Y","",IF($F335="BW",$I335,$H335*$I335))</f>
        <v/>
      </c>
      <c r="L335" s="33">
        <f>$D335&amp;"|"&amp;$H335</f>
        <v/>
      </c>
      <c r="M335" s="33" t="n"/>
    </row>
    <row r="336" ht="15" customHeight="1" s="22">
      <c r="A336" s="32" t="n">
        <v>46151</v>
      </c>
      <c r="B336" s="33" t="inlineStr">
        <is>
          <t>Sat</t>
        </is>
      </c>
      <c r="C336" s="33" t="inlineStr">
        <is>
          <t>Pull</t>
        </is>
      </c>
      <c r="D336" s="33" t="inlineStr">
        <is>
          <t>Shrugs</t>
        </is>
      </c>
      <c r="E336" s="33" t="inlineStr">
        <is>
          <t>Dumbbell</t>
        </is>
      </c>
      <c r="F336" s="33" t="inlineStr">
        <is>
          <t>lbs</t>
        </is>
      </c>
      <c r="G336" s="33" t="n">
        <v>4</v>
      </c>
      <c r="H336" s="33" t="n">
        <v>50</v>
      </c>
      <c r="I336" s="33" t="n">
        <v>8</v>
      </c>
      <c r="J336" s="33" t="inlineStr">
        <is>
          <t>N</t>
        </is>
      </c>
      <c r="K336" s="33">
        <f>IF($J336="Y","",IF($F336="BW",$I336,$H336*$I336))</f>
        <v/>
      </c>
      <c r="L336" s="33">
        <f>$D336&amp;"|"&amp;$H336</f>
        <v/>
      </c>
      <c r="M336" s="33" t="n"/>
    </row>
    <row r="337" ht="15" customHeight="1" s="22">
      <c r="A337" s="34" t="n">
        <v>46151</v>
      </c>
      <c r="B337" s="35" t="inlineStr">
        <is>
          <t>Sat</t>
        </is>
      </c>
      <c r="C337" s="35" t="inlineStr">
        <is>
          <t>Pull</t>
        </is>
      </c>
      <c r="D337" s="35" t="inlineStr">
        <is>
          <t>Bicep Curls (DB)</t>
        </is>
      </c>
      <c r="E337" s="35" t="inlineStr">
        <is>
          <t>Dumbbell</t>
        </is>
      </c>
      <c r="F337" s="35" t="inlineStr">
        <is>
          <t>lbs</t>
        </is>
      </c>
      <c r="G337" s="35" t="n">
        <v>1</v>
      </c>
      <c r="H337" s="35" t="n">
        <v>20</v>
      </c>
      <c r="I337" s="35" t="n">
        <v>8</v>
      </c>
      <c r="J337" s="35" t="inlineStr">
        <is>
          <t>Y</t>
        </is>
      </c>
      <c r="K337" s="35">
        <f>IF($J337="Y","",IF($F337="BW",$I337,$H337*$I337))</f>
        <v/>
      </c>
      <c r="L337" s="35">
        <f>$D337&amp;"|"&amp;$H337</f>
        <v/>
      </c>
      <c r="M337" s="35" t="n"/>
    </row>
    <row r="338" ht="15" customHeight="1" s="22">
      <c r="A338" s="32" t="n">
        <v>46151</v>
      </c>
      <c r="B338" s="33" t="inlineStr">
        <is>
          <t>Sat</t>
        </is>
      </c>
      <c r="C338" s="33" t="inlineStr">
        <is>
          <t>Pull</t>
        </is>
      </c>
      <c r="D338" s="33" t="inlineStr">
        <is>
          <t>Bicep Curls (DB)</t>
        </is>
      </c>
      <c r="E338" s="33" t="inlineStr">
        <is>
          <t>Dumbbell</t>
        </is>
      </c>
      <c r="F338" s="33" t="inlineStr">
        <is>
          <t>lbs</t>
        </is>
      </c>
      <c r="G338" s="33" t="n">
        <v>2</v>
      </c>
      <c r="H338" s="33" t="n">
        <v>25</v>
      </c>
      <c r="I338" s="33" t="n">
        <v>8</v>
      </c>
      <c r="J338" s="33" t="inlineStr">
        <is>
          <t>N</t>
        </is>
      </c>
      <c r="K338" s="33">
        <f>IF($J338="Y","",IF($F338="BW",$I338,$H338*$I338))</f>
        <v/>
      </c>
      <c r="L338" s="33">
        <f>$D338&amp;"|"&amp;$H338</f>
        <v/>
      </c>
      <c r="M338" s="33" t="n"/>
    </row>
    <row r="339" ht="15" customHeight="1" s="22">
      <c r="A339" s="32" t="n">
        <v>46151</v>
      </c>
      <c r="B339" s="33" t="inlineStr">
        <is>
          <t>Sat</t>
        </is>
      </c>
      <c r="C339" s="33" t="inlineStr">
        <is>
          <t>Pull</t>
        </is>
      </c>
      <c r="D339" s="33" t="inlineStr">
        <is>
          <t>Bicep Curls (DB)</t>
        </is>
      </c>
      <c r="E339" s="33" t="inlineStr">
        <is>
          <t>Dumbbell</t>
        </is>
      </c>
      <c r="F339" s="33" t="inlineStr">
        <is>
          <t>lbs</t>
        </is>
      </c>
      <c r="G339" s="33" t="n">
        <v>3</v>
      </c>
      <c r="H339" s="33" t="n">
        <v>25</v>
      </c>
      <c r="I339" s="33" t="n">
        <v>8</v>
      </c>
      <c r="J339" s="33" t="inlineStr">
        <is>
          <t>N</t>
        </is>
      </c>
      <c r="K339" s="33">
        <f>IF($J339="Y","",IF($F339="BW",$I339,$H339*$I339))</f>
        <v/>
      </c>
      <c r="L339" s="33">
        <f>$D339&amp;"|"&amp;$H339</f>
        <v/>
      </c>
      <c r="M339" s="33" t="n"/>
    </row>
    <row r="340" ht="15" customHeight="1" s="22">
      <c r="A340" s="32" t="n">
        <v>46151</v>
      </c>
      <c r="B340" s="33" t="inlineStr">
        <is>
          <t>Sat</t>
        </is>
      </c>
      <c r="C340" s="33" t="inlineStr">
        <is>
          <t>Pull</t>
        </is>
      </c>
      <c r="D340" s="33" t="inlineStr">
        <is>
          <t>Bicep Curls (DB)</t>
        </is>
      </c>
      <c r="E340" s="33" t="inlineStr">
        <is>
          <t>Dumbbell</t>
        </is>
      </c>
      <c r="F340" s="33" t="inlineStr">
        <is>
          <t>lbs</t>
        </is>
      </c>
      <c r="G340" s="33" t="n">
        <v>4</v>
      </c>
      <c r="H340" s="33" t="n">
        <v>25</v>
      </c>
      <c r="I340" s="33" t="n">
        <v>8</v>
      </c>
      <c r="J340" s="33" t="inlineStr">
        <is>
          <t>N</t>
        </is>
      </c>
      <c r="K340" s="33">
        <f>IF($J340="Y","",IF($F340="BW",$I340,$H340*$I340))</f>
        <v/>
      </c>
      <c r="L340" s="33">
        <f>$D340&amp;"|"&amp;$H340</f>
        <v/>
      </c>
      <c r="M340" s="33" t="n"/>
    </row>
    <row r="341" ht="15" customHeight="1" s="22">
      <c r="A341" s="34" t="n">
        <v>46154</v>
      </c>
      <c r="B341" s="35" t="inlineStr">
        <is>
          <t>Tue</t>
        </is>
      </c>
      <c r="C341" s="35" t="inlineStr">
        <is>
          <t>Push</t>
        </is>
      </c>
      <c r="D341" s="35" t="inlineStr">
        <is>
          <t>Bench Press (Smith)</t>
        </is>
      </c>
      <c r="E341" s="35" t="inlineStr">
        <is>
          <t>Smith</t>
        </is>
      </c>
      <c r="F341" s="35" t="inlineStr">
        <is>
          <t>lbs</t>
        </is>
      </c>
      <c r="G341" s="35" t="n">
        <v>1</v>
      </c>
      <c r="H341" s="35" t="n">
        <v>40</v>
      </c>
      <c r="I341" s="35" t="n">
        <v>8</v>
      </c>
      <c r="J341" s="35" t="inlineStr">
        <is>
          <t>Y</t>
        </is>
      </c>
      <c r="K341" s="35">
        <f>IF($J341="Y","",IF($F341="BW",$I341,$H341*$I341))</f>
        <v/>
      </c>
      <c r="L341" s="35">
        <f>$D341&amp;"|"&amp;$H341</f>
        <v/>
      </c>
      <c r="M341" s="35" t="n"/>
    </row>
    <row r="342" ht="15" customHeight="1" s="22">
      <c r="A342" s="32" t="n">
        <v>46154</v>
      </c>
      <c r="B342" s="33" t="inlineStr">
        <is>
          <t>Tue</t>
        </is>
      </c>
      <c r="C342" s="33" t="inlineStr">
        <is>
          <t>Push</t>
        </is>
      </c>
      <c r="D342" s="33" t="inlineStr">
        <is>
          <t>Bench Press (Smith)</t>
        </is>
      </c>
      <c r="E342" s="33" t="inlineStr">
        <is>
          <t>Smith</t>
        </is>
      </c>
      <c r="F342" s="33" t="inlineStr">
        <is>
          <t>lbs</t>
        </is>
      </c>
      <c r="G342" s="33" t="n">
        <v>2</v>
      </c>
      <c r="H342" s="33" t="n">
        <v>65</v>
      </c>
      <c r="I342" s="33" t="n">
        <v>8</v>
      </c>
      <c r="J342" s="33" t="inlineStr">
        <is>
          <t>N</t>
        </is>
      </c>
      <c r="K342" s="33">
        <f>IF($J342="Y","",IF($F342="BW",$I342,$H342*$I342))</f>
        <v/>
      </c>
      <c r="L342" s="33">
        <f>$D342&amp;"|"&amp;$H342</f>
        <v/>
      </c>
      <c r="M342" s="33" t="n"/>
    </row>
    <row r="343" ht="15" customHeight="1" s="22">
      <c r="A343" s="32" t="n">
        <v>46154</v>
      </c>
      <c r="B343" s="33" t="inlineStr">
        <is>
          <t>Tue</t>
        </is>
      </c>
      <c r="C343" s="33" t="inlineStr">
        <is>
          <t>Push</t>
        </is>
      </c>
      <c r="D343" s="33" t="inlineStr">
        <is>
          <t>Bench Press (Smith)</t>
        </is>
      </c>
      <c r="E343" s="33" t="inlineStr">
        <is>
          <t>Smith</t>
        </is>
      </c>
      <c r="F343" s="33" t="inlineStr">
        <is>
          <t>lbs</t>
        </is>
      </c>
      <c r="G343" s="33" t="n">
        <v>3</v>
      </c>
      <c r="H343" s="33" t="n">
        <v>90</v>
      </c>
      <c r="I343" s="33" t="n">
        <v>8</v>
      </c>
      <c r="J343" s="33" t="inlineStr">
        <is>
          <t>N</t>
        </is>
      </c>
      <c r="K343" s="33">
        <f>IF($J343="Y","",IF($F343="BW",$I343,$H343*$I343))</f>
        <v/>
      </c>
      <c r="L343" s="33">
        <f>$D343&amp;"|"&amp;$H343</f>
        <v/>
      </c>
      <c r="M343" s="33" t="n"/>
    </row>
    <row r="344" ht="15" customHeight="1" s="22">
      <c r="A344" s="32" t="n">
        <v>46154</v>
      </c>
      <c r="B344" s="33" t="inlineStr">
        <is>
          <t>Tue</t>
        </is>
      </c>
      <c r="C344" s="33" t="inlineStr">
        <is>
          <t>Push</t>
        </is>
      </c>
      <c r="D344" s="33" t="inlineStr">
        <is>
          <t>Bench Press (Smith)</t>
        </is>
      </c>
      <c r="E344" s="33" t="inlineStr">
        <is>
          <t>Smith</t>
        </is>
      </c>
      <c r="F344" s="33" t="inlineStr">
        <is>
          <t>lbs</t>
        </is>
      </c>
      <c r="G344" s="33" t="n">
        <v>4</v>
      </c>
      <c r="H344" s="33" t="n">
        <v>95</v>
      </c>
      <c r="I344" s="33" t="n">
        <v>8</v>
      </c>
      <c r="J344" s="33" t="inlineStr">
        <is>
          <t>N</t>
        </is>
      </c>
      <c r="K344" s="33">
        <f>IF($J344="Y","",IF($F344="BW",$I344,$H344*$I344))</f>
        <v/>
      </c>
      <c r="L344" s="33">
        <f>$D344&amp;"|"&amp;$H344</f>
        <v/>
      </c>
      <c r="M344" s="33" t="n"/>
    </row>
    <row r="345" ht="15" customHeight="1" s="22">
      <c r="A345" s="34" t="n">
        <v>46154</v>
      </c>
      <c r="B345" s="35" t="inlineStr">
        <is>
          <t>Tue</t>
        </is>
      </c>
      <c r="C345" s="35" t="inlineStr">
        <is>
          <t>Push</t>
        </is>
      </c>
      <c r="D345" s="35" t="inlineStr">
        <is>
          <t>Shoulder Press</t>
        </is>
      </c>
      <c r="E345" s="35" t="inlineStr">
        <is>
          <t>Dumbbell</t>
        </is>
      </c>
      <c r="F345" s="35" t="inlineStr">
        <is>
          <t>lbs</t>
        </is>
      </c>
      <c r="G345" s="35" t="n">
        <v>1</v>
      </c>
      <c r="H345" s="35" t="n">
        <v>15</v>
      </c>
      <c r="I345" s="35" t="n">
        <v>8</v>
      </c>
      <c r="J345" s="35" t="inlineStr">
        <is>
          <t>Y</t>
        </is>
      </c>
      <c r="K345" s="35">
        <f>IF($J345="Y","",IF($F345="BW",$I345,$H345*$I345))</f>
        <v/>
      </c>
      <c r="L345" s="35">
        <f>$D345&amp;"|"&amp;$H345</f>
        <v/>
      </c>
      <c r="M345" s="35" t="n"/>
    </row>
    <row r="346" ht="15" customHeight="1" s="22">
      <c r="A346" s="32" t="n">
        <v>46154</v>
      </c>
      <c r="B346" s="33" t="inlineStr">
        <is>
          <t>Tue</t>
        </is>
      </c>
      <c r="C346" s="33" t="inlineStr">
        <is>
          <t>Push</t>
        </is>
      </c>
      <c r="D346" s="33" t="inlineStr">
        <is>
          <t>Shoulder Press</t>
        </is>
      </c>
      <c r="E346" s="33" t="inlineStr">
        <is>
          <t>Dumbbell</t>
        </is>
      </c>
      <c r="F346" s="33" t="inlineStr">
        <is>
          <t>lbs</t>
        </is>
      </c>
      <c r="G346" s="33" t="n">
        <v>2</v>
      </c>
      <c r="H346" s="33" t="n">
        <v>30</v>
      </c>
      <c r="I346" s="33" t="n">
        <v>8</v>
      </c>
      <c r="J346" s="33" t="inlineStr">
        <is>
          <t>N</t>
        </is>
      </c>
      <c r="K346" s="33">
        <f>IF($J346="Y","",IF($F346="BW",$I346,$H346*$I346))</f>
        <v/>
      </c>
      <c r="L346" s="33">
        <f>$D346&amp;"|"&amp;$H346</f>
        <v/>
      </c>
      <c r="M346" s="33" t="n"/>
    </row>
    <row r="347" ht="15" customHeight="1" s="22">
      <c r="A347" s="32" t="n">
        <v>46154</v>
      </c>
      <c r="B347" s="33" t="inlineStr">
        <is>
          <t>Tue</t>
        </is>
      </c>
      <c r="C347" s="33" t="inlineStr">
        <is>
          <t>Push</t>
        </is>
      </c>
      <c r="D347" s="33" t="inlineStr">
        <is>
          <t>Shoulder Press</t>
        </is>
      </c>
      <c r="E347" s="33" t="inlineStr">
        <is>
          <t>Dumbbell</t>
        </is>
      </c>
      <c r="F347" s="33" t="inlineStr">
        <is>
          <t>lbs</t>
        </is>
      </c>
      <c r="G347" s="33" t="n">
        <v>3</v>
      </c>
      <c r="H347" s="33" t="n">
        <v>35</v>
      </c>
      <c r="I347" s="33" t="n">
        <v>8</v>
      </c>
      <c r="J347" s="33" t="inlineStr">
        <is>
          <t>N</t>
        </is>
      </c>
      <c r="K347" s="33">
        <f>IF($J347="Y","",IF($F347="BW",$I347,$H347*$I347))</f>
        <v/>
      </c>
      <c r="L347" s="33">
        <f>$D347&amp;"|"&amp;$H347</f>
        <v/>
      </c>
      <c r="M347" s="33" t="n"/>
    </row>
    <row r="348" ht="15" customHeight="1" s="22">
      <c r="A348" s="32" t="n">
        <v>46154</v>
      </c>
      <c r="B348" s="33" t="inlineStr">
        <is>
          <t>Tue</t>
        </is>
      </c>
      <c r="C348" s="33" t="inlineStr">
        <is>
          <t>Push</t>
        </is>
      </c>
      <c r="D348" s="33" t="inlineStr">
        <is>
          <t>Shoulder Press</t>
        </is>
      </c>
      <c r="E348" s="33" t="inlineStr">
        <is>
          <t>Dumbbell</t>
        </is>
      </c>
      <c r="F348" s="33" t="inlineStr">
        <is>
          <t>lbs</t>
        </is>
      </c>
      <c r="G348" s="33" t="n">
        <v>4</v>
      </c>
      <c r="H348" s="33" t="n">
        <v>35</v>
      </c>
      <c r="I348" s="33" t="n">
        <v>8</v>
      </c>
      <c r="J348" s="33" t="inlineStr">
        <is>
          <t>N</t>
        </is>
      </c>
      <c r="K348" s="33">
        <f>IF($J348="Y","",IF($F348="BW",$I348,$H348*$I348))</f>
        <v/>
      </c>
      <c r="L348" s="33">
        <f>$D348&amp;"|"&amp;$H348</f>
        <v/>
      </c>
      <c r="M348" s="33" t="n"/>
    </row>
    <row r="349" ht="15" customHeight="1" s="22">
      <c r="A349" s="34" t="n">
        <v>46154</v>
      </c>
      <c r="B349" s="35" t="inlineStr">
        <is>
          <t>Tue</t>
        </is>
      </c>
      <c r="C349" s="35" t="inlineStr">
        <is>
          <t>Push</t>
        </is>
      </c>
      <c r="D349" s="35" t="inlineStr">
        <is>
          <t>Incline Bench (Smith)</t>
        </is>
      </c>
      <c r="E349" s="35" t="inlineStr">
        <is>
          <t>Smith</t>
        </is>
      </c>
      <c r="F349" s="35" t="inlineStr">
        <is>
          <t>lbs</t>
        </is>
      </c>
      <c r="G349" s="35" t="n">
        <v>1</v>
      </c>
      <c r="H349" s="35" t="n">
        <v>25</v>
      </c>
      <c r="I349" s="35" t="n">
        <v>8</v>
      </c>
      <c r="J349" s="35" t="inlineStr">
        <is>
          <t>Y</t>
        </is>
      </c>
      <c r="K349" s="35">
        <f>IF($J349="Y","",IF($F349="BW",$I349,$H349*$I349))</f>
        <v/>
      </c>
      <c r="L349" s="35">
        <f>$D349&amp;"|"&amp;$H349</f>
        <v/>
      </c>
      <c r="M349" s="35" t="n"/>
    </row>
    <row r="350" ht="15" customHeight="1" s="22">
      <c r="A350" s="32" t="n">
        <v>46154</v>
      </c>
      <c r="B350" s="33" t="inlineStr">
        <is>
          <t>Tue</t>
        </is>
      </c>
      <c r="C350" s="33" t="inlineStr">
        <is>
          <t>Push</t>
        </is>
      </c>
      <c r="D350" s="33" t="inlineStr">
        <is>
          <t>Incline Bench (Smith)</t>
        </is>
      </c>
      <c r="E350" s="33" t="inlineStr">
        <is>
          <t>Smith</t>
        </is>
      </c>
      <c r="F350" s="33" t="inlineStr">
        <is>
          <t>lbs</t>
        </is>
      </c>
      <c r="G350" s="33" t="n">
        <v>2</v>
      </c>
      <c r="H350" s="33" t="n">
        <v>50</v>
      </c>
      <c r="I350" s="33" t="n">
        <v>8</v>
      </c>
      <c r="J350" s="33" t="inlineStr">
        <is>
          <t>N</t>
        </is>
      </c>
      <c r="K350" s="33">
        <f>IF($J350="Y","",IF($F350="BW",$I350,$H350*$I350))</f>
        <v/>
      </c>
      <c r="L350" s="33">
        <f>$D350&amp;"|"&amp;$H350</f>
        <v/>
      </c>
      <c r="M350" s="33" t="n"/>
    </row>
    <row r="351" ht="15" customHeight="1" s="22">
      <c r="A351" s="32" t="n">
        <v>46154</v>
      </c>
      <c r="B351" s="33" t="inlineStr">
        <is>
          <t>Tue</t>
        </is>
      </c>
      <c r="C351" s="33" t="inlineStr">
        <is>
          <t>Push</t>
        </is>
      </c>
      <c r="D351" s="33" t="inlineStr">
        <is>
          <t>Incline Bench (Smith)</t>
        </is>
      </c>
      <c r="E351" s="33" t="inlineStr">
        <is>
          <t>Smith</t>
        </is>
      </c>
      <c r="F351" s="33" t="inlineStr">
        <is>
          <t>lbs</t>
        </is>
      </c>
      <c r="G351" s="33" t="n">
        <v>3</v>
      </c>
      <c r="H351" s="33" t="n">
        <v>70</v>
      </c>
      <c r="I351" s="33" t="n">
        <v>8</v>
      </c>
      <c r="J351" s="33" t="inlineStr">
        <is>
          <t>N</t>
        </is>
      </c>
      <c r="K351" s="33">
        <f>IF($J351="Y","",IF($F351="BW",$I351,$H351*$I351))</f>
        <v/>
      </c>
      <c r="L351" s="33">
        <f>$D351&amp;"|"&amp;$H351</f>
        <v/>
      </c>
      <c r="M351" s="33" t="n"/>
    </row>
    <row r="352" ht="15" customHeight="1" s="22">
      <c r="A352" s="32" t="n">
        <v>46154</v>
      </c>
      <c r="B352" s="33" t="inlineStr">
        <is>
          <t>Tue</t>
        </is>
      </c>
      <c r="C352" s="33" t="inlineStr">
        <is>
          <t>Push</t>
        </is>
      </c>
      <c r="D352" s="33" t="inlineStr">
        <is>
          <t>Incline Bench (Smith)</t>
        </is>
      </c>
      <c r="E352" s="33" t="inlineStr">
        <is>
          <t>Smith</t>
        </is>
      </c>
      <c r="F352" s="33" t="inlineStr">
        <is>
          <t>lbs</t>
        </is>
      </c>
      <c r="G352" s="33" t="n">
        <v>4</v>
      </c>
      <c r="H352" s="33" t="n">
        <v>70</v>
      </c>
      <c r="I352" s="33" t="n">
        <v>8</v>
      </c>
      <c r="J352" s="33" t="inlineStr">
        <is>
          <t>N</t>
        </is>
      </c>
      <c r="K352" s="33">
        <f>IF($J352="Y","",IF($F352="BW",$I352,$H352*$I352))</f>
        <v/>
      </c>
      <c r="L352" s="33">
        <f>$D352&amp;"|"&amp;$H352</f>
        <v/>
      </c>
      <c r="M352" s="33" t="n"/>
    </row>
    <row r="353" ht="15" customHeight="1" s="22">
      <c r="A353" s="34" t="n">
        <v>46154</v>
      </c>
      <c r="B353" s="35" t="inlineStr">
        <is>
          <t>Tue</t>
        </is>
      </c>
      <c r="C353" s="35" t="inlineStr">
        <is>
          <t>Push</t>
        </is>
      </c>
      <c r="D353" s="35" t="inlineStr">
        <is>
          <t>Tricep Ext Overhead</t>
        </is>
      </c>
      <c r="E353" s="35" t="inlineStr">
        <is>
          <t>Dumbbell</t>
        </is>
      </c>
      <c r="F353" s="35" t="inlineStr">
        <is>
          <t>lbs</t>
        </is>
      </c>
      <c r="G353" s="35" t="n">
        <v>1</v>
      </c>
      <c r="H353" s="35" t="n">
        <v>20</v>
      </c>
      <c r="I353" s="35" t="n">
        <v>8</v>
      </c>
      <c r="J353" s="35" t="inlineStr">
        <is>
          <t>Y</t>
        </is>
      </c>
      <c r="K353" s="35">
        <f>IF($J353="Y","",IF($F353="BW",$I353,$H353*$I353))</f>
        <v/>
      </c>
      <c r="L353" s="35">
        <f>$D353&amp;"|"&amp;$H353</f>
        <v/>
      </c>
      <c r="M353" s="35" t="n"/>
    </row>
    <row r="354" ht="15" customHeight="1" s="22">
      <c r="A354" s="32" t="n">
        <v>46154</v>
      </c>
      <c r="B354" s="33" t="inlineStr">
        <is>
          <t>Tue</t>
        </is>
      </c>
      <c r="C354" s="33" t="inlineStr">
        <is>
          <t>Push</t>
        </is>
      </c>
      <c r="D354" s="33" t="inlineStr">
        <is>
          <t>Tricep Ext Overhead</t>
        </is>
      </c>
      <c r="E354" s="33" t="inlineStr">
        <is>
          <t>Dumbbell</t>
        </is>
      </c>
      <c r="F354" s="33" t="inlineStr">
        <is>
          <t>lbs</t>
        </is>
      </c>
      <c r="G354" s="33" t="n">
        <v>2</v>
      </c>
      <c r="H354" s="33" t="n">
        <v>40</v>
      </c>
      <c r="I354" s="33" t="n">
        <v>8</v>
      </c>
      <c r="J354" s="33" t="inlineStr">
        <is>
          <t>N</t>
        </is>
      </c>
      <c r="K354" s="33">
        <f>IF($J354="Y","",IF($F354="BW",$I354,$H354*$I354))</f>
        <v/>
      </c>
      <c r="L354" s="33">
        <f>$D354&amp;"|"&amp;$H354</f>
        <v/>
      </c>
      <c r="M354" s="33" t="n"/>
    </row>
    <row r="355" ht="15" customHeight="1" s="22">
      <c r="A355" s="32" t="n">
        <v>46154</v>
      </c>
      <c r="B355" s="33" t="inlineStr">
        <is>
          <t>Tue</t>
        </is>
      </c>
      <c r="C355" s="33" t="inlineStr">
        <is>
          <t>Push</t>
        </is>
      </c>
      <c r="D355" s="33" t="inlineStr">
        <is>
          <t>Tricep Ext Overhead</t>
        </is>
      </c>
      <c r="E355" s="33" t="inlineStr">
        <is>
          <t>Dumbbell</t>
        </is>
      </c>
      <c r="F355" s="33" t="inlineStr">
        <is>
          <t>lbs</t>
        </is>
      </c>
      <c r="G355" s="33" t="n">
        <v>3</v>
      </c>
      <c r="H355" s="33" t="n">
        <v>50</v>
      </c>
      <c r="I355" s="33" t="n">
        <v>8</v>
      </c>
      <c r="J355" s="33" t="inlineStr">
        <is>
          <t>N</t>
        </is>
      </c>
      <c r="K355" s="33">
        <f>IF($J355="Y","",IF($F355="BW",$I355,$H355*$I355))</f>
        <v/>
      </c>
      <c r="L355" s="33">
        <f>$D355&amp;"|"&amp;$H355</f>
        <v/>
      </c>
      <c r="M355" s="33" t="n"/>
    </row>
    <row r="356" ht="15" customHeight="1" s="22">
      <c r="A356" s="32" t="n">
        <v>46154</v>
      </c>
      <c r="B356" s="33" t="inlineStr">
        <is>
          <t>Tue</t>
        </is>
      </c>
      <c r="C356" s="33" t="inlineStr">
        <is>
          <t>Push</t>
        </is>
      </c>
      <c r="D356" s="33" t="inlineStr">
        <is>
          <t>Tricep Ext Overhead</t>
        </is>
      </c>
      <c r="E356" s="33" t="inlineStr">
        <is>
          <t>Dumbbell</t>
        </is>
      </c>
      <c r="F356" s="33" t="inlineStr">
        <is>
          <t>lbs</t>
        </is>
      </c>
      <c r="G356" s="33" t="n">
        <v>4</v>
      </c>
      <c r="H356" s="33" t="n">
        <v>50</v>
      </c>
      <c r="I356" s="33" t="n">
        <v>8</v>
      </c>
      <c r="J356" s="33" t="inlineStr">
        <is>
          <t>N</t>
        </is>
      </c>
      <c r="K356" s="33">
        <f>IF($J356="Y","",IF($F356="BW",$I356,$H356*$I356))</f>
        <v/>
      </c>
      <c r="L356" s="33">
        <f>$D356&amp;"|"&amp;$H356</f>
        <v/>
      </c>
      <c r="M356" s="33" t="n"/>
    </row>
    <row r="357" ht="15" customHeight="1" s="22">
      <c r="A357" s="34" t="n">
        <v>46156</v>
      </c>
      <c r="B357" s="35" t="inlineStr">
        <is>
          <t>Thu</t>
        </is>
      </c>
      <c r="C357" s="35" t="inlineStr">
        <is>
          <t>Pull (light)</t>
        </is>
      </c>
      <c r="D357" s="35" t="inlineStr">
        <is>
          <t>DB Rows</t>
        </is>
      </c>
      <c r="E357" s="35" t="inlineStr">
        <is>
          <t>Dumbbell</t>
        </is>
      </c>
      <c r="F357" s="35" t="inlineStr">
        <is>
          <t>lbs</t>
        </is>
      </c>
      <c r="G357" s="35" t="n">
        <v>1</v>
      </c>
      <c r="H357" s="35" t="n">
        <v>15</v>
      </c>
      <c r="I357" s="35" t="n">
        <v>8</v>
      </c>
      <c r="J357" s="35" t="inlineStr">
        <is>
          <t>Y</t>
        </is>
      </c>
      <c r="K357" s="35">
        <f>IF($J357="Y","",IF($F357="BW",$I357,$H357*$I357))</f>
        <v/>
      </c>
      <c r="L357" s="35">
        <f>$D357&amp;"|"&amp;$H357</f>
        <v/>
      </c>
      <c r="M357" s="35" t="n"/>
    </row>
    <row r="358" ht="15" customHeight="1" s="22">
      <c r="A358" s="32" t="n">
        <v>46156</v>
      </c>
      <c r="B358" s="33" t="inlineStr">
        <is>
          <t>Thu</t>
        </is>
      </c>
      <c r="C358" s="33" t="inlineStr">
        <is>
          <t>Pull (light)</t>
        </is>
      </c>
      <c r="D358" s="33" t="inlineStr">
        <is>
          <t>DB Rows</t>
        </is>
      </c>
      <c r="E358" s="33" t="inlineStr">
        <is>
          <t>Dumbbell</t>
        </is>
      </c>
      <c r="F358" s="33" t="inlineStr">
        <is>
          <t>lbs</t>
        </is>
      </c>
      <c r="G358" s="33" t="n">
        <v>2</v>
      </c>
      <c r="H358" s="33" t="n">
        <v>25</v>
      </c>
      <c r="I358" s="33" t="n">
        <v>8</v>
      </c>
      <c r="J358" s="33" t="inlineStr">
        <is>
          <t>N</t>
        </is>
      </c>
      <c r="K358" s="33">
        <f>IF($J358="Y","",IF($F358="BW",$I358,$H358*$I358))</f>
        <v/>
      </c>
      <c r="L358" s="33">
        <f>$D358&amp;"|"&amp;$H358</f>
        <v/>
      </c>
      <c r="M358" s="33" t="n"/>
    </row>
    <row r="359" ht="15" customHeight="1" s="22">
      <c r="A359" s="32" t="n">
        <v>46156</v>
      </c>
      <c r="B359" s="33" t="inlineStr">
        <is>
          <t>Thu</t>
        </is>
      </c>
      <c r="C359" s="33" t="inlineStr">
        <is>
          <t>Pull (light)</t>
        </is>
      </c>
      <c r="D359" s="33" t="inlineStr">
        <is>
          <t>DB Rows</t>
        </is>
      </c>
      <c r="E359" s="33" t="inlineStr">
        <is>
          <t>Dumbbell</t>
        </is>
      </c>
      <c r="F359" s="33" t="inlineStr">
        <is>
          <t>lbs</t>
        </is>
      </c>
      <c r="G359" s="33" t="n">
        <v>3</v>
      </c>
      <c r="H359" s="33" t="n">
        <v>25</v>
      </c>
      <c r="I359" s="33" t="n">
        <v>8</v>
      </c>
      <c r="J359" s="33" t="inlineStr">
        <is>
          <t>N</t>
        </is>
      </c>
      <c r="K359" s="33">
        <f>IF($J359="Y","",IF($F359="BW",$I359,$H359*$I359))</f>
        <v/>
      </c>
      <c r="L359" s="33">
        <f>$D359&amp;"|"&amp;$H359</f>
        <v/>
      </c>
      <c r="M359" s="33" t="n"/>
    </row>
    <row r="360" ht="15" customHeight="1" s="22">
      <c r="A360" s="32" t="n">
        <v>46156</v>
      </c>
      <c r="B360" s="33" t="inlineStr">
        <is>
          <t>Thu</t>
        </is>
      </c>
      <c r="C360" s="33" t="inlineStr">
        <is>
          <t>Pull (light)</t>
        </is>
      </c>
      <c r="D360" s="33" t="inlineStr">
        <is>
          <t>DB Rows</t>
        </is>
      </c>
      <c r="E360" s="33" t="inlineStr">
        <is>
          <t>Dumbbell</t>
        </is>
      </c>
      <c r="F360" s="33" t="inlineStr">
        <is>
          <t>lbs</t>
        </is>
      </c>
      <c r="G360" s="33" t="n">
        <v>4</v>
      </c>
      <c r="H360" s="33" t="n">
        <v>30</v>
      </c>
      <c r="I360" s="33" t="n">
        <v>8</v>
      </c>
      <c r="J360" s="33" t="inlineStr">
        <is>
          <t>N</t>
        </is>
      </c>
      <c r="K360" s="33">
        <f>IF($J360="Y","",IF($F360="BW",$I360,$H360*$I360))</f>
        <v/>
      </c>
      <c r="L360" s="33">
        <f>$D360&amp;"|"&amp;$H360</f>
        <v/>
      </c>
      <c r="M360" s="33" t="n"/>
    </row>
    <row r="361" ht="15" customHeight="1" s="22">
      <c r="A361" s="34" t="n">
        <v>46156</v>
      </c>
      <c r="B361" s="35" t="inlineStr">
        <is>
          <t>Thu</t>
        </is>
      </c>
      <c r="C361" s="35" t="inlineStr">
        <is>
          <t>Pull (light)</t>
        </is>
      </c>
      <c r="D361" s="35" t="inlineStr">
        <is>
          <t>Single Arm Lat Pulldown</t>
        </is>
      </c>
      <c r="E361" s="35" t="inlineStr">
        <is>
          <t>Cable</t>
        </is>
      </c>
      <c r="F361" s="35" t="inlineStr">
        <is>
          <t>kg</t>
        </is>
      </c>
      <c r="G361" s="35" t="n">
        <v>1</v>
      </c>
      <c r="H361" s="35" t="n">
        <v>12.5</v>
      </c>
      <c r="I361" s="35" t="n">
        <v>8</v>
      </c>
      <c r="J361" s="35" t="inlineStr">
        <is>
          <t>Y</t>
        </is>
      </c>
      <c r="K361" s="35">
        <f>IF($J361="Y","",IF($F361="BW",$I361,$H361*$I361))</f>
        <v/>
      </c>
      <c r="L361" s="35">
        <f>$D361&amp;"|"&amp;$H361</f>
        <v/>
      </c>
      <c r="M361" s="35" t="n"/>
    </row>
    <row r="362" ht="15" customHeight="1" s="22">
      <c r="A362" s="32" t="n">
        <v>46156</v>
      </c>
      <c r="B362" s="33" t="inlineStr">
        <is>
          <t>Thu</t>
        </is>
      </c>
      <c r="C362" s="33" t="inlineStr">
        <is>
          <t>Pull (light)</t>
        </is>
      </c>
      <c r="D362" s="33" t="inlineStr">
        <is>
          <t>Single Arm Lat Pulldown</t>
        </is>
      </c>
      <c r="E362" s="33" t="inlineStr">
        <is>
          <t>Cable</t>
        </is>
      </c>
      <c r="F362" s="33" t="inlineStr">
        <is>
          <t>kg</t>
        </is>
      </c>
      <c r="G362" s="33" t="n">
        <v>2</v>
      </c>
      <c r="H362" s="33" t="n">
        <v>20</v>
      </c>
      <c r="I362" s="33" t="n">
        <v>8</v>
      </c>
      <c r="J362" s="33" t="inlineStr">
        <is>
          <t>N</t>
        </is>
      </c>
      <c r="K362" s="33">
        <f>IF($J362="Y","",IF($F362="BW",$I362,$H362*$I362))</f>
        <v/>
      </c>
      <c r="L362" s="33">
        <f>$D362&amp;"|"&amp;$H362</f>
        <v/>
      </c>
      <c r="M362" s="33" t="n"/>
    </row>
    <row r="363" ht="15" customHeight="1" s="22">
      <c r="A363" s="32" t="n">
        <v>46156</v>
      </c>
      <c r="B363" s="33" t="inlineStr">
        <is>
          <t>Thu</t>
        </is>
      </c>
      <c r="C363" s="33" t="inlineStr">
        <is>
          <t>Pull (light)</t>
        </is>
      </c>
      <c r="D363" s="33" t="inlineStr">
        <is>
          <t>Single Arm Lat Pulldown</t>
        </is>
      </c>
      <c r="E363" s="33" t="inlineStr">
        <is>
          <t>Cable</t>
        </is>
      </c>
      <c r="F363" s="33" t="inlineStr">
        <is>
          <t>kg</t>
        </is>
      </c>
      <c r="G363" s="33" t="n">
        <v>3</v>
      </c>
      <c r="H363" s="33" t="n">
        <v>20</v>
      </c>
      <c r="I363" s="33" t="n">
        <v>8</v>
      </c>
      <c r="J363" s="33" t="inlineStr">
        <is>
          <t>N</t>
        </is>
      </c>
      <c r="K363" s="33">
        <f>IF($J363="Y","",IF($F363="BW",$I363,$H363*$I363))</f>
        <v/>
      </c>
      <c r="L363" s="33">
        <f>$D363&amp;"|"&amp;$H363</f>
        <v/>
      </c>
      <c r="M363" s="33" t="n"/>
    </row>
    <row r="364" ht="15" customHeight="1" s="22">
      <c r="A364" s="32" t="n">
        <v>46156</v>
      </c>
      <c r="B364" s="33" t="inlineStr">
        <is>
          <t>Thu</t>
        </is>
      </c>
      <c r="C364" s="33" t="inlineStr">
        <is>
          <t>Pull (light)</t>
        </is>
      </c>
      <c r="D364" s="33" t="inlineStr">
        <is>
          <t>Single Arm Lat Pulldown</t>
        </is>
      </c>
      <c r="E364" s="33" t="inlineStr">
        <is>
          <t>Cable</t>
        </is>
      </c>
      <c r="F364" s="33" t="inlineStr">
        <is>
          <t>kg</t>
        </is>
      </c>
      <c r="G364" s="33" t="n">
        <v>4</v>
      </c>
      <c r="H364" s="33" t="n">
        <v>22.5</v>
      </c>
      <c r="I364" s="33" t="n">
        <v>8</v>
      </c>
      <c r="J364" s="33" t="inlineStr">
        <is>
          <t>N</t>
        </is>
      </c>
      <c r="K364" s="33">
        <f>IF($J364="Y","",IF($F364="BW",$I364,$H364*$I364))</f>
        <v/>
      </c>
      <c r="L364" s="33">
        <f>$D364&amp;"|"&amp;$H364</f>
        <v/>
      </c>
      <c r="M364" s="33" t="n"/>
    </row>
    <row r="365" ht="15" customHeight="1" s="22">
      <c r="A365" s="34" t="n">
        <v>46156</v>
      </c>
      <c r="B365" s="35" t="inlineStr">
        <is>
          <t>Thu</t>
        </is>
      </c>
      <c r="C365" s="35" t="inlineStr">
        <is>
          <t>Pull (light)</t>
        </is>
      </c>
      <c r="D365" s="35" t="inlineStr">
        <is>
          <t>Shrugs</t>
        </is>
      </c>
      <c r="E365" s="35" t="inlineStr">
        <is>
          <t>Dumbbell</t>
        </is>
      </c>
      <c r="F365" s="35" t="inlineStr">
        <is>
          <t>lbs</t>
        </is>
      </c>
      <c r="G365" s="35" t="n">
        <v>1</v>
      </c>
      <c r="H365" s="35" t="n">
        <v>25</v>
      </c>
      <c r="I365" s="35" t="n">
        <v>8</v>
      </c>
      <c r="J365" s="35" t="inlineStr">
        <is>
          <t>Y</t>
        </is>
      </c>
      <c r="K365" s="35">
        <f>IF($J365="Y","",IF($F365="BW",$I365,$H365*$I365))</f>
        <v/>
      </c>
      <c r="L365" s="35">
        <f>$D365&amp;"|"&amp;$H365</f>
        <v/>
      </c>
      <c r="M365" s="35" t="n"/>
    </row>
    <row r="366" ht="15" customHeight="1" s="22">
      <c r="A366" s="32" t="n">
        <v>46156</v>
      </c>
      <c r="B366" s="33" t="inlineStr">
        <is>
          <t>Thu</t>
        </is>
      </c>
      <c r="C366" s="33" t="inlineStr">
        <is>
          <t>Pull (light)</t>
        </is>
      </c>
      <c r="D366" s="33" t="inlineStr">
        <is>
          <t>Shrugs</t>
        </is>
      </c>
      <c r="E366" s="33" t="inlineStr">
        <is>
          <t>Dumbbell</t>
        </is>
      </c>
      <c r="F366" s="33" t="inlineStr">
        <is>
          <t>lbs</t>
        </is>
      </c>
      <c r="G366" s="33" t="n">
        <v>2</v>
      </c>
      <c r="H366" s="33" t="n">
        <v>50</v>
      </c>
      <c r="I366" s="33" t="n">
        <v>8</v>
      </c>
      <c r="J366" s="33" t="inlineStr">
        <is>
          <t>N</t>
        </is>
      </c>
      <c r="K366" s="33">
        <f>IF($J366="Y","",IF($F366="BW",$I366,$H366*$I366))</f>
        <v/>
      </c>
      <c r="L366" s="33">
        <f>$D366&amp;"|"&amp;$H366</f>
        <v/>
      </c>
      <c r="M366" s="33" t="n"/>
    </row>
    <row r="367" ht="15" customHeight="1" s="22">
      <c r="A367" s="32" t="n">
        <v>46156</v>
      </c>
      <c r="B367" s="33" t="inlineStr">
        <is>
          <t>Thu</t>
        </is>
      </c>
      <c r="C367" s="33" t="inlineStr">
        <is>
          <t>Pull (light)</t>
        </is>
      </c>
      <c r="D367" s="33" t="inlineStr">
        <is>
          <t>Shrugs</t>
        </is>
      </c>
      <c r="E367" s="33" t="inlineStr">
        <is>
          <t>Dumbbell</t>
        </is>
      </c>
      <c r="F367" s="33" t="inlineStr">
        <is>
          <t>lbs</t>
        </is>
      </c>
      <c r="G367" s="33" t="n">
        <v>3</v>
      </c>
      <c r="H367" s="33" t="n">
        <v>50</v>
      </c>
      <c r="I367" s="33" t="n">
        <v>8</v>
      </c>
      <c r="J367" s="33" t="inlineStr">
        <is>
          <t>N</t>
        </is>
      </c>
      <c r="K367" s="33">
        <f>IF($J367="Y","",IF($F367="BW",$I367,$H367*$I367))</f>
        <v/>
      </c>
      <c r="L367" s="33">
        <f>$D367&amp;"|"&amp;$H367</f>
        <v/>
      </c>
      <c r="M367" s="33" t="n"/>
    </row>
    <row r="368" ht="15" customHeight="1" s="22">
      <c r="A368" s="32" t="n">
        <v>46156</v>
      </c>
      <c r="B368" s="33" t="inlineStr">
        <is>
          <t>Thu</t>
        </is>
      </c>
      <c r="C368" s="33" t="inlineStr">
        <is>
          <t>Pull (light)</t>
        </is>
      </c>
      <c r="D368" s="33" t="inlineStr">
        <is>
          <t>Shrugs</t>
        </is>
      </c>
      <c r="E368" s="33" t="inlineStr">
        <is>
          <t>Dumbbell</t>
        </is>
      </c>
      <c r="F368" s="33" t="inlineStr">
        <is>
          <t>lbs</t>
        </is>
      </c>
      <c r="G368" s="33" t="n">
        <v>4</v>
      </c>
      <c r="H368" s="33" t="n">
        <v>50</v>
      </c>
      <c r="I368" s="33" t="n">
        <v>8</v>
      </c>
      <c r="J368" s="33" t="inlineStr">
        <is>
          <t>N</t>
        </is>
      </c>
      <c r="K368" s="33">
        <f>IF($J368="Y","",IF($F368="BW",$I368,$H368*$I368))</f>
        <v/>
      </c>
      <c r="L368" s="33">
        <f>$D368&amp;"|"&amp;$H368</f>
        <v/>
      </c>
      <c r="M368" s="33" t="n"/>
    </row>
    <row r="369" ht="15" customHeight="1" s="22">
      <c r="A369" s="34" t="n">
        <v>46157</v>
      </c>
      <c r="B369" s="35" t="inlineStr">
        <is>
          <t>Fri</t>
        </is>
      </c>
      <c r="C369" s="35" t="inlineStr">
        <is>
          <t>Push (partial)</t>
        </is>
      </c>
      <c r="D369" s="35" t="inlineStr">
        <is>
          <t>Shoulder Press</t>
        </is>
      </c>
      <c r="E369" s="35" t="inlineStr">
        <is>
          <t>Dumbbell</t>
        </is>
      </c>
      <c r="F369" s="35" t="inlineStr">
        <is>
          <t>lbs</t>
        </is>
      </c>
      <c r="G369" s="35" t="n">
        <v>1</v>
      </c>
      <c r="H369" s="35" t="n">
        <v>15</v>
      </c>
      <c r="I369" s="35" t="n">
        <v>8</v>
      </c>
      <c r="J369" s="35" t="inlineStr">
        <is>
          <t>Y</t>
        </is>
      </c>
      <c r="K369" s="35">
        <f>IF($J369="Y","",IF($F369="BW",$I369,$H369*$I369))</f>
        <v/>
      </c>
      <c r="L369" s="35">
        <f>$D369&amp;"|"&amp;$H369</f>
        <v/>
      </c>
      <c r="M369" s="35" t="n"/>
    </row>
    <row r="370" ht="15" customHeight="1" s="22">
      <c r="A370" s="32" t="n">
        <v>46157</v>
      </c>
      <c r="B370" s="33" t="inlineStr">
        <is>
          <t>Fri</t>
        </is>
      </c>
      <c r="C370" s="33" t="inlineStr">
        <is>
          <t>Push (partial)</t>
        </is>
      </c>
      <c r="D370" s="33" t="inlineStr">
        <is>
          <t>Shoulder Press</t>
        </is>
      </c>
      <c r="E370" s="33" t="inlineStr">
        <is>
          <t>Dumbbell</t>
        </is>
      </c>
      <c r="F370" s="33" t="inlineStr">
        <is>
          <t>lbs</t>
        </is>
      </c>
      <c r="G370" s="33" t="n">
        <v>2</v>
      </c>
      <c r="H370" s="33" t="n">
        <v>30</v>
      </c>
      <c r="I370" s="33" t="n">
        <v>8</v>
      </c>
      <c r="J370" s="33" t="inlineStr">
        <is>
          <t>N</t>
        </is>
      </c>
      <c r="K370" s="33">
        <f>IF($J370="Y","",IF($F370="BW",$I370,$H370*$I370))</f>
        <v/>
      </c>
      <c r="L370" s="33">
        <f>$D370&amp;"|"&amp;$H370</f>
        <v/>
      </c>
      <c r="M370" s="33" t="n"/>
    </row>
    <row r="371" ht="15" customHeight="1" s="22">
      <c r="A371" s="32" t="n">
        <v>46157</v>
      </c>
      <c r="B371" s="33" t="inlineStr">
        <is>
          <t>Fri</t>
        </is>
      </c>
      <c r="C371" s="33" t="inlineStr">
        <is>
          <t>Push (partial)</t>
        </is>
      </c>
      <c r="D371" s="33" t="inlineStr">
        <is>
          <t>Shoulder Press</t>
        </is>
      </c>
      <c r="E371" s="33" t="inlineStr">
        <is>
          <t>Dumbbell</t>
        </is>
      </c>
      <c r="F371" s="33" t="inlineStr">
        <is>
          <t>lbs</t>
        </is>
      </c>
      <c r="G371" s="33" t="n">
        <v>3</v>
      </c>
      <c r="H371" s="33" t="n">
        <v>35</v>
      </c>
      <c r="I371" s="33" t="n">
        <v>8</v>
      </c>
      <c r="J371" s="33" t="inlineStr">
        <is>
          <t>N</t>
        </is>
      </c>
      <c r="K371" s="33">
        <f>IF($J371="Y","",IF($F371="BW",$I371,$H371*$I371))</f>
        <v/>
      </c>
      <c r="L371" s="33">
        <f>$D371&amp;"|"&amp;$H371</f>
        <v/>
      </c>
      <c r="M371" s="33" t="n"/>
    </row>
    <row r="372" ht="15" customHeight="1" s="22">
      <c r="A372" s="32" t="n">
        <v>46157</v>
      </c>
      <c r="B372" s="33" t="inlineStr">
        <is>
          <t>Fri</t>
        </is>
      </c>
      <c r="C372" s="33" t="inlineStr">
        <is>
          <t>Push (partial)</t>
        </is>
      </c>
      <c r="D372" s="33" t="inlineStr">
        <is>
          <t>Shoulder Press</t>
        </is>
      </c>
      <c r="E372" s="33" t="inlineStr">
        <is>
          <t>Dumbbell</t>
        </is>
      </c>
      <c r="F372" s="33" t="inlineStr">
        <is>
          <t>lbs</t>
        </is>
      </c>
      <c r="G372" s="33" t="n">
        <v>4</v>
      </c>
      <c r="H372" s="33" t="n">
        <v>35</v>
      </c>
      <c r="I372" s="33" t="n">
        <v>8</v>
      </c>
      <c r="J372" s="33" t="inlineStr">
        <is>
          <t>N</t>
        </is>
      </c>
      <c r="K372" s="33">
        <f>IF($J372="Y","",IF($F372="BW",$I372,$H372*$I372))</f>
        <v/>
      </c>
      <c r="L372" s="33">
        <f>$D372&amp;"|"&amp;$H372</f>
        <v/>
      </c>
      <c r="M372" s="33" t="n"/>
    </row>
    <row r="373" ht="15" customHeight="1" s="22">
      <c r="A373" s="34" t="n">
        <v>46157</v>
      </c>
      <c r="B373" s="35" t="inlineStr">
        <is>
          <t>Fri</t>
        </is>
      </c>
      <c r="C373" s="35" t="inlineStr">
        <is>
          <t>Push (partial)</t>
        </is>
      </c>
      <c r="D373" s="35" t="inlineStr">
        <is>
          <t>Tricep Ext Overhead</t>
        </is>
      </c>
      <c r="E373" s="35" t="inlineStr">
        <is>
          <t>Dumbbell</t>
        </is>
      </c>
      <c r="F373" s="35" t="inlineStr">
        <is>
          <t>lbs</t>
        </is>
      </c>
      <c r="G373" s="35" t="n">
        <v>1</v>
      </c>
      <c r="H373" s="35" t="n">
        <v>20</v>
      </c>
      <c r="I373" s="35" t="n">
        <v>8</v>
      </c>
      <c r="J373" s="35" t="inlineStr">
        <is>
          <t>Y</t>
        </is>
      </c>
      <c r="K373" s="35">
        <f>IF($J373="Y","",IF($F373="BW",$I373,$H373*$I373))</f>
        <v/>
      </c>
      <c r="L373" s="35">
        <f>$D373&amp;"|"&amp;$H373</f>
        <v/>
      </c>
      <c r="M373" s="35" t="n"/>
    </row>
    <row r="374" ht="15" customHeight="1" s="22">
      <c r="A374" s="32" t="n">
        <v>46157</v>
      </c>
      <c r="B374" s="33" t="inlineStr">
        <is>
          <t>Fri</t>
        </is>
      </c>
      <c r="C374" s="33" t="inlineStr">
        <is>
          <t>Push (partial)</t>
        </is>
      </c>
      <c r="D374" s="33" t="inlineStr">
        <is>
          <t>Tricep Ext Overhead</t>
        </is>
      </c>
      <c r="E374" s="33" t="inlineStr">
        <is>
          <t>Dumbbell</t>
        </is>
      </c>
      <c r="F374" s="33" t="inlineStr">
        <is>
          <t>lbs</t>
        </is>
      </c>
      <c r="G374" s="33" t="n">
        <v>2</v>
      </c>
      <c r="H374" s="33" t="n">
        <v>40</v>
      </c>
      <c r="I374" s="33" t="n">
        <v>8</v>
      </c>
      <c r="J374" s="33" t="inlineStr">
        <is>
          <t>N</t>
        </is>
      </c>
      <c r="K374" s="33">
        <f>IF($J374="Y","",IF($F374="BW",$I374,$H374*$I374))</f>
        <v/>
      </c>
      <c r="L374" s="33">
        <f>$D374&amp;"|"&amp;$H374</f>
        <v/>
      </c>
      <c r="M374" s="33" t="n"/>
    </row>
    <row r="375" ht="15" customHeight="1" s="22">
      <c r="A375" s="32" t="n">
        <v>46157</v>
      </c>
      <c r="B375" s="33" t="inlineStr">
        <is>
          <t>Fri</t>
        </is>
      </c>
      <c r="C375" s="33" t="inlineStr">
        <is>
          <t>Push (partial)</t>
        </is>
      </c>
      <c r="D375" s="33" t="inlineStr">
        <is>
          <t>Tricep Ext Overhead</t>
        </is>
      </c>
      <c r="E375" s="33" t="inlineStr">
        <is>
          <t>Dumbbell</t>
        </is>
      </c>
      <c r="F375" s="33" t="inlineStr">
        <is>
          <t>lbs</t>
        </is>
      </c>
      <c r="G375" s="33" t="n">
        <v>3</v>
      </c>
      <c r="H375" s="33" t="n">
        <v>50</v>
      </c>
      <c r="I375" s="33" t="n">
        <v>8</v>
      </c>
      <c r="J375" s="33" t="inlineStr">
        <is>
          <t>N</t>
        </is>
      </c>
      <c r="K375" s="33">
        <f>IF($J375="Y","",IF($F375="BW",$I375,$H375*$I375))</f>
        <v/>
      </c>
      <c r="L375" s="33">
        <f>$D375&amp;"|"&amp;$H375</f>
        <v/>
      </c>
      <c r="M375" s="33" t="n"/>
    </row>
    <row r="376" ht="15" customHeight="1" s="22">
      <c r="A376" s="32" t="n">
        <v>46157</v>
      </c>
      <c r="B376" s="33" t="inlineStr">
        <is>
          <t>Fri</t>
        </is>
      </c>
      <c r="C376" s="33" t="inlineStr">
        <is>
          <t>Push (partial)</t>
        </is>
      </c>
      <c r="D376" s="33" t="inlineStr">
        <is>
          <t>Tricep Ext Overhead</t>
        </is>
      </c>
      <c r="E376" s="33" t="inlineStr">
        <is>
          <t>Dumbbell</t>
        </is>
      </c>
      <c r="F376" s="33" t="inlineStr">
        <is>
          <t>lbs</t>
        </is>
      </c>
      <c r="G376" s="33" t="n">
        <v>4</v>
      </c>
      <c r="H376" s="33" t="n">
        <v>50</v>
      </c>
      <c r="I376" s="33" t="n">
        <v>8</v>
      </c>
      <c r="J376" s="33" t="inlineStr">
        <is>
          <t>N</t>
        </is>
      </c>
      <c r="K376" s="33">
        <f>IF($J376="Y","",IF($F376="BW",$I376,$H376*$I376))</f>
        <v/>
      </c>
      <c r="L376" s="33">
        <f>$D376&amp;"|"&amp;$H376</f>
        <v/>
      </c>
      <c r="M376" s="33" t="n"/>
    </row>
    <row r="377" ht="15" customHeight="1" s="22">
      <c r="A377" s="32" t="n">
        <v>46157</v>
      </c>
      <c r="B377" s="33" t="inlineStr">
        <is>
          <t>Fri</t>
        </is>
      </c>
      <c r="C377" s="33" t="inlineStr">
        <is>
          <t>Push (partial)</t>
        </is>
      </c>
      <c r="D377" s="33" t="inlineStr">
        <is>
          <t>Standing Cable Press</t>
        </is>
      </c>
      <c r="E377" s="33" t="inlineStr">
        <is>
          <t>Cable</t>
        </is>
      </c>
      <c r="F377" s="33" t="inlineStr">
        <is>
          <t>kg</t>
        </is>
      </c>
      <c r="G377" s="33" t="n">
        <v>1</v>
      </c>
      <c r="H377" s="33" t="n">
        <v>7.5</v>
      </c>
      <c r="I377" s="33" t="n">
        <v>8</v>
      </c>
      <c r="J377" s="33" t="inlineStr">
        <is>
          <t>N</t>
        </is>
      </c>
      <c r="K377" s="33">
        <f>IF($J377="Y","",IF($F377="BW",$I377,$H377*$I377))</f>
        <v/>
      </c>
      <c r="L377" s="33">
        <f>$D377&amp;"|"&amp;$H377</f>
        <v/>
      </c>
      <c r="M377" s="33" t="n"/>
    </row>
    <row r="378" ht="15" customHeight="1" s="22">
      <c r="A378" s="34" t="n">
        <v>46159</v>
      </c>
      <c r="B378" s="35" t="inlineStr">
        <is>
          <t>Sun</t>
        </is>
      </c>
      <c r="C378" s="35" t="inlineStr">
        <is>
          <t>Pull + Arms</t>
        </is>
      </c>
      <c r="D378" s="35" t="inlineStr">
        <is>
          <t>Single Arm Lat Pulldown</t>
        </is>
      </c>
      <c r="E378" s="35" t="inlineStr">
        <is>
          <t>Cable</t>
        </is>
      </c>
      <c r="F378" s="35" t="inlineStr">
        <is>
          <t>kg</t>
        </is>
      </c>
      <c r="G378" s="35" t="n">
        <v>1</v>
      </c>
      <c r="H378" s="35" t="n">
        <v>12.5</v>
      </c>
      <c r="I378" s="35" t="n">
        <v>8</v>
      </c>
      <c r="J378" s="35" t="inlineStr">
        <is>
          <t>Y</t>
        </is>
      </c>
      <c r="K378" s="35">
        <f>IF($J378="Y","",IF($F378="BW",$I378,$H378*$I378))</f>
        <v/>
      </c>
      <c r="L378" s="35">
        <f>$D378&amp;"|"&amp;$H378</f>
        <v/>
      </c>
      <c r="M378" s="35" t="n"/>
    </row>
    <row r="379" ht="15" customHeight="1" s="22">
      <c r="A379" s="32" t="n">
        <v>46159</v>
      </c>
      <c r="B379" s="33" t="inlineStr">
        <is>
          <t>Sun</t>
        </is>
      </c>
      <c r="C379" s="33" t="inlineStr">
        <is>
          <t>Pull + Arms</t>
        </is>
      </c>
      <c r="D379" s="33" t="inlineStr">
        <is>
          <t>Single Arm Lat Pulldown</t>
        </is>
      </c>
      <c r="E379" s="33" t="inlineStr">
        <is>
          <t>Cable</t>
        </is>
      </c>
      <c r="F379" s="33" t="inlineStr">
        <is>
          <t>kg</t>
        </is>
      </c>
      <c r="G379" s="33" t="n">
        <v>2</v>
      </c>
      <c r="H379" s="33" t="n">
        <v>20</v>
      </c>
      <c r="I379" s="33" t="n">
        <v>8</v>
      </c>
      <c r="J379" s="33" t="inlineStr">
        <is>
          <t>N</t>
        </is>
      </c>
      <c r="K379" s="33">
        <f>IF($J379="Y","",IF($F379="BW",$I379,$H379*$I379))</f>
        <v/>
      </c>
      <c r="L379" s="33">
        <f>$D379&amp;"|"&amp;$H379</f>
        <v/>
      </c>
      <c r="M379" s="33" t="n"/>
    </row>
    <row r="380" ht="15" customHeight="1" s="22">
      <c r="A380" s="32" t="n">
        <v>46159</v>
      </c>
      <c r="B380" s="33" t="inlineStr">
        <is>
          <t>Sun</t>
        </is>
      </c>
      <c r="C380" s="33" t="inlineStr">
        <is>
          <t>Pull + Arms</t>
        </is>
      </c>
      <c r="D380" s="33" t="inlineStr">
        <is>
          <t>Single Arm Lat Pulldown</t>
        </is>
      </c>
      <c r="E380" s="33" t="inlineStr">
        <is>
          <t>Cable</t>
        </is>
      </c>
      <c r="F380" s="33" t="inlineStr">
        <is>
          <t>kg</t>
        </is>
      </c>
      <c r="G380" s="33" t="n">
        <v>3</v>
      </c>
      <c r="H380" s="33" t="n">
        <v>22.5</v>
      </c>
      <c r="I380" s="33" t="n">
        <v>8</v>
      </c>
      <c r="J380" s="33" t="inlineStr">
        <is>
          <t>N</t>
        </is>
      </c>
      <c r="K380" s="33">
        <f>IF($J380="Y","",IF($F380="BW",$I380,$H380*$I380))</f>
        <v/>
      </c>
      <c r="L380" s="33">
        <f>$D380&amp;"|"&amp;$H380</f>
        <v/>
      </c>
      <c r="M380" s="33" t="n"/>
    </row>
    <row r="381" ht="15" customHeight="1" s="22">
      <c r="A381" s="32" t="n">
        <v>46159</v>
      </c>
      <c r="B381" s="33" t="inlineStr">
        <is>
          <t>Sun</t>
        </is>
      </c>
      <c r="C381" s="33" t="inlineStr">
        <is>
          <t>Pull + Arms</t>
        </is>
      </c>
      <c r="D381" s="33" t="inlineStr">
        <is>
          <t>Single Arm Lat Pulldown</t>
        </is>
      </c>
      <c r="E381" s="33" t="inlineStr">
        <is>
          <t>Cable</t>
        </is>
      </c>
      <c r="F381" s="33" t="inlineStr">
        <is>
          <t>kg</t>
        </is>
      </c>
      <c r="G381" s="33" t="n">
        <v>4</v>
      </c>
      <c r="H381" s="33" t="n">
        <v>22.5</v>
      </c>
      <c r="I381" s="33" t="n">
        <v>8</v>
      </c>
      <c r="J381" s="33" t="inlineStr">
        <is>
          <t>N</t>
        </is>
      </c>
      <c r="K381" s="33">
        <f>IF($J381="Y","",IF($F381="BW",$I381,$H381*$I381))</f>
        <v/>
      </c>
      <c r="L381" s="33">
        <f>$D381&amp;"|"&amp;$H381</f>
        <v/>
      </c>
      <c r="M381" s="33" t="n"/>
    </row>
    <row r="382" ht="15" customHeight="1" s="22">
      <c r="A382" s="34" t="n">
        <v>46159</v>
      </c>
      <c r="B382" s="35" t="inlineStr">
        <is>
          <t>Sun</t>
        </is>
      </c>
      <c r="C382" s="35" t="inlineStr">
        <is>
          <t>Pull + Arms</t>
        </is>
      </c>
      <c r="D382" s="35" t="inlineStr">
        <is>
          <t>Smith Rows</t>
        </is>
      </c>
      <c r="E382" s="35" t="inlineStr">
        <is>
          <t>Smith</t>
        </is>
      </c>
      <c r="F382" s="35" t="inlineStr">
        <is>
          <t>lbs</t>
        </is>
      </c>
      <c r="G382" s="35" t="n">
        <v>1</v>
      </c>
      <c r="H382" s="35" t="n">
        <v>25</v>
      </c>
      <c r="I382" s="35" t="n">
        <v>8</v>
      </c>
      <c r="J382" s="35" t="inlineStr">
        <is>
          <t>Y</t>
        </is>
      </c>
      <c r="K382" s="35">
        <f>IF($J382="Y","",IF($F382="BW",$I382,$H382*$I382))</f>
        <v/>
      </c>
      <c r="L382" s="35">
        <f>$D382&amp;"|"&amp;$H382</f>
        <v/>
      </c>
      <c r="M382" s="35" t="n"/>
    </row>
    <row r="383" ht="15" customHeight="1" s="22">
      <c r="A383" s="32" t="n">
        <v>46159</v>
      </c>
      <c r="B383" s="33" t="inlineStr">
        <is>
          <t>Sun</t>
        </is>
      </c>
      <c r="C383" s="33" t="inlineStr">
        <is>
          <t>Pull + Arms</t>
        </is>
      </c>
      <c r="D383" s="33" t="inlineStr">
        <is>
          <t>Smith Rows</t>
        </is>
      </c>
      <c r="E383" s="33" t="inlineStr">
        <is>
          <t>Smith</t>
        </is>
      </c>
      <c r="F383" s="33" t="inlineStr">
        <is>
          <t>lbs</t>
        </is>
      </c>
      <c r="G383" s="33" t="n">
        <v>2</v>
      </c>
      <c r="H383" s="33" t="n">
        <v>50</v>
      </c>
      <c r="I383" s="33" t="n">
        <v>8</v>
      </c>
      <c r="J383" s="33" t="inlineStr">
        <is>
          <t>N</t>
        </is>
      </c>
      <c r="K383" s="33">
        <f>IF($J383="Y","",IF($F383="BW",$I383,$H383*$I383))</f>
        <v/>
      </c>
      <c r="L383" s="33">
        <f>$D383&amp;"|"&amp;$H383</f>
        <v/>
      </c>
      <c r="M383" s="33" t="n"/>
    </row>
    <row r="384" ht="15" customHeight="1" s="22">
      <c r="A384" s="32" t="n">
        <v>46159</v>
      </c>
      <c r="B384" s="33" t="inlineStr">
        <is>
          <t>Sun</t>
        </is>
      </c>
      <c r="C384" s="33" t="inlineStr">
        <is>
          <t>Pull + Arms</t>
        </is>
      </c>
      <c r="D384" s="33" t="inlineStr">
        <is>
          <t>Smith Rows</t>
        </is>
      </c>
      <c r="E384" s="33" t="inlineStr">
        <is>
          <t>Smith</t>
        </is>
      </c>
      <c r="F384" s="33" t="inlineStr">
        <is>
          <t>lbs</t>
        </is>
      </c>
      <c r="G384" s="33" t="n">
        <v>3</v>
      </c>
      <c r="H384" s="33" t="n">
        <v>65</v>
      </c>
      <c r="I384" s="33" t="n">
        <v>8</v>
      </c>
      <c r="J384" s="33" t="inlineStr">
        <is>
          <t>N</t>
        </is>
      </c>
      <c r="K384" s="33">
        <f>IF($J384="Y","",IF($F384="BW",$I384,$H384*$I384))</f>
        <v/>
      </c>
      <c r="L384" s="33">
        <f>$D384&amp;"|"&amp;$H384</f>
        <v/>
      </c>
      <c r="M384" s="33" t="n"/>
    </row>
    <row r="385" ht="15" customHeight="1" s="22">
      <c r="A385" s="32" t="n">
        <v>46159</v>
      </c>
      <c r="B385" s="33" t="inlineStr">
        <is>
          <t>Sun</t>
        </is>
      </c>
      <c r="C385" s="33" t="inlineStr">
        <is>
          <t>Pull + Arms</t>
        </is>
      </c>
      <c r="D385" s="33" t="inlineStr">
        <is>
          <t>Smith Rows</t>
        </is>
      </c>
      <c r="E385" s="33" t="inlineStr">
        <is>
          <t>Smith</t>
        </is>
      </c>
      <c r="F385" s="33" t="inlineStr">
        <is>
          <t>lbs</t>
        </is>
      </c>
      <c r="G385" s="33" t="n">
        <v>4</v>
      </c>
      <c r="H385" s="33" t="n">
        <v>65</v>
      </c>
      <c r="I385" s="33" t="n">
        <v>8</v>
      </c>
      <c r="J385" s="33" t="inlineStr">
        <is>
          <t>N</t>
        </is>
      </c>
      <c r="K385" s="33">
        <f>IF($J385="Y","",IF($F385="BW",$I385,$H385*$I385))</f>
        <v/>
      </c>
      <c r="L385" s="33">
        <f>$D385&amp;"|"&amp;$H385</f>
        <v/>
      </c>
      <c r="M385" s="33" t="n"/>
    </row>
    <row r="386" ht="15" customHeight="1" s="22">
      <c r="A386" s="34" t="n">
        <v>46159</v>
      </c>
      <c r="B386" s="35" t="inlineStr">
        <is>
          <t>Sun</t>
        </is>
      </c>
      <c r="C386" s="35" t="inlineStr">
        <is>
          <t>Pull + Arms</t>
        </is>
      </c>
      <c r="D386" s="35" t="inlineStr">
        <is>
          <t>Bicep Curls (DB)</t>
        </is>
      </c>
      <c r="E386" s="35" t="inlineStr">
        <is>
          <t>Dumbbell</t>
        </is>
      </c>
      <c r="F386" s="35" t="inlineStr">
        <is>
          <t>lbs</t>
        </is>
      </c>
      <c r="G386" s="35" t="n">
        <v>1</v>
      </c>
      <c r="H386" s="35" t="n">
        <v>20</v>
      </c>
      <c r="I386" s="35" t="n">
        <v>8</v>
      </c>
      <c r="J386" s="35" t="inlineStr">
        <is>
          <t>Y</t>
        </is>
      </c>
      <c r="K386" s="35">
        <f>IF($J386="Y","",IF($F386="BW",$I386,$H386*$I386))</f>
        <v/>
      </c>
      <c r="L386" s="35">
        <f>$D386&amp;"|"&amp;$H386</f>
        <v/>
      </c>
      <c r="M386" s="35" t="n"/>
    </row>
    <row r="387" ht="15" customHeight="1" s="22">
      <c r="A387" s="32" t="n">
        <v>46159</v>
      </c>
      <c r="B387" s="33" t="inlineStr">
        <is>
          <t>Sun</t>
        </is>
      </c>
      <c r="C387" s="33" t="inlineStr">
        <is>
          <t>Pull + Arms</t>
        </is>
      </c>
      <c r="D387" s="33" t="inlineStr">
        <is>
          <t>Bicep Curls (DB)</t>
        </is>
      </c>
      <c r="E387" s="33" t="inlineStr">
        <is>
          <t>Dumbbell</t>
        </is>
      </c>
      <c r="F387" s="33" t="inlineStr">
        <is>
          <t>lbs</t>
        </is>
      </c>
      <c r="G387" s="33" t="n">
        <v>2</v>
      </c>
      <c r="H387" s="33" t="n">
        <v>30</v>
      </c>
      <c r="I387" s="33" t="n">
        <v>8</v>
      </c>
      <c r="J387" s="33" t="inlineStr">
        <is>
          <t>N</t>
        </is>
      </c>
      <c r="K387" s="33">
        <f>IF($J387="Y","",IF($F387="BW",$I387,$H387*$I387))</f>
        <v/>
      </c>
      <c r="L387" s="33">
        <f>$D387&amp;"|"&amp;$H387</f>
        <v/>
      </c>
      <c r="M387" s="33" t="n"/>
    </row>
    <row r="388" ht="15" customHeight="1" s="22">
      <c r="A388" s="32" t="n">
        <v>46159</v>
      </c>
      <c r="B388" s="33" t="inlineStr">
        <is>
          <t>Sun</t>
        </is>
      </c>
      <c r="C388" s="33" t="inlineStr">
        <is>
          <t>Pull + Arms</t>
        </is>
      </c>
      <c r="D388" s="33" t="inlineStr">
        <is>
          <t>Bicep Curls (DB)</t>
        </is>
      </c>
      <c r="E388" s="33" t="inlineStr">
        <is>
          <t>Dumbbell</t>
        </is>
      </c>
      <c r="F388" s="33" t="inlineStr">
        <is>
          <t>lbs</t>
        </is>
      </c>
      <c r="G388" s="33" t="n">
        <v>3</v>
      </c>
      <c r="H388" s="33" t="n">
        <v>30</v>
      </c>
      <c r="I388" s="33" t="n">
        <v>8</v>
      </c>
      <c r="J388" s="33" t="inlineStr">
        <is>
          <t>N</t>
        </is>
      </c>
      <c r="K388" s="33">
        <f>IF($J388="Y","",IF($F388="BW",$I388,$H388*$I388))</f>
        <v/>
      </c>
      <c r="L388" s="33">
        <f>$D388&amp;"|"&amp;$H388</f>
        <v/>
      </c>
      <c r="M388" s="33" t="n"/>
    </row>
    <row r="389" ht="15" customHeight="1" s="22">
      <c r="A389" s="32" t="n">
        <v>46159</v>
      </c>
      <c r="B389" s="33" t="inlineStr">
        <is>
          <t>Sun</t>
        </is>
      </c>
      <c r="C389" s="33" t="inlineStr">
        <is>
          <t>Pull + Arms</t>
        </is>
      </c>
      <c r="D389" s="33" t="inlineStr">
        <is>
          <t>Bicep Curls (DB)</t>
        </is>
      </c>
      <c r="E389" s="33" t="inlineStr">
        <is>
          <t>Dumbbell</t>
        </is>
      </c>
      <c r="F389" s="33" t="inlineStr">
        <is>
          <t>lbs</t>
        </is>
      </c>
      <c r="G389" s="33" t="n">
        <v>4</v>
      </c>
      <c r="H389" s="33" t="n">
        <v>30</v>
      </c>
      <c r="I389" s="33" t="n">
        <v>8</v>
      </c>
      <c r="J389" s="33" t="inlineStr">
        <is>
          <t>N</t>
        </is>
      </c>
      <c r="K389" s="33">
        <f>IF($J389="Y","",IF($F389="BW",$I389,$H389*$I389))</f>
        <v/>
      </c>
      <c r="L389" s="33">
        <f>$D389&amp;"|"&amp;$H389</f>
        <v/>
      </c>
      <c r="M389" s="33" t="n"/>
    </row>
    <row r="390" ht="15" customHeight="1" s="22">
      <c r="A390" s="34" t="n">
        <v>46159</v>
      </c>
      <c r="B390" s="35" t="inlineStr">
        <is>
          <t>Sun</t>
        </is>
      </c>
      <c r="C390" s="35" t="inlineStr">
        <is>
          <t>Pull + Arms</t>
        </is>
      </c>
      <c r="D390" s="35" t="inlineStr">
        <is>
          <t>Shrugs</t>
        </is>
      </c>
      <c r="E390" s="35" t="inlineStr">
        <is>
          <t>Dumbbell</t>
        </is>
      </c>
      <c r="F390" s="35" t="inlineStr">
        <is>
          <t>lbs</t>
        </is>
      </c>
      <c r="G390" s="35" t="n">
        <v>1</v>
      </c>
      <c r="H390" s="35" t="n">
        <v>25</v>
      </c>
      <c r="I390" s="35" t="n">
        <v>8</v>
      </c>
      <c r="J390" s="35" t="inlineStr">
        <is>
          <t>Y</t>
        </is>
      </c>
      <c r="K390" s="35">
        <f>IF($J390="Y","",IF($F390="BW",$I390,$H390*$I390))</f>
        <v/>
      </c>
      <c r="L390" s="35">
        <f>$D390&amp;"|"&amp;$H390</f>
        <v/>
      </c>
      <c r="M390" s="35" t="n"/>
    </row>
    <row r="391" ht="15" customHeight="1" s="22">
      <c r="A391" s="32" t="n">
        <v>46159</v>
      </c>
      <c r="B391" s="33" t="inlineStr">
        <is>
          <t>Sun</t>
        </is>
      </c>
      <c r="C391" s="33" t="inlineStr">
        <is>
          <t>Pull + Arms</t>
        </is>
      </c>
      <c r="D391" s="33" t="inlineStr">
        <is>
          <t>Shrugs</t>
        </is>
      </c>
      <c r="E391" s="33" t="inlineStr">
        <is>
          <t>Dumbbell</t>
        </is>
      </c>
      <c r="F391" s="33" t="inlineStr">
        <is>
          <t>lbs</t>
        </is>
      </c>
      <c r="G391" s="33" t="n">
        <v>2</v>
      </c>
      <c r="H391" s="33" t="n">
        <v>50</v>
      </c>
      <c r="I391" s="33" t="n">
        <v>8</v>
      </c>
      <c r="J391" s="33" t="inlineStr">
        <is>
          <t>N</t>
        </is>
      </c>
      <c r="K391" s="33">
        <f>IF($J391="Y","",IF($F391="BW",$I391,$H391*$I391))</f>
        <v/>
      </c>
      <c r="L391" s="33">
        <f>$D391&amp;"|"&amp;$H391</f>
        <v/>
      </c>
      <c r="M391" s="33" t="n"/>
    </row>
    <row r="392" ht="15" customHeight="1" s="22">
      <c r="A392" s="32" t="n">
        <v>46159</v>
      </c>
      <c r="B392" s="33" t="inlineStr">
        <is>
          <t>Sun</t>
        </is>
      </c>
      <c r="C392" s="33" t="inlineStr">
        <is>
          <t>Pull + Arms</t>
        </is>
      </c>
      <c r="D392" s="33" t="inlineStr">
        <is>
          <t>Shrugs</t>
        </is>
      </c>
      <c r="E392" s="33" t="inlineStr">
        <is>
          <t>Dumbbell</t>
        </is>
      </c>
      <c r="F392" s="33" t="inlineStr">
        <is>
          <t>lbs</t>
        </is>
      </c>
      <c r="G392" s="33" t="n">
        <v>3</v>
      </c>
      <c r="H392" s="33" t="n">
        <v>50</v>
      </c>
      <c r="I392" s="33" t="n">
        <v>8</v>
      </c>
      <c r="J392" s="33" t="inlineStr">
        <is>
          <t>N</t>
        </is>
      </c>
      <c r="K392" s="33">
        <f>IF($J392="Y","",IF($F392="BW",$I392,$H392*$I392))</f>
        <v/>
      </c>
      <c r="L392" s="33">
        <f>$D392&amp;"|"&amp;$H392</f>
        <v/>
      </c>
      <c r="M392" s="33" t="n"/>
    </row>
    <row r="393" ht="15" customHeight="1" s="22">
      <c r="A393" s="32" t="n">
        <v>46159</v>
      </c>
      <c r="B393" s="33" t="inlineStr">
        <is>
          <t>Sun</t>
        </is>
      </c>
      <c r="C393" s="33" t="inlineStr">
        <is>
          <t>Pull + Arms</t>
        </is>
      </c>
      <c r="D393" s="33" t="inlineStr">
        <is>
          <t>Shrugs</t>
        </is>
      </c>
      <c r="E393" s="33" t="inlineStr">
        <is>
          <t>Dumbbell</t>
        </is>
      </c>
      <c r="F393" s="33" t="inlineStr">
        <is>
          <t>lbs</t>
        </is>
      </c>
      <c r="G393" s="33" t="n">
        <v>4</v>
      </c>
      <c r="H393" s="33" t="n">
        <v>50</v>
      </c>
      <c r="I393" s="33" t="n">
        <v>8</v>
      </c>
      <c r="J393" s="33" t="inlineStr">
        <is>
          <t>N</t>
        </is>
      </c>
      <c r="K393" s="33">
        <f>IF($J393="Y","",IF($F393="BW",$I393,$H393*$I393))</f>
        <v/>
      </c>
      <c r="L393" s="33">
        <f>$D393&amp;"|"&amp;$H393</f>
        <v/>
      </c>
      <c r="M393" s="33" t="n"/>
    </row>
    <row r="394" ht="15" customHeight="1" s="22">
      <c r="A394" s="34" t="n">
        <v>46164</v>
      </c>
      <c r="B394" s="35" t="inlineStr">
        <is>
          <t>Fri</t>
        </is>
      </c>
      <c r="C394" s="35" t="inlineStr">
        <is>
          <t>Push</t>
        </is>
      </c>
      <c r="D394" s="35" t="inlineStr">
        <is>
          <t>Bench Press (Smith)</t>
        </is>
      </c>
      <c r="E394" s="35" t="inlineStr">
        <is>
          <t>Smith</t>
        </is>
      </c>
      <c r="F394" s="35" t="inlineStr">
        <is>
          <t>lbs</t>
        </is>
      </c>
      <c r="G394" s="35" t="n">
        <v>1</v>
      </c>
      <c r="H394" s="35" t="n">
        <v>25</v>
      </c>
      <c r="I394" s="35" t="n">
        <v>8</v>
      </c>
      <c r="J394" s="35" t="inlineStr">
        <is>
          <t>Y</t>
        </is>
      </c>
      <c r="K394" s="35">
        <f>IF($J394="Y","",IF($F394="BW",$I394,$H394*$I394))</f>
        <v/>
      </c>
      <c r="L394" s="35">
        <f>$D394&amp;"|"&amp;$H394</f>
        <v/>
      </c>
      <c r="M394" s="35" t="n"/>
    </row>
    <row r="395" ht="15" customHeight="1" s="22">
      <c r="A395" s="34" t="n">
        <v>46164</v>
      </c>
      <c r="B395" s="35" t="inlineStr">
        <is>
          <t>Fri</t>
        </is>
      </c>
      <c r="C395" s="35" t="inlineStr">
        <is>
          <t>Push</t>
        </is>
      </c>
      <c r="D395" s="35" t="inlineStr">
        <is>
          <t>Bench Press (Smith)</t>
        </is>
      </c>
      <c r="E395" s="35" t="inlineStr">
        <is>
          <t>Smith</t>
        </is>
      </c>
      <c r="F395" s="35" t="inlineStr">
        <is>
          <t>lbs</t>
        </is>
      </c>
      <c r="G395" s="35" t="n">
        <v>2</v>
      </c>
      <c r="H395" s="35" t="n">
        <v>50</v>
      </c>
      <c r="I395" s="35" t="n">
        <v>8</v>
      </c>
      <c r="J395" s="35" t="inlineStr">
        <is>
          <t>Y</t>
        </is>
      </c>
      <c r="K395" s="35">
        <f>IF($J395="Y","",IF($F395="BW",$I395,$H395*$I395))</f>
        <v/>
      </c>
      <c r="L395" s="35">
        <f>$D395&amp;"|"&amp;$H395</f>
        <v/>
      </c>
      <c r="M395" s="35" t="n"/>
    </row>
    <row r="396" ht="15" customHeight="1" s="22">
      <c r="A396" s="32" t="n">
        <v>46164</v>
      </c>
      <c r="B396" s="33" t="inlineStr">
        <is>
          <t>Fri</t>
        </is>
      </c>
      <c r="C396" s="33" t="inlineStr">
        <is>
          <t>Push</t>
        </is>
      </c>
      <c r="D396" s="33" t="inlineStr">
        <is>
          <t>Bench Press (Smith)</t>
        </is>
      </c>
      <c r="E396" s="33" t="inlineStr">
        <is>
          <t>Smith</t>
        </is>
      </c>
      <c r="F396" s="33" t="inlineStr">
        <is>
          <t>lbs</t>
        </is>
      </c>
      <c r="G396" s="33" t="n">
        <v>3</v>
      </c>
      <c r="H396" s="33" t="n">
        <v>70</v>
      </c>
      <c r="I396" s="33" t="n">
        <v>8</v>
      </c>
      <c r="J396" s="33" t="inlineStr">
        <is>
          <t>N</t>
        </is>
      </c>
      <c r="K396" s="33">
        <f>IF($J396="Y","",IF($F396="BW",$I396,$H396*$I396))</f>
        <v/>
      </c>
      <c r="L396" s="33">
        <f>$D396&amp;"|"&amp;$H396</f>
        <v/>
      </c>
      <c r="M396" s="33" t="n"/>
    </row>
    <row r="397" ht="15" customHeight="1" s="22">
      <c r="A397" s="32" t="n">
        <v>46164</v>
      </c>
      <c r="B397" s="33" t="inlineStr">
        <is>
          <t>Fri</t>
        </is>
      </c>
      <c r="C397" s="33" t="inlineStr">
        <is>
          <t>Push</t>
        </is>
      </c>
      <c r="D397" s="33" t="inlineStr">
        <is>
          <t>Bench Press (Smith)</t>
        </is>
      </c>
      <c r="E397" s="33" t="inlineStr">
        <is>
          <t>Smith</t>
        </is>
      </c>
      <c r="F397" s="33" t="inlineStr">
        <is>
          <t>lbs</t>
        </is>
      </c>
      <c r="G397" s="33" t="n">
        <v>4</v>
      </c>
      <c r="H397" s="33" t="n">
        <v>95</v>
      </c>
      <c r="I397" s="33" t="n">
        <v>8</v>
      </c>
      <c r="J397" s="33" t="inlineStr">
        <is>
          <t>N</t>
        </is>
      </c>
      <c r="K397" s="33">
        <f>IF($J397="Y","",IF($F397="BW",$I397,$H397*$I397))</f>
        <v/>
      </c>
      <c r="L397" s="33">
        <f>$D397&amp;"|"&amp;$H397</f>
        <v/>
      </c>
      <c r="M397" s="33" t="n"/>
    </row>
    <row r="398" ht="15" customHeight="1" s="22">
      <c r="A398" s="32" t="n">
        <v>46164</v>
      </c>
      <c r="B398" s="33" t="inlineStr">
        <is>
          <t>Fri</t>
        </is>
      </c>
      <c r="C398" s="33" t="inlineStr">
        <is>
          <t>Push</t>
        </is>
      </c>
      <c r="D398" s="33" t="inlineStr">
        <is>
          <t>Bench Press (Smith)</t>
        </is>
      </c>
      <c r="E398" s="33" t="inlineStr">
        <is>
          <t>Smith</t>
        </is>
      </c>
      <c r="F398" s="33" t="inlineStr">
        <is>
          <t>lbs</t>
        </is>
      </c>
      <c r="G398" s="33" t="n">
        <v>5</v>
      </c>
      <c r="H398" s="33" t="n">
        <v>95</v>
      </c>
      <c r="I398" s="33" t="n">
        <v>8</v>
      </c>
      <c r="J398" s="33" t="inlineStr">
        <is>
          <t>N</t>
        </is>
      </c>
      <c r="K398" s="33">
        <f>IF($J398="Y","",IF($F398="BW",$I398,$H398*$I398))</f>
        <v/>
      </c>
      <c r="L398" s="33">
        <f>$D398&amp;"|"&amp;$H398</f>
        <v/>
      </c>
      <c r="M398" s="33" t="n"/>
    </row>
    <row r="399" ht="15" customHeight="1" s="22">
      <c r="A399" s="32" t="n">
        <v>46164</v>
      </c>
      <c r="B399" s="33" t="inlineStr">
        <is>
          <t>Fri</t>
        </is>
      </c>
      <c r="C399" s="33" t="inlineStr">
        <is>
          <t>Push</t>
        </is>
      </c>
      <c r="D399" s="33" t="inlineStr">
        <is>
          <t>Tricep Pulldown</t>
        </is>
      </c>
      <c r="E399" s="33" t="inlineStr">
        <is>
          <t>Cable</t>
        </is>
      </c>
      <c r="F399" s="33" t="inlineStr">
        <is>
          <t>kg</t>
        </is>
      </c>
      <c r="G399" s="33" t="n">
        <v>1</v>
      </c>
      <c r="H399" s="33" t="n">
        <v>15</v>
      </c>
      <c r="I399" s="33" t="n">
        <v>8</v>
      </c>
      <c r="J399" s="33" t="inlineStr">
        <is>
          <t>N</t>
        </is>
      </c>
      <c r="K399" s="33">
        <f>IF($J399="Y","",IF($F399="BW",$I399,$H399*$I399))</f>
        <v/>
      </c>
      <c r="L399" s="33">
        <f>$D399&amp;"|"&amp;$H399</f>
        <v/>
      </c>
      <c r="M399" s="33" t="n"/>
    </row>
    <row r="400" ht="15" customHeight="1" s="22">
      <c r="A400" s="32" t="n">
        <v>46164</v>
      </c>
      <c r="B400" s="33" t="inlineStr">
        <is>
          <t>Fri</t>
        </is>
      </c>
      <c r="C400" s="33" t="inlineStr">
        <is>
          <t>Push</t>
        </is>
      </c>
      <c r="D400" s="33" t="inlineStr">
        <is>
          <t>Tricep Pulldown</t>
        </is>
      </c>
      <c r="E400" s="33" t="inlineStr">
        <is>
          <t>Cable</t>
        </is>
      </c>
      <c r="F400" s="33" t="inlineStr">
        <is>
          <t>kg</t>
        </is>
      </c>
      <c r="G400" s="33" t="n">
        <v>2</v>
      </c>
      <c r="H400" s="33" t="n">
        <v>20</v>
      </c>
      <c r="I400" s="33" t="n">
        <v>8</v>
      </c>
      <c r="J400" s="33" t="inlineStr">
        <is>
          <t>N</t>
        </is>
      </c>
      <c r="K400" s="33">
        <f>IF($J400="Y","",IF($F400="BW",$I400,$H400*$I400))</f>
        <v/>
      </c>
      <c r="L400" s="33">
        <f>$D400&amp;"|"&amp;$H400</f>
        <v/>
      </c>
      <c r="M400" s="33" t="n"/>
    </row>
    <row r="401" ht="15" customHeight="1" s="22">
      <c r="A401" s="32" t="n">
        <v>46164</v>
      </c>
      <c r="B401" s="33" t="inlineStr">
        <is>
          <t>Fri</t>
        </is>
      </c>
      <c r="C401" s="33" t="inlineStr">
        <is>
          <t>Push</t>
        </is>
      </c>
      <c r="D401" s="33" t="inlineStr">
        <is>
          <t>Tricep Pulldown</t>
        </is>
      </c>
      <c r="E401" s="33" t="inlineStr">
        <is>
          <t>Cable</t>
        </is>
      </c>
      <c r="F401" s="33" t="inlineStr">
        <is>
          <t>kg</t>
        </is>
      </c>
      <c r="G401" s="33" t="n">
        <v>3</v>
      </c>
      <c r="H401" s="33" t="n">
        <v>22.5</v>
      </c>
      <c r="I401" s="33" t="n">
        <v>8</v>
      </c>
      <c r="J401" s="33" t="inlineStr">
        <is>
          <t>N</t>
        </is>
      </c>
      <c r="K401" s="33">
        <f>IF($J401="Y","",IF($F401="BW",$I401,$H401*$I401))</f>
        <v/>
      </c>
      <c r="L401" s="33">
        <f>$D401&amp;"|"&amp;$H401</f>
        <v/>
      </c>
      <c r="M401" s="33" t="n"/>
    </row>
    <row r="402" ht="15" customHeight="1" s="22">
      <c r="A402" s="34" t="n">
        <v>46164</v>
      </c>
      <c r="B402" s="35" t="inlineStr">
        <is>
          <t>Fri</t>
        </is>
      </c>
      <c r="C402" s="35" t="inlineStr">
        <is>
          <t>Push</t>
        </is>
      </c>
      <c r="D402" s="35" t="inlineStr">
        <is>
          <t>Shoulder Press</t>
        </is>
      </c>
      <c r="E402" s="35" t="inlineStr">
        <is>
          <t>Dumbbell</t>
        </is>
      </c>
      <c r="F402" s="35" t="inlineStr">
        <is>
          <t>lbs</t>
        </is>
      </c>
      <c r="G402" s="35" t="n">
        <v>1</v>
      </c>
      <c r="H402" s="35" t="n">
        <v>15</v>
      </c>
      <c r="I402" s="35" t="n">
        <v>8</v>
      </c>
      <c r="J402" s="35" t="inlineStr">
        <is>
          <t>Y</t>
        </is>
      </c>
      <c r="K402" s="35">
        <f>IF($J402="Y","",IF($F402="BW",$I402,$H402*$I402))</f>
        <v/>
      </c>
      <c r="L402" s="35">
        <f>$D402&amp;"|"&amp;$H402</f>
        <v/>
      </c>
      <c r="M402" s="35" t="n"/>
    </row>
    <row r="403" ht="15" customHeight="1" s="22">
      <c r="A403" s="32" t="n">
        <v>46164</v>
      </c>
      <c r="B403" s="33" t="inlineStr">
        <is>
          <t>Fri</t>
        </is>
      </c>
      <c r="C403" s="33" t="inlineStr">
        <is>
          <t>Push</t>
        </is>
      </c>
      <c r="D403" s="33" t="inlineStr">
        <is>
          <t>Shoulder Press</t>
        </is>
      </c>
      <c r="E403" s="33" t="inlineStr">
        <is>
          <t>Dumbbell</t>
        </is>
      </c>
      <c r="F403" s="33" t="inlineStr">
        <is>
          <t>lbs</t>
        </is>
      </c>
      <c r="G403" s="33" t="n">
        <v>2</v>
      </c>
      <c r="H403" s="33" t="n">
        <v>30</v>
      </c>
      <c r="I403" s="33" t="n">
        <v>8</v>
      </c>
      <c r="J403" s="33" t="inlineStr">
        <is>
          <t>N</t>
        </is>
      </c>
      <c r="K403" s="33">
        <f>IF($J403="Y","",IF($F403="BW",$I403,$H403*$I403))</f>
        <v/>
      </c>
      <c r="L403" s="33">
        <f>$D403&amp;"|"&amp;$H403</f>
        <v/>
      </c>
      <c r="M403" s="33" t="n"/>
    </row>
    <row r="404" ht="15" customHeight="1" s="22">
      <c r="A404" s="32" t="n">
        <v>46164</v>
      </c>
      <c r="B404" s="33" t="inlineStr">
        <is>
          <t>Fri</t>
        </is>
      </c>
      <c r="C404" s="33" t="inlineStr">
        <is>
          <t>Push</t>
        </is>
      </c>
      <c r="D404" s="33" t="inlineStr">
        <is>
          <t>Shoulder Press</t>
        </is>
      </c>
      <c r="E404" s="33" t="inlineStr">
        <is>
          <t>Dumbbell</t>
        </is>
      </c>
      <c r="F404" s="33" t="inlineStr">
        <is>
          <t>lbs</t>
        </is>
      </c>
      <c r="G404" s="33" t="n">
        <v>3</v>
      </c>
      <c r="H404" s="33" t="n">
        <v>30</v>
      </c>
      <c r="I404" s="33" t="n">
        <v>8</v>
      </c>
      <c r="J404" s="33" t="inlineStr">
        <is>
          <t>N</t>
        </is>
      </c>
      <c r="K404" s="33">
        <f>IF($J404="Y","",IF($F404="BW",$I404,$H404*$I404))</f>
        <v/>
      </c>
      <c r="L404" s="33">
        <f>$D404&amp;"|"&amp;$H404</f>
        <v/>
      </c>
      <c r="M404" s="33" t="n"/>
    </row>
    <row r="405" ht="15" customHeight="1" s="22">
      <c r="A405" s="32" t="n">
        <v>46164</v>
      </c>
      <c r="B405" s="33" t="inlineStr">
        <is>
          <t>Fri</t>
        </is>
      </c>
      <c r="C405" s="33" t="inlineStr">
        <is>
          <t>Push</t>
        </is>
      </c>
      <c r="D405" s="33" t="inlineStr">
        <is>
          <t>Shoulder Press</t>
        </is>
      </c>
      <c r="E405" s="33" t="inlineStr">
        <is>
          <t>Dumbbell</t>
        </is>
      </c>
      <c r="F405" s="33" t="inlineStr">
        <is>
          <t>lbs</t>
        </is>
      </c>
      <c r="G405" s="33" t="n">
        <v>4</v>
      </c>
      <c r="H405" s="33" t="n">
        <v>30</v>
      </c>
      <c r="I405" s="33" t="n">
        <v>8</v>
      </c>
      <c r="J405" s="33" t="inlineStr">
        <is>
          <t>N</t>
        </is>
      </c>
      <c r="K405" s="33">
        <f>IF($J405="Y","",IF($F405="BW",$I405,$H405*$I405))</f>
        <v/>
      </c>
      <c r="L405" s="33">
        <f>$D405&amp;"|"&amp;$H405</f>
        <v/>
      </c>
      <c r="M405" s="33" t="n"/>
    </row>
    <row r="406" ht="15" customHeight="1" s="22">
      <c r="A406" s="34" t="n">
        <v>46165</v>
      </c>
      <c r="B406" s="35" t="inlineStr">
        <is>
          <t>Sat</t>
        </is>
      </c>
      <c r="C406" s="35" t="inlineStr">
        <is>
          <t>Pull + Arms</t>
        </is>
      </c>
      <c r="D406" s="35" t="inlineStr">
        <is>
          <t>Single Arm Lat Pulldown</t>
        </is>
      </c>
      <c r="E406" s="35" t="inlineStr">
        <is>
          <t>Cable</t>
        </is>
      </c>
      <c r="F406" s="35" t="inlineStr">
        <is>
          <t>kg</t>
        </is>
      </c>
      <c r="G406" s="35" t="n">
        <v>1</v>
      </c>
      <c r="H406" s="35" t="n">
        <v>12.5</v>
      </c>
      <c r="I406" s="35" t="n">
        <v>8</v>
      </c>
      <c r="J406" s="35" t="inlineStr">
        <is>
          <t>Y</t>
        </is>
      </c>
      <c r="K406" s="35">
        <f>IF($J406="Y","",IF($F406="BW",$I406,$H406*$I406))</f>
        <v/>
      </c>
      <c r="L406" s="35">
        <f>$D406&amp;"|"&amp;$H406</f>
        <v/>
      </c>
      <c r="M406" s="35" t="n"/>
    </row>
    <row r="407" ht="15" customHeight="1" s="22">
      <c r="A407" s="32" t="n">
        <v>46165</v>
      </c>
      <c r="B407" s="33" t="inlineStr">
        <is>
          <t>Sat</t>
        </is>
      </c>
      <c r="C407" s="33" t="inlineStr">
        <is>
          <t>Pull + Arms</t>
        </is>
      </c>
      <c r="D407" s="33" t="inlineStr">
        <is>
          <t>Single Arm Lat Pulldown</t>
        </is>
      </c>
      <c r="E407" s="33" t="inlineStr">
        <is>
          <t>Cable</t>
        </is>
      </c>
      <c r="F407" s="33" t="inlineStr">
        <is>
          <t>kg</t>
        </is>
      </c>
      <c r="G407" s="33" t="n">
        <v>2</v>
      </c>
      <c r="H407" s="33" t="n">
        <v>20</v>
      </c>
      <c r="I407" s="33" t="n">
        <v>8</v>
      </c>
      <c r="J407" s="33" t="inlineStr">
        <is>
          <t>N</t>
        </is>
      </c>
      <c r="K407" s="33">
        <f>IF($J407="Y","",IF($F407="BW",$I407,$H407*$I407))</f>
        <v/>
      </c>
      <c r="L407" s="33">
        <f>$D407&amp;"|"&amp;$H407</f>
        <v/>
      </c>
      <c r="M407" s="33" t="n"/>
    </row>
    <row r="408" ht="15" customHeight="1" s="22">
      <c r="A408" s="32" t="n">
        <v>46165</v>
      </c>
      <c r="B408" s="33" t="inlineStr">
        <is>
          <t>Sat</t>
        </is>
      </c>
      <c r="C408" s="33" t="inlineStr">
        <is>
          <t>Pull + Arms</t>
        </is>
      </c>
      <c r="D408" s="33" t="inlineStr">
        <is>
          <t>Single Arm Lat Pulldown</t>
        </is>
      </c>
      <c r="E408" s="33" t="inlineStr">
        <is>
          <t>Cable</t>
        </is>
      </c>
      <c r="F408" s="33" t="inlineStr">
        <is>
          <t>kg</t>
        </is>
      </c>
      <c r="G408" s="33" t="n">
        <v>3</v>
      </c>
      <c r="H408" s="33" t="n">
        <v>22.5</v>
      </c>
      <c r="I408" s="33" t="n">
        <v>8</v>
      </c>
      <c r="J408" s="33" t="inlineStr">
        <is>
          <t>N</t>
        </is>
      </c>
      <c r="K408" s="33">
        <f>IF($J408="Y","",IF($F408="BW",$I408,$H408*$I408))</f>
        <v/>
      </c>
      <c r="L408" s="33">
        <f>$D408&amp;"|"&amp;$H408</f>
        <v/>
      </c>
      <c r="M408" s="33" t="n"/>
    </row>
    <row r="409" ht="15" customHeight="1" s="22">
      <c r="A409" s="32" t="n">
        <v>46165</v>
      </c>
      <c r="B409" s="33" t="inlineStr">
        <is>
          <t>Sat</t>
        </is>
      </c>
      <c r="C409" s="33" t="inlineStr">
        <is>
          <t>Pull + Arms</t>
        </is>
      </c>
      <c r="D409" s="33" t="inlineStr">
        <is>
          <t>Single Arm Lat Pulldown</t>
        </is>
      </c>
      <c r="E409" s="33" t="inlineStr">
        <is>
          <t>Cable</t>
        </is>
      </c>
      <c r="F409" s="33" t="inlineStr">
        <is>
          <t>kg</t>
        </is>
      </c>
      <c r="G409" s="33" t="n">
        <v>4</v>
      </c>
      <c r="H409" s="33" t="n">
        <v>22.5</v>
      </c>
      <c r="I409" s="33" t="n">
        <v>8</v>
      </c>
      <c r="J409" s="33" t="inlineStr">
        <is>
          <t>N</t>
        </is>
      </c>
      <c r="K409" s="33">
        <f>IF($J409="Y","",IF($F409="BW",$I409,$H409*$I409))</f>
        <v/>
      </c>
      <c r="L409" s="33">
        <f>$D409&amp;"|"&amp;$H409</f>
        <v/>
      </c>
      <c r="M409" s="33" t="n"/>
    </row>
    <row r="410" ht="15" customHeight="1" s="22">
      <c r="A410" s="32" t="n">
        <v>46165</v>
      </c>
      <c r="B410" s="33" t="inlineStr">
        <is>
          <t>Sat</t>
        </is>
      </c>
      <c r="C410" s="33" t="inlineStr">
        <is>
          <t>Pull + Arms</t>
        </is>
      </c>
      <c r="D410" s="33" t="inlineStr">
        <is>
          <t>Straight Arm Pulldown</t>
        </is>
      </c>
      <c r="E410" s="33" t="inlineStr">
        <is>
          <t>Cable</t>
        </is>
      </c>
      <c r="F410" s="33" t="inlineStr">
        <is>
          <t>kg</t>
        </is>
      </c>
      <c r="G410" s="33" t="n">
        <v>1</v>
      </c>
      <c r="H410" s="33" t="n">
        <v>2.5</v>
      </c>
      <c r="I410" s="33" t="n">
        <v>8</v>
      </c>
      <c r="J410" s="33" t="inlineStr">
        <is>
          <t>N</t>
        </is>
      </c>
      <c r="K410" s="33">
        <f>IF($J410="Y","",IF($F410="BW",$I410,$H410*$I410))</f>
        <v/>
      </c>
      <c r="L410" s="33">
        <f>$D410&amp;"|"&amp;$H410</f>
        <v/>
      </c>
      <c r="M410" s="33" t="n"/>
    </row>
    <row r="411" ht="15" customHeight="1" s="22">
      <c r="A411" s="32" t="n">
        <v>46165</v>
      </c>
      <c r="B411" s="33" t="inlineStr">
        <is>
          <t>Sat</t>
        </is>
      </c>
      <c r="C411" s="33" t="inlineStr">
        <is>
          <t>Pull + Arms</t>
        </is>
      </c>
      <c r="D411" s="33" t="inlineStr">
        <is>
          <t>Straight Arm Pulldown</t>
        </is>
      </c>
      <c r="E411" s="33" t="inlineStr">
        <is>
          <t>Cable</t>
        </is>
      </c>
      <c r="F411" s="33" t="inlineStr">
        <is>
          <t>kg</t>
        </is>
      </c>
      <c r="G411" s="33" t="n">
        <v>2</v>
      </c>
      <c r="H411" s="33" t="n">
        <v>5</v>
      </c>
      <c r="I411" s="33" t="n">
        <v>8</v>
      </c>
      <c r="J411" s="33" t="inlineStr">
        <is>
          <t>N</t>
        </is>
      </c>
      <c r="K411" s="33">
        <f>IF($J411="Y","",IF($F411="BW",$I411,$H411*$I411))</f>
        <v/>
      </c>
      <c r="L411" s="33">
        <f>$D411&amp;"|"&amp;$H411</f>
        <v/>
      </c>
      <c r="M411" s="33" t="n"/>
    </row>
    <row r="412" ht="15" customHeight="1" s="22">
      <c r="A412" s="32" t="n">
        <v>46165</v>
      </c>
      <c r="B412" s="33" t="inlineStr">
        <is>
          <t>Sat</t>
        </is>
      </c>
      <c r="C412" s="33" t="inlineStr">
        <is>
          <t>Pull + Arms</t>
        </is>
      </c>
      <c r="D412" s="33" t="inlineStr">
        <is>
          <t>Straight Arm Pulldown</t>
        </is>
      </c>
      <c r="E412" s="33" t="inlineStr">
        <is>
          <t>Cable</t>
        </is>
      </c>
      <c r="F412" s="33" t="inlineStr">
        <is>
          <t>kg</t>
        </is>
      </c>
      <c r="G412" s="33" t="n">
        <v>3</v>
      </c>
      <c r="H412" s="33" t="n">
        <v>5</v>
      </c>
      <c r="I412" s="33" t="n">
        <v>8</v>
      </c>
      <c r="J412" s="33" t="inlineStr">
        <is>
          <t>N</t>
        </is>
      </c>
      <c r="K412" s="33">
        <f>IF($J412="Y","",IF($F412="BW",$I412,$H412*$I412))</f>
        <v/>
      </c>
      <c r="L412" s="33">
        <f>$D412&amp;"|"&amp;$H412</f>
        <v/>
      </c>
      <c r="M412" s="33" t="n"/>
    </row>
    <row r="413" ht="15" customHeight="1" s="22">
      <c r="A413" s="32" t="n">
        <v>46165</v>
      </c>
      <c r="B413" s="33" t="inlineStr">
        <is>
          <t>Sat</t>
        </is>
      </c>
      <c r="C413" s="33" t="inlineStr">
        <is>
          <t>Pull + Arms</t>
        </is>
      </c>
      <c r="D413" s="33" t="inlineStr">
        <is>
          <t>Straight Arm Pulldown</t>
        </is>
      </c>
      <c r="E413" s="33" t="inlineStr">
        <is>
          <t>Cable</t>
        </is>
      </c>
      <c r="F413" s="33" t="inlineStr">
        <is>
          <t>kg</t>
        </is>
      </c>
      <c r="G413" s="33" t="n">
        <v>4</v>
      </c>
      <c r="H413" s="33" t="n">
        <v>7.5</v>
      </c>
      <c r="I413" s="33" t="n">
        <v>8</v>
      </c>
      <c r="J413" s="33" t="inlineStr">
        <is>
          <t>N</t>
        </is>
      </c>
      <c r="K413" s="33">
        <f>IF($J413="Y","",IF($F413="BW",$I413,$H413*$I413))</f>
        <v/>
      </c>
      <c r="L413" s="33">
        <f>$D413&amp;"|"&amp;$H413</f>
        <v/>
      </c>
      <c r="M413" s="33" t="n"/>
    </row>
    <row r="414" ht="15" customHeight="1" s="22">
      <c r="A414" s="34" t="n">
        <v>46165</v>
      </c>
      <c r="B414" s="35" t="inlineStr">
        <is>
          <t>Sat</t>
        </is>
      </c>
      <c r="C414" s="35" t="inlineStr">
        <is>
          <t>Pull + Arms</t>
        </is>
      </c>
      <c r="D414" s="35" t="inlineStr">
        <is>
          <t>Bicep Curls (DB)</t>
        </is>
      </c>
      <c r="E414" s="35" t="inlineStr">
        <is>
          <t>Dumbbell</t>
        </is>
      </c>
      <c r="F414" s="35" t="inlineStr">
        <is>
          <t>lbs</t>
        </is>
      </c>
      <c r="G414" s="35" t="n">
        <v>1</v>
      </c>
      <c r="H414" s="35" t="n">
        <v>20</v>
      </c>
      <c r="I414" s="35" t="n">
        <v>8</v>
      </c>
      <c r="J414" s="35" t="inlineStr">
        <is>
          <t>Y</t>
        </is>
      </c>
      <c r="K414" s="35">
        <f>IF($J414="Y","",IF($F414="BW",$I414,$H414*$I414))</f>
        <v/>
      </c>
      <c r="L414" s="35">
        <f>$D414&amp;"|"&amp;$H414</f>
        <v/>
      </c>
      <c r="M414" s="35" t="n"/>
    </row>
    <row r="415" ht="15" customHeight="1" s="22">
      <c r="A415" s="32" t="n">
        <v>46165</v>
      </c>
      <c r="B415" s="33" t="inlineStr">
        <is>
          <t>Sat</t>
        </is>
      </c>
      <c r="C415" s="33" t="inlineStr">
        <is>
          <t>Pull + Arms</t>
        </is>
      </c>
      <c r="D415" s="33" t="inlineStr">
        <is>
          <t>Bicep Curls (DB)</t>
        </is>
      </c>
      <c r="E415" s="33" t="inlineStr">
        <is>
          <t>Dumbbell</t>
        </is>
      </c>
      <c r="F415" s="33" t="inlineStr">
        <is>
          <t>lbs</t>
        </is>
      </c>
      <c r="G415" s="33" t="n">
        <v>2</v>
      </c>
      <c r="H415" s="33" t="n">
        <v>30</v>
      </c>
      <c r="I415" s="33" t="n">
        <v>6</v>
      </c>
      <c r="J415" s="33" t="inlineStr">
        <is>
          <t>N</t>
        </is>
      </c>
      <c r="K415" s="33">
        <f>IF($J415="Y","",IF($F415="BW",$I415,$H415*$I415))</f>
        <v/>
      </c>
      <c r="L415" s="33">
        <f>$D415&amp;"|"&amp;$H415</f>
        <v/>
      </c>
      <c r="M415" s="33" t="n"/>
    </row>
    <row r="416" ht="15" customHeight="1" s="22">
      <c r="A416" s="32" t="n">
        <v>46165</v>
      </c>
      <c r="B416" s="33" t="inlineStr">
        <is>
          <t>Sat</t>
        </is>
      </c>
      <c r="C416" s="33" t="inlineStr">
        <is>
          <t>Pull + Arms</t>
        </is>
      </c>
      <c r="D416" s="33" t="inlineStr">
        <is>
          <t>Bicep Curls (DB)</t>
        </is>
      </c>
      <c r="E416" s="33" t="inlineStr">
        <is>
          <t>Dumbbell</t>
        </is>
      </c>
      <c r="F416" s="33" t="inlineStr">
        <is>
          <t>lbs</t>
        </is>
      </c>
      <c r="G416" s="33" t="n">
        <v>3</v>
      </c>
      <c r="H416" s="33" t="n">
        <v>25</v>
      </c>
      <c r="I416" s="33" t="n">
        <v>8</v>
      </c>
      <c r="J416" s="33" t="inlineStr">
        <is>
          <t>N</t>
        </is>
      </c>
      <c r="K416" s="33">
        <f>IF($J416="Y","",IF($F416="BW",$I416,$H416*$I416))</f>
        <v/>
      </c>
      <c r="L416" s="33">
        <f>$D416&amp;"|"&amp;$H416</f>
        <v/>
      </c>
      <c r="M416" s="33" t="n"/>
    </row>
    <row r="417" ht="15" customHeight="1" s="22">
      <c r="A417" s="34" t="n">
        <v>46165</v>
      </c>
      <c r="B417" s="35" t="inlineStr">
        <is>
          <t>Sat</t>
        </is>
      </c>
      <c r="C417" s="35" t="inlineStr">
        <is>
          <t>Pull + Arms</t>
        </is>
      </c>
      <c r="D417" s="35" t="inlineStr">
        <is>
          <t>Shrugs</t>
        </is>
      </c>
      <c r="E417" s="35" t="inlineStr">
        <is>
          <t>Dumbbell</t>
        </is>
      </c>
      <c r="F417" s="35" t="inlineStr">
        <is>
          <t>lbs</t>
        </is>
      </c>
      <c r="G417" s="35" t="n">
        <v>1</v>
      </c>
      <c r="H417" s="35" t="n">
        <v>25</v>
      </c>
      <c r="I417" s="35" t="n">
        <v>8</v>
      </c>
      <c r="J417" s="35" t="inlineStr">
        <is>
          <t>Y</t>
        </is>
      </c>
      <c r="K417" s="35">
        <f>IF($J417="Y","",IF($F417="BW",$I417,$H417*$I417))</f>
        <v/>
      </c>
      <c r="L417" s="35">
        <f>$D417&amp;"|"&amp;$H417</f>
        <v/>
      </c>
      <c r="M417" s="35" t="n"/>
    </row>
    <row r="418" ht="15" customHeight="1" s="22">
      <c r="A418" s="32" t="n">
        <v>46165</v>
      </c>
      <c r="B418" s="33" t="inlineStr">
        <is>
          <t>Sat</t>
        </is>
      </c>
      <c r="C418" s="33" t="inlineStr">
        <is>
          <t>Pull + Arms</t>
        </is>
      </c>
      <c r="D418" s="33" t="inlineStr">
        <is>
          <t>Shrugs</t>
        </is>
      </c>
      <c r="E418" s="33" t="inlineStr">
        <is>
          <t>Dumbbell</t>
        </is>
      </c>
      <c r="F418" s="33" t="inlineStr">
        <is>
          <t>lbs</t>
        </is>
      </c>
      <c r="G418" s="33" t="n">
        <v>2</v>
      </c>
      <c r="H418" s="33" t="n">
        <v>50</v>
      </c>
      <c r="I418" s="33" t="n">
        <v>8</v>
      </c>
      <c r="J418" s="33" t="inlineStr">
        <is>
          <t>N</t>
        </is>
      </c>
      <c r="K418" s="33">
        <f>IF($J418="Y","",IF($F418="BW",$I418,$H418*$I418))</f>
        <v/>
      </c>
      <c r="L418" s="33">
        <f>$D418&amp;"|"&amp;$H418</f>
        <v/>
      </c>
      <c r="M418" s="33" t="n"/>
    </row>
    <row r="419" ht="15" customHeight="1" s="22">
      <c r="A419" s="32" t="n">
        <v>46165</v>
      </c>
      <c r="B419" s="33" t="inlineStr">
        <is>
          <t>Sat</t>
        </is>
      </c>
      <c r="C419" s="33" t="inlineStr">
        <is>
          <t>Pull + Arms</t>
        </is>
      </c>
      <c r="D419" s="33" t="inlineStr">
        <is>
          <t>Shrugs</t>
        </is>
      </c>
      <c r="E419" s="33" t="inlineStr">
        <is>
          <t>Dumbbell</t>
        </is>
      </c>
      <c r="F419" s="33" t="inlineStr">
        <is>
          <t>lbs</t>
        </is>
      </c>
      <c r="G419" s="33" t="n">
        <v>3</v>
      </c>
      <c r="H419" s="33" t="n">
        <v>50</v>
      </c>
      <c r="I419" s="33" t="n">
        <v>8</v>
      </c>
      <c r="J419" s="33" t="inlineStr">
        <is>
          <t>N</t>
        </is>
      </c>
      <c r="K419" s="33">
        <f>IF($J419="Y","",IF($F419="BW",$I419,$H419*$I419))</f>
        <v/>
      </c>
      <c r="L419" s="33">
        <f>$D419&amp;"|"&amp;$H419</f>
        <v/>
      </c>
      <c r="M419" s="33" t="n"/>
    </row>
    <row r="420" ht="15" customHeight="1" s="22">
      <c r="A420" s="32" t="n">
        <v>46165</v>
      </c>
      <c r="B420" s="33" t="inlineStr">
        <is>
          <t>Sat</t>
        </is>
      </c>
      <c r="C420" s="33" t="inlineStr">
        <is>
          <t>Pull + Arms</t>
        </is>
      </c>
      <c r="D420" s="33" t="inlineStr">
        <is>
          <t>Shrugs</t>
        </is>
      </c>
      <c r="E420" s="33" t="inlineStr">
        <is>
          <t>Dumbbell</t>
        </is>
      </c>
      <c r="F420" s="33" t="inlineStr">
        <is>
          <t>lbs</t>
        </is>
      </c>
      <c r="G420" s="33" t="n">
        <v>4</v>
      </c>
      <c r="H420" s="33" t="n">
        <v>50</v>
      </c>
      <c r="I420" s="33" t="n">
        <v>8</v>
      </c>
      <c r="J420" s="33" t="inlineStr">
        <is>
          <t>N</t>
        </is>
      </c>
      <c r="K420" s="33">
        <f>IF($J420="Y","",IF($F420="BW",$I420,$H420*$I420))</f>
        <v/>
      </c>
      <c r="L420" s="33">
        <f>$D420&amp;"|"&amp;$H420</f>
        <v/>
      </c>
      <c r="M420" s="33" t="n"/>
    </row>
    <row r="421" ht="15" customHeight="1" s="22">
      <c r="A421" s="34" t="n">
        <v>46172</v>
      </c>
      <c r="B421" s="35" t="inlineStr">
        <is>
          <t>Sat</t>
        </is>
      </c>
      <c r="C421" s="35" t="inlineStr">
        <is>
          <t>Push (partial)</t>
        </is>
      </c>
      <c r="D421" s="35" t="inlineStr">
        <is>
          <t>Tricep Pulldown</t>
        </is>
      </c>
      <c r="E421" s="35" t="inlineStr">
        <is>
          <t>Cable</t>
        </is>
      </c>
      <c r="F421" s="35" t="inlineStr">
        <is>
          <t>kg</t>
        </is>
      </c>
      <c r="G421" s="35" t="n">
        <v>1</v>
      </c>
      <c r="H421" s="35" t="n">
        <v>12.5</v>
      </c>
      <c r="I421" s="35" t="n">
        <v>8</v>
      </c>
      <c r="J421" s="35" t="inlineStr">
        <is>
          <t>Y</t>
        </is>
      </c>
      <c r="K421" s="35">
        <f>IF($J421="Y","",IF($F421="BW",$I421,$H421*$I421))</f>
        <v/>
      </c>
      <c r="L421" s="35">
        <f>$D421&amp;"|"&amp;$H421</f>
        <v/>
      </c>
      <c r="M421" s="35" t="n"/>
    </row>
    <row r="422" ht="15" customHeight="1" s="22">
      <c r="A422" s="32" t="n">
        <v>46172</v>
      </c>
      <c r="B422" s="33" t="inlineStr">
        <is>
          <t>Sat</t>
        </is>
      </c>
      <c r="C422" s="33" t="inlineStr">
        <is>
          <t>Push (partial)</t>
        </is>
      </c>
      <c r="D422" s="33" t="inlineStr">
        <is>
          <t>Tricep Pulldown</t>
        </is>
      </c>
      <c r="E422" s="33" t="inlineStr">
        <is>
          <t>Cable</t>
        </is>
      </c>
      <c r="F422" s="33" t="inlineStr">
        <is>
          <t>kg</t>
        </is>
      </c>
      <c r="G422" s="33" t="n">
        <v>2</v>
      </c>
      <c r="H422" s="33" t="n">
        <v>20</v>
      </c>
      <c r="I422" s="33" t="n">
        <v>8</v>
      </c>
      <c r="J422" s="33" t="inlineStr">
        <is>
          <t>N</t>
        </is>
      </c>
      <c r="K422" s="33">
        <f>IF($J422="Y","",IF($F422="BW",$I422,$H422*$I422))</f>
        <v/>
      </c>
      <c r="L422" s="33">
        <f>$D422&amp;"|"&amp;$H422</f>
        <v/>
      </c>
      <c r="M422" s="33" t="n"/>
    </row>
    <row r="423" ht="15" customHeight="1" s="22">
      <c r="A423" s="32" t="n">
        <v>46172</v>
      </c>
      <c r="B423" s="33" t="inlineStr">
        <is>
          <t>Sat</t>
        </is>
      </c>
      <c r="C423" s="33" t="inlineStr">
        <is>
          <t>Push (partial)</t>
        </is>
      </c>
      <c r="D423" s="33" t="inlineStr">
        <is>
          <t>Tricep Pulldown</t>
        </is>
      </c>
      <c r="E423" s="33" t="inlineStr">
        <is>
          <t>Cable</t>
        </is>
      </c>
      <c r="F423" s="33" t="inlineStr">
        <is>
          <t>kg</t>
        </is>
      </c>
      <c r="G423" s="33" t="n">
        <v>3</v>
      </c>
      <c r="H423" s="33" t="n">
        <v>22.5</v>
      </c>
      <c r="I423" s="33" t="n">
        <v>8</v>
      </c>
      <c r="J423" s="33" t="inlineStr">
        <is>
          <t>N</t>
        </is>
      </c>
      <c r="K423" s="33">
        <f>IF($J423="Y","",IF($F423="BW",$I423,$H423*$I423))</f>
        <v/>
      </c>
      <c r="L423" s="33">
        <f>$D423&amp;"|"&amp;$H423</f>
        <v/>
      </c>
      <c r="M423" s="33" t="n"/>
    </row>
    <row r="424" ht="15" customHeight="1" s="22">
      <c r="A424" s="32" t="n">
        <v>46172</v>
      </c>
      <c r="B424" s="33" t="inlineStr">
        <is>
          <t>Sat</t>
        </is>
      </c>
      <c r="C424" s="33" t="inlineStr">
        <is>
          <t>Push (partial)</t>
        </is>
      </c>
      <c r="D424" s="33" t="inlineStr">
        <is>
          <t>Tricep Pulldown</t>
        </is>
      </c>
      <c r="E424" s="33" t="inlineStr">
        <is>
          <t>Cable</t>
        </is>
      </c>
      <c r="F424" s="33" t="inlineStr">
        <is>
          <t>kg</t>
        </is>
      </c>
      <c r="G424" s="33" t="n">
        <v>4</v>
      </c>
      <c r="H424" s="33" t="n">
        <v>22.5</v>
      </c>
      <c r="I424" s="33" t="n">
        <v>8</v>
      </c>
      <c r="J424" s="33" t="inlineStr">
        <is>
          <t>N</t>
        </is>
      </c>
      <c r="K424" s="33">
        <f>IF($J424="Y","",IF($F424="BW",$I424,$H424*$I424))</f>
        <v/>
      </c>
      <c r="L424" s="33">
        <f>$D424&amp;"|"&amp;$H424</f>
        <v/>
      </c>
      <c r="M424" s="33" t="n"/>
    </row>
    <row r="425" ht="15" customHeight="1" s="22">
      <c r="A425" s="32" t="n">
        <v>46172</v>
      </c>
      <c r="B425" s="33" t="inlineStr">
        <is>
          <t>Sat</t>
        </is>
      </c>
      <c r="C425" s="33" t="inlineStr">
        <is>
          <t>Push (partial)</t>
        </is>
      </c>
      <c r="D425" s="33" t="inlineStr">
        <is>
          <t>Cable Flyes</t>
        </is>
      </c>
      <c r="E425" s="33" t="inlineStr">
        <is>
          <t>Cable</t>
        </is>
      </c>
      <c r="F425" s="33" t="inlineStr">
        <is>
          <t>kg</t>
        </is>
      </c>
      <c r="G425" s="33" t="n">
        <v>1</v>
      </c>
      <c r="H425" s="33" t="n">
        <v>5</v>
      </c>
      <c r="I425" s="33" t="n">
        <v>8</v>
      </c>
      <c r="J425" s="33" t="inlineStr">
        <is>
          <t>N</t>
        </is>
      </c>
      <c r="K425" s="33">
        <f>IF($J425="Y","",IF($F425="BW",$I425,$H425*$I425))</f>
        <v/>
      </c>
      <c r="L425" s="33">
        <f>$D425&amp;"|"&amp;$H425</f>
        <v/>
      </c>
      <c r="M425" s="33" t="n"/>
    </row>
    <row r="426" ht="15" customHeight="1" s="22">
      <c r="A426" s="32" t="n">
        <v>46172</v>
      </c>
      <c r="B426" s="33" t="inlineStr">
        <is>
          <t>Sat</t>
        </is>
      </c>
      <c r="C426" s="33" t="inlineStr">
        <is>
          <t>Push (partial)</t>
        </is>
      </c>
      <c r="D426" s="33" t="inlineStr">
        <is>
          <t>Cable Flyes</t>
        </is>
      </c>
      <c r="E426" s="33" t="inlineStr">
        <is>
          <t>Cable</t>
        </is>
      </c>
      <c r="F426" s="33" t="inlineStr">
        <is>
          <t>kg</t>
        </is>
      </c>
      <c r="G426" s="33" t="n">
        <v>2</v>
      </c>
      <c r="H426" s="33" t="n">
        <v>7.5</v>
      </c>
      <c r="I426" s="33" t="n">
        <v>8</v>
      </c>
      <c r="J426" s="33" t="inlineStr">
        <is>
          <t>N</t>
        </is>
      </c>
      <c r="K426" s="33">
        <f>IF($J426="Y","",IF($F426="BW",$I426,$H426*$I426))</f>
        <v/>
      </c>
      <c r="L426" s="33">
        <f>$D426&amp;"|"&amp;$H426</f>
        <v/>
      </c>
      <c r="M426" s="33" t="n"/>
    </row>
    <row r="427" ht="15" customHeight="1" s="22">
      <c r="A427" s="32" t="n">
        <v>46172</v>
      </c>
      <c r="B427" s="33" t="inlineStr">
        <is>
          <t>Sat</t>
        </is>
      </c>
      <c r="C427" s="33" t="inlineStr">
        <is>
          <t>Push (partial)</t>
        </is>
      </c>
      <c r="D427" s="33" t="inlineStr">
        <is>
          <t>Cable Flyes</t>
        </is>
      </c>
      <c r="E427" s="33" t="inlineStr">
        <is>
          <t>Cable</t>
        </is>
      </c>
      <c r="F427" s="33" t="inlineStr">
        <is>
          <t>kg</t>
        </is>
      </c>
      <c r="G427" s="33" t="n">
        <v>3</v>
      </c>
      <c r="H427" s="33" t="n">
        <v>10</v>
      </c>
      <c r="I427" s="33" t="n">
        <v>8</v>
      </c>
      <c r="J427" s="33" t="inlineStr">
        <is>
          <t>N</t>
        </is>
      </c>
      <c r="K427" s="33">
        <f>IF($J427="Y","",IF($F427="BW",$I427,$H427*$I427))</f>
        <v/>
      </c>
      <c r="L427" s="33">
        <f>$D427&amp;"|"&amp;$H427</f>
        <v/>
      </c>
      <c r="M427" s="33" t="n"/>
    </row>
    <row r="428" ht="15" customHeight="1" s="22">
      <c r="A428" s="32" t="n">
        <v>46172</v>
      </c>
      <c r="B428" s="33" t="inlineStr">
        <is>
          <t>Sat</t>
        </is>
      </c>
      <c r="C428" s="33" t="inlineStr">
        <is>
          <t>Push (partial)</t>
        </is>
      </c>
      <c r="D428" s="33" t="inlineStr">
        <is>
          <t>Cable Flyes</t>
        </is>
      </c>
      <c r="E428" s="33" t="inlineStr">
        <is>
          <t>Cable</t>
        </is>
      </c>
      <c r="F428" s="33" t="inlineStr">
        <is>
          <t>kg</t>
        </is>
      </c>
      <c r="G428" s="33" t="n">
        <v>4</v>
      </c>
      <c r="H428" s="33" t="n">
        <v>10</v>
      </c>
      <c r="I428" s="33" t="n">
        <v>8</v>
      </c>
      <c r="J428" s="33" t="inlineStr">
        <is>
          <t>N</t>
        </is>
      </c>
      <c r="K428" s="33">
        <f>IF($J428="Y","",IF($F428="BW",$I428,$H428*$I428))</f>
        <v/>
      </c>
      <c r="L428" s="33">
        <f>$D428&amp;"|"&amp;$H428</f>
        <v/>
      </c>
      <c r="M428" s="33" t="n"/>
    </row>
    <row r="429" ht="15" customHeight="1" s="22">
      <c r="A429" s="34" t="n">
        <v>46177</v>
      </c>
      <c r="B429" s="35" t="inlineStr">
        <is>
          <t>Thu</t>
        </is>
      </c>
      <c r="C429" s="35" t="inlineStr">
        <is>
          <t>Push</t>
        </is>
      </c>
      <c r="D429" s="35" t="inlineStr">
        <is>
          <t>Bench Press (Smith)</t>
        </is>
      </c>
      <c r="E429" s="35" t="inlineStr">
        <is>
          <t>Smith</t>
        </is>
      </c>
      <c r="F429" s="35" t="inlineStr">
        <is>
          <t>lbs</t>
        </is>
      </c>
      <c r="G429" s="35" t="n">
        <v>1</v>
      </c>
      <c r="H429" s="35" t="n">
        <v>20</v>
      </c>
      <c r="I429" s="35" t="n">
        <v>8</v>
      </c>
      <c r="J429" s="35" t="inlineStr">
        <is>
          <t>Y</t>
        </is>
      </c>
      <c r="K429" s="35">
        <f>IF($J429="Y","",IF($F429="BW",$I429,$H429*$I429))</f>
        <v/>
      </c>
      <c r="L429" s="35">
        <f>$D429&amp;"|"&amp;$H429</f>
        <v/>
      </c>
      <c r="M429" s="35" t="n"/>
    </row>
    <row r="430" ht="15" customHeight="1" s="22">
      <c r="A430" s="32" t="n">
        <v>46177</v>
      </c>
      <c r="B430" s="33" t="inlineStr">
        <is>
          <t>Thu</t>
        </is>
      </c>
      <c r="C430" s="33" t="inlineStr">
        <is>
          <t>Push</t>
        </is>
      </c>
      <c r="D430" s="33" t="inlineStr">
        <is>
          <t>Bench Press (Smith)</t>
        </is>
      </c>
      <c r="E430" s="33" t="inlineStr">
        <is>
          <t>Smith</t>
        </is>
      </c>
      <c r="F430" s="33" t="inlineStr">
        <is>
          <t>lbs</t>
        </is>
      </c>
      <c r="G430" s="33" t="n">
        <v>2</v>
      </c>
      <c r="H430" s="33" t="n">
        <v>50</v>
      </c>
      <c r="I430" s="33" t="n">
        <v>8</v>
      </c>
      <c r="J430" s="33" t="inlineStr">
        <is>
          <t>N</t>
        </is>
      </c>
      <c r="K430" s="33">
        <f>IF($J430="Y","",IF($F430="BW",$I430,$H430*$I430))</f>
        <v/>
      </c>
      <c r="L430" s="33">
        <f>$D430&amp;"|"&amp;$H430</f>
        <v/>
      </c>
      <c r="M430" s="33" t="n"/>
    </row>
    <row r="431" ht="15" customHeight="1" s="22">
      <c r="A431" s="32" t="n">
        <v>46177</v>
      </c>
      <c r="B431" s="33" t="inlineStr">
        <is>
          <t>Thu</t>
        </is>
      </c>
      <c r="C431" s="33" t="inlineStr">
        <is>
          <t>Push</t>
        </is>
      </c>
      <c r="D431" s="33" t="inlineStr">
        <is>
          <t>Bench Press (Smith)</t>
        </is>
      </c>
      <c r="E431" s="33" t="inlineStr">
        <is>
          <t>Smith</t>
        </is>
      </c>
      <c r="F431" s="33" t="inlineStr">
        <is>
          <t>lbs</t>
        </is>
      </c>
      <c r="G431" s="33" t="n">
        <v>3</v>
      </c>
      <c r="H431" s="33" t="n">
        <v>70</v>
      </c>
      <c r="I431" s="33" t="n">
        <v>8</v>
      </c>
      <c r="J431" s="33" t="inlineStr">
        <is>
          <t>N</t>
        </is>
      </c>
      <c r="K431" s="33">
        <f>IF($J431="Y","",IF($F431="BW",$I431,$H431*$I431))</f>
        <v/>
      </c>
      <c r="L431" s="33">
        <f>$D431&amp;"|"&amp;$H431</f>
        <v/>
      </c>
      <c r="M431" s="33" t="n"/>
    </row>
    <row r="432" ht="15" customHeight="1" s="22">
      <c r="A432" s="32" t="n">
        <v>46177</v>
      </c>
      <c r="B432" s="33" t="inlineStr">
        <is>
          <t>Thu</t>
        </is>
      </c>
      <c r="C432" s="33" t="inlineStr">
        <is>
          <t>Push</t>
        </is>
      </c>
      <c r="D432" s="33" t="inlineStr">
        <is>
          <t>Bench Press (Smith)</t>
        </is>
      </c>
      <c r="E432" s="33" t="inlineStr">
        <is>
          <t>Smith</t>
        </is>
      </c>
      <c r="F432" s="33" t="inlineStr">
        <is>
          <t>lbs</t>
        </is>
      </c>
      <c r="G432" s="33" t="n">
        <v>4</v>
      </c>
      <c r="H432" s="33" t="n">
        <v>95</v>
      </c>
      <c r="I432" s="33" t="n">
        <v>8</v>
      </c>
      <c r="J432" s="33" t="inlineStr">
        <is>
          <t>N</t>
        </is>
      </c>
      <c r="K432" s="33">
        <f>IF($J432="Y","",IF($F432="BW",$I432,$H432*$I432))</f>
        <v/>
      </c>
      <c r="L432" s="33">
        <f>$D432&amp;"|"&amp;$H432</f>
        <v/>
      </c>
      <c r="M432" s="33" t="n"/>
    </row>
    <row r="433" ht="15" customHeight="1" s="22">
      <c r="A433" s="32" t="n">
        <v>46177</v>
      </c>
      <c r="B433" s="33" t="inlineStr">
        <is>
          <t>Thu</t>
        </is>
      </c>
      <c r="C433" s="33" t="inlineStr">
        <is>
          <t>Push</t>
        </is>
      </c>
      <c r="D433" s="33" t="inlineStr">
        <is>
          <t>Bench Press (Smith)</t>
        </is>
      </c>
      <c r="E433" s="33" t="inlineStr">
        <is>
          <t>Smith</t>
        </is>
      </c>
      <c r="F433" s="33" t="inlineStr">
        <is>
          <t>lbs</t>
        </is>
      </c>
      <c r="G433" s="33" t="n">
        <v>5</v>
      </c>
      <c r="H433" s="33" t="n">
        <v>100</v>
      </c>
      <c r="I433" s="33" t="n">
        <v>8</v>
      </c>
      <c r="J433" s="33" t="inlineStr">
        <is>
          <t>N</t>
        </is>
      </c>
      <c r="K433" s="33">
        <f>IF($J433="Y","",IF($F433="BW",$I433,$H433*$I433))</f>
        <v/>
      </c>
      <c r="L433" s="33">
        <f>$D433&amp;"|"&amp;$H433</f>
        <v/>
      </c>
      <c r="M433" s="33" t="n"/>
    </row>
    <row r="434" ht="15" customHeight="1" s="22">
      <c r="A434" s="34" t="n">
        <v>46177</v>
      </c>
      <c r="B434" s="35" t="inlineStr">
        <is>
          <t>Thu</t>
        </is>
      </c>
      <c r="C434" s="35" t="inlineStr">
        <is>
          <t>Push</t>
        </is>
      </c>
      <c r="D434" s="35" t="inlineStr">
        <is>
          <t>Shoulder Press</t>
        </is>
      </c>
      <c r="E434" s="35" t="inlineStr">
        <is>
          <t>Dumbbell</t>
        </is>
      </c>
      <c r="F434" s="35" t="inlineStr">
        <is>
          <t>lbs</t>
        </is>
      </c>
      <c r="G434" s="35" t="n">
        <v>1</v>
      </c>
      <c r="H434" s="35" t="n">
        <v>15</v>
      </c>
      <c r="I434" s="35" t="n">
        <v>8</v>
      </c>
      <c r="J434" s="35" t="inlineStr">
        <is>
          <t>Y</t>
        </is>
      </c>
      <c r="K434" s="35">
        <f>IF($J434="Y","",IF($F434="BW",$I434,$H434*$I434))</f>
        <v/>
      </c>
      <c r="L434" s="35">
        <f>$D434&amp;"|"&amp;$H434</f>
        <v/>
      </c>
      <c r="M434" s="35" t="n"/>
    </row>
    <row r="435" ht="15" customHeight="1" s="22">
      <c r="A435" s="32" t="n">
        <v>46177</v>
      </c>
      <c r="B435" s="33" t="inlineStr">
        <is>
          <t>Thu</t>
        </is>
      </c>
      <c r="C435" s="33" t="inlineStr">
        <is>
          <t>Push</t>
        </is>
      </c>
      <c r="D435" s="33" t="inlineStr">
        <is>
          <t>Shoulder Press</t>
        </is>
      </c>
      <c r="E435" s="33" t="inlineStr">
        <is>
          <t>Dumbbell</t>
        </is>
      </c>
      <c r="F435" s="33" t="inlineStr">
        <is>
          <t>lbs</t>
        </is>
      </c>
      <c r="G435" s="33" t="n">
        <v>2</v>
      </c>
      <c r="H435" s="33" t="n">
        <v>30</v>
      </c>
      <c r="I435" s="33" t="n">
        <v>8</v>
      </c>
      <c r="J435" s="33" t="inlineStr">
        <is>
          <t>N</t>
        </is>
      </c>
      <c r="K435" s="33">
        <f>IF($J435="Y","",IF($F435="BW",$I435,$H435*$I435))</f>
        <v/>
      </c>
      <c r="L435" s="33">
        <f>$D435&amp;"|"&amp;$H435</f>
        <v/>
      </c>
      <c r="M435" s="33" t="n"/>
    </row>
    <row r="436" ht="15" customHeight="1" s="22">
      <c r="A436" s="32" t="n">
        <v>46177</v>
      </c>
      <c r="B436" s="33" t="inlineStr">
        <is>
          <t>Thu</t>
        </is>
      </c>
      <c r="C436" s="33" t="inlineStr">
        <is>
          <t>Push</t>
        </is>
      </c>
      <c r="D436" s="33" t="inlineStr">
        <is>
          <t>Shoulder Press</t>
        </is>
      </c>
      <c r="E436" s="33" t="inlineStr">
        <is>
          <t>Dumbbell</t>
        </is>
      </c>
      <c r="F436" s="33" t="inlineStr">
        <is>
          <t>lbs</t>
        </is>
      </c>
      <c r="G436" s="33" t="n">
        <v>3</v>
      </c>
      <c r="H436" s="33" t="n">
        <v>30</v>
      </c>
      <c r="I436" s="33" t="n">
        <v>8</v>
      </c>
      <c r="J436" s="33" t="inlineStr">
        <is>
          <t>N</t>
        </is>
      </c>
      <c r="K436" s="33">
        <f>IF($J436="Y","",IF($F436="BW",$I436,$H436*$I436))</f>
        <v/>
      </c>
      <c r="L436" s="33">
        <f>$D436&amp;"|"&amp;$H436</f>
        <v/>
      </c>
      <c r="M436" s="33" t="n"/>
    </row>
    <row r="437" ht="15" customHeight="1" s="22">
      <c r="A437" s="32" t="n">
        <v>46177</v>
      </c>
      <c r="B437" s="33" t="inlineStr">
        <is>
          <t>Thu</t>
        </is>
      </c>
      <c r="C437" s="33" t="inlineStr">
        <is>
          <t>Push</t>
        </is>
      </c>
      <c r="D437" s="33" t="inlineStr">
        <is>
          <t>Shoulder Press</t>
        </is>
      </c>
      <c r="E437" s="33" t="inlineStr">
        <is>
          <t>Dumbbell</t>
        </is>
      </c>
      <c r="F437" s="33" t="inlineStr">
        <is>
          <t>lbs</t>
        </is>
      </c>
      <c r="G437" s="33" t="n">
        <v>4</v>
      </c>
      <c r="H437" s="33" t="n">
        <v>30</v>
      </c>
      <c r="I437" s="33" t="n">
        <v>8</v>
      </c>
      <c r="J437" s="33" t="inlineStr">
        <is>
          <t>N</t>
        </is>
      </c>
      <c r="K437" s="33">
        <f>IF($J437="Y","",IF($F437="BW",$I437,$H437*$I437))</f>
        <v/>
      </c>
      <c r="L437" s="33">
        <f>$D437&amp;"|"&amp;$H437</f>
        <v/>
      </c>
      <c r="M437" s="33" t="n"/>
    </row>
    <row r="438" ht="15" customHeight="1" s="22">
      <c r="A438" s="34" t="n">
        <v>46177</v>
      </c>
      <c r="B438" s="35" t="inlineStr">
        <is>
          <t>Thu</t>
        </is>
      </c>
      <c r="C438" s="35" t="inlineStr">
        <is>
          <t>Push</t>
        </is>
      </c>
      <c r="D438" s="35" t="inlineStr">
        <is>
          <t>Tricep Pulldown</t>
        </is>
      </c>
      <c r="E438" s="35" t="inlineStr">
        <is>
          <t>Cable</t>
        </is>
      </c>
      <c r="F438" s="35" t="inlineStr">
        <is>
          <t>kg</t>
        </is>
      </c>
      <c r="G438" s="35" t="n">
        <v>1</v>
      </c>
      <c r="H438" s="35" t="n">
        <v>12.5</v>
      </c>
      <c r="I438" s="35" t="n">
        <v>8</v>
      </c>
      <c r="J438" s="35" t="inlineStr">
        <is>
          <t>Y</t>
        </is>
      </c>
      <c r="K438" s="35">
        <f>IF($J438="Y","",IF($F438="BW",$I438,$H438*$I438))</f>
        <v/>
      </c>
      <c r="L438" s="35">
        <f>$D438&amp;"|"&amp;$H438</f>
        <v/>
      </c>
      <c r="M438" s="35" t="n"/>
    </row>
    <row r="439" ht="15" customHeight="1" s="22">
      <c r="A439" s="32" t="n">
        <v>46177</v>
      </c>
      <c r="B439" s="33" t="inlineStr">
        <is>
          <t>Thu</t>
        </is>
      </c>
      <c r="C439" s="33" t="inlineStr">
        <is>
          <t>Push</t>
        </is>
      </c>
      <c r="D439" s="33" t="inlineStr">
        <is>
          <t>Tricep Pulldown</t>
        </is>
      </c>
      <c r="E439" s="33" t="inlineStr">
        <is>
          <t>Cable</t>
        </is>
      </c>
      <c r="F439" s="33" t="inlineStr">
        <is>
          <t>kg</t>
        </is>
      </c>
      <c r="G439" s="33" t="n">
        <v>2</v>
      </c>
      <c r="H439" s="33" t="n">
        <v>20</v>
      </c>
      <c r="I439" s="33" t="n">
        <v>8</v>
      </c>
      <c r="J439" s="33" t="inlineStr">
        <is>
          <t>N</t>
        </is>
      </c>
      <c r="K439" s="33">
        <f>IF($J439="Y","",IF($F439="BW",$I439,$H439*$I439))</f>
        <v/>
      </c>
      <c r="L439" s="33">
        <f>$D439&amp;"|"&amp;$H439</f>
        <v/>
      </c>
      <c r="M439" s="33" t="n"/>
    </row>
    <row r="440" ht="15" customHeight="1" s="22">
      <c r="A440" s="32" t="n">
        <v>46177</v>
      </c>
      <c r="B440" s="33" t="inlineStr">
        <is>
          <t>Thu</t>
        </is>
      </c>
      <c r="C440" s="33" t="inlineStr">
        <is>
          <t>Push</t>
        </is>
      </c>
      <c r="D440" s="33" t="inlineStr">
        <is>
          <t>Tricep Pulldown</t>
        </is>
      </c>
      <c r="E440" s="33" t="inlineStr">
        <is>
          <t>Cable</t>
        </is>
      </c>
      <c r="F440" s="33" t="inlineStr">
        <is>
          <t>kg</t>
        </is>
      </c>
      <c r="G440" s="33" t="n">
        <v>3</v>
      </c>
      <c r="H440" s="33" t="n">
        <v>22.5</v>
      </c>
      <c r="I440" s="33" t="n">
        <v>8</v>
      </c>
      <c r="J440" s="33" t="inlineStr">
        <is>
          <t>N</t>
        </is>
      </c>
      <c r="K440" s="33">
        <f>IF($J440="Y","",IF($F440="BW",$I440,$H440*$I440))</f>
        <v/>
      </c>
      <c r="L440" s="33">
        <f>$D440&amp;"|"&amp;$H440</f>
        <v/>
      </c>
      <c r="M440" s="33" t="n"/>
    </row>
    <row r="441" ht="15" customHeight="1" s="22">
      <c r="A441" s="32" t="n">
        <v>46177</v>
      </c>
      <c r="B441" s="33" t="inlineStr">
        <is>
          <t>Thu</t>
        </is>
      </c>
      <c r="C441" s="33" t="inlineStr">
        <is>
          <t>Push</t>
        </is>
      </c>
      <c r="D441" s="33" t="inlineStr">
        <is>
          <t>Tricep Pulldown</t>
        </is>
      </c>
      <c r="E441" s="33" t="inlineStr">
        <is>
          <t>Cable</t>
        </is>
      </c>
      <c r="F441" s="33" t="inlineStr">
        <is>
          <t>kg</t>
        </is>
      </c>
      <c r="G441" s="33" t="n">
        <v>4</v>
      </c>
      <c r="H441" s="33" t="n">
        <v>22.5</v>
      </c>
      <c r="I441" s="33" t="n">
        <v>8</v>
      </c>
      <c r="J441" s="33" t="inlineStr">
        <is>
          <t>N</t>
        </is>
      </c>
      <c r="K441" s="33">
        <f>IF($J441="Y","",IF($F441="BW",$I441,$H441*$I441))</f>
        <v/>
      </c>
      <c r="L441" s="33">
        <f>$D441&amp;"|"&amp;$H441</f>
        <v/>
      </c>
      <c r="M441" s="33" t="n"/>
    </row>
    <row r="442" ht="15" customHeight="1" s="22">
      <c r="A442" s="32" t="n">
        <v>46177</v>
      </c>
      <c r="B442" s="33" t="inlineStr">
        <is>
          <t>Thu</t>
        </is>
      </c>
      <c r="C442" s="33" t="inlineStr">
        <is>
          <t>Push</t>
        </is>
      </c>
      <c r="D442" s="33" t="inlineStr">
        <is>
          <t>Lateral Raises</t>
        </is>
      </c>
      <c r="E442" s="33" t="inlineStr">
        <is>
          <t>Dumbbell</t>
        </is>
      </c>
      <c r="F442" s="33" t="inlineStr">
        <is>
          <t>lbs</t>
        </is>
      </c>
      <c r="G442" s="33" t="n">
        <v>1</v>
      </c>
      <c r="H442" s="33" t="n">
        <v>10</v>
      </c>
      <c r="I442" s="33" t="n">
        <v>12</v>
      </c>
      <c r="J442" s="33" t="inlineStr">
        <is>
          <t>N</t>
        </is>
      </c>
      <c r="K442" s="33">
        <f>IF($J442="Y","",IF($F442="BW",$I442,$H442*$I442))</f>
        <v/>
      </c>
      <c r="L442" s="33">
        <f>$D442&amp;"|"&amp;$H442</f>
        <v/>
      </c>
      <c r="M442" s="33" t="n"/>
    </row>
    <row r="443" ht="15" customHeight="1" s="22">
      <c r="A443" s="32" t="n">
        <v>46177</v>
      </c>
      <c r="B443" s="33" t="inlineStr">
        <is>
          <t>Thu</t>
        </is>
      </c>
      <c r="C443" s="33" t="inlineStr">
        <is>
          <t>Push</t>
        </is>
      </c>
      <c r="D443" s="33" t="inlineStr">
        <is>
          <t>Lateral Raises</t>
        </is>
      </c>
      <c r="E443" s="33" t="inlineStr">
        <is>
          <t>Dumbbell</t>
        </is>
      </c>
      <c r="F443" s="33" t="inlineStr">
        <is>
          <t>lbs</t>
        </is>
      </c>
      <c r="G443" s="33" t="n">
        <v>2</v>
      </c>
      <c r="H443" s="33" t="n">
        <v>10</v>
      </c>
      <c r="I443" s="33" t="n">
        <v>12</v>
      </c>
      <c r="J443" s="33" t="inlineStr">
        <is>
          <t>N</t>
        </is>
      </c>
      <c r="K443" s="33">
        <f>IF($J443="Y","",IF($F443="BW",$I443,$H443*$I443))</f>
        <v/>
      </c>
      <c r="L443" s="33">
        <f>$D443&amp;"|"&amp;$H443</f>
        <v/>
      </c>
      <c r="M443" s="33" t="n"/>
    </row>
    <row r="444" ht="15" customHeight="1" s="22">
      <c r="A444" s="32" t="n">
        <v>46177</v>
      </c>
      <c r="B444" s="33" t="inlineStr">
        <is>
          <t>Thu</t>
        </is>
      </c>
      <c r="C444" s="33" t="inlineStr">
        <is>
          <t>Push</t>
        </is>
      </c>
      <c r="D444" s="33" t="inlineStr">
        <is>
          <t>Lateral Raises</t>
        </is>
      </c>
      <c r="E444" s="33" t="inlineStr">
        <is>
          <t>Dumbbell</t>
        </is>
      </c>
      <c r="F444" s="33" t="inlineStr">
        <is>
          <t>lbs</t>
        </is>
      </c>
      <c r="G444" s="33" t="n">
        <v>3</v>
      </c>
      <c r="H444" s="33" t="n">
        <v>10</v>
      </c>
      <c r="I444" s="33" t="n">
        <v>12</v>
      </c>
      <c r="J444" s="33" t="inlineStr">
        <is>
          <t>N</t>
        </is>
      </c>
      <c r="K444" s="33">
        <f>IF($J444="Y","",IF($F444="BW",$I444,$H444*$I444))</f>
        <v/>
      </c>
      <c r="L444" s="33">
        <f>$D444&amp;"|"&amp;$H444</f>
        <v/>
      </c>
      <c r="M444" s="33" t="n"/>
    </row>
    <row r="445" ht="15" customHeight="1" s="22">
      <c r="A445" s="34" t="n">
        <v>46180</v>
      </c>
      <c r="B445" s="35" t="inlineStr">
        <is>
          <t>Sun</t>
        </is>
      </c>
      <c r="C445" s="35" t="inlineStr">
        <is>
          <t>Travel (New Orleans)</t>
        </is>
      </c>
      <c r="D445" s="35" t="inlineStr">
        <is>
          <t>Bicep Curls (DB)</t>
        </is>
      </c>
      <c r="E445" s="35" t="inlineStr">
        <is>
          <t>Dumbbell</t>
        </is>
      </c>
      <c r="F445" s="35" t="inlineStr">
        <is>
          <t>lbs</t>
        </is>
      </c>
      <c r="G445" s="35" t="n">
        <v>1</v>
      </c>
      <c r="H445" s="35" t="n">
        <v>15</v>
      </c>
      <c r="I445" s="35" t="n">
        <v>8</v>
      </c>
      <c r="J445" s="35" t="inlineStr">
        <is>
          <t>Y</t>
        </is>
      </c>
      <c r="K445" s="35">
        <f>IF($J445="Y","",IF($F445="BW",$I445,$H445*$I445))</f>
        <v/>
      </c>
      <c r="L445" s="35">
        <f>$D445&amp;"|"&amp;$H445</f>
        <v/>
      </c>
      <c r="M445" s="35" t="n"/>
    </row>
    <row r="446" ht="15" customHeight="1" s="22">
      <c r="A446" s="34" t="n">
        <v>46184</v>
      </c>
      <c r="B446" s="35" t="inlineStr">
        <is>
          <t>Thu</t>
        </is>
      </c>
      <c r="C446" s="35" t="inlineStr">
        <is>
          <t>Pull</t>
        </is>
      </c>
      <c r="D446" s="35" t="inlineStr">
        <is>
          <t>Single Arm Lat Pulldown</t>
        </is>
      </c>
      <c r="E446" s="35" t="inlineStr">
        <is>
          <t>Cable</t>
        </is>
      </c>
      <c r="F446" s="35" t="inlineStr">
        <is>
          <t>kg</t>
        </is>
      </c>
      <c r="G446" s="35" t="n">
        <v>1</v>
      </c>
      <c r="H446" s="35" t="n">
        <v>12.5</v>
      </c>
      <c r="I446" s="35" t="n">
        <v>8</v>
      </c>
      <c r="J446" s="35" t="inlineStr">
        <is>
          <t>Y</t>
        </is>
      </c>
      <c r="K446" s="35">
        <f>IF($J446="Y","",IF($F446="BW",$I446,$H446*$I446))</f>
        <v/>
      </c>
      <c r="L446" s="35">
        <f>$D446&amp;"|"&amp;$H446</f>
        <v/>
      </c>
      <c r="M446" s="35" t="n"/>
    </row>
    <row r="447" ht="15" customHeight="1" s="22">
      <c r="A447" s="32" t="n">
        <v>46184</v>
      </c>
      <c r="B447" s="33" t="inlineStr">
        <is>
          <t>Thu</t>
        </is>
      </c>
      <c r="C447" s="33" t="inlineStr">
        <is>
          <t>Pull</t>
        </is>
      </c>
      <c r="D447" s="33" t="inlineStr">
        <is>
          <t>Single Arm Lat Pulldown</t>
        </is>
      </c>
      <c r="E447" s="33" t="inlineStr">
        <is>
          <t>Cable</t>
        </is>
      </c>
      <c r="F447" s="33" t="inlineStr">
        <is>
          <t>kg</t>
        </is>
      </c>
      <c r="G447" s="33" t="n">
        <v>2</v>
      </c>
      <c r="H447" s="33" t="n">
        <v>20</v>
      </c>
      <c r="I447" s="33" t="n">
        <v>8</v>
      </c>
      <c r="J447" s="33" t="inlineStr">
        <is>
          <t>N</t>
        </is>
      </c>
      <c r="K447" s="33">
        <f>IF($J447="Y","",IF($F447="BW",$I447,$H447*$I447))</f>
        <v/>
      </c>
      <c r="L447" s="33">
        <f>$D447&amp;"|"&amp;$H447</f>
        <v/>
      </c>
      <c r="M447" s="33" t="n"/>
    </row>
    <row r="448" ht="15" customHeight="1" s="22">
      <c r="A448" s="32" t="n">
        <v>46184</v>
      </c>
      <c r="B448" s="33" t="inlineStr">
        <is>
          <t>Thu</t>
        </is>
      </c>
      <c r="C448" s="33" t="inlineStr">
        <is>
          <t>Pull</t>
        </is>
      </c>
      <c r="D448" s="33" t="inlineStr">
        <is>
          <t>Single Arm Lat Pulldown</t>
        </is>
      </c>
      <c r="E448" s="33" t="inlineStr">
        <is>
          <t>Cable</t>
        </is>
      </c>
      <c r="F448" s="33" t="inlineStr">
        <is>
          <t>kg</t>
        </is>
      </c>
      <c r="G448" s="33" t="n">
        <v>3</v>
      </c>
      <c r="H448" s="33" t="n">
        <v>22.5</v>
      </c>
      <c r="I448" s="33" t="n">
        <v>8</v>
      </c>
      <c r="J448" s="33" t="inlineStr">
        <is>
          <t>N</t>
        </is>
      </c>
      <c r="K448" s="33">
        <f>IF($J448="Y","",IF($F448="BW",$I448,$H448*$I448))</f>
        <v/>
      </c>
      <c r="L448" s="33">
        <f>$D448&amp;"|"&amp;$H448</f>
        <v/>
      </c>
      <c r="M448" s="33" t="n"/>
    </row>
    <row r="449" ht="15" customHeight="1" s="22">
      <c r="A449" s="32" t="n">
        <v>46184</v>
      </c>
      <c r="B449" s="33" t="inlineStr">
        <is>
          <t>Thu</t>
        </is>
      </c>
      <c r="C449" s="33" t="inlineStr">
        <is>
          <t>Pull</t>
        </is>
      </c>
      <c r="D449" s="33" t="inlineStr">
        <is>
          <t>Single Arm Lat Pulldown</t>
        </is>
      </c>
      <c r="E449" s="33" t="inlineStr">
        <is>
          <t>Cable</t>
        </is>
      </c>
      <c r="F449" s="33" t="inlineStr">
        <is>
          <t>kg</t>
        </is>
      </c>
      <c r="G449" s="33" t="n">
        <v>4</v>
      </c>
      <c r="H449" s="33" t="n">
        <v>22.5</v>
      </c>
      <c r="I449" s="33" t="n">
        <v>8</v>
      </c>
      <c r="J449" s="33" t="inlineStr">
        <is>
          <t>N</t>
        </is>
      </c>
      <c r="K449" s="33">
        <f>IF($J449="Y","",IF($F449="BW",$I449,$H449*$I449))</f>
        <v/>
      </c>
      <c r="L449" s="33">
        <f>$D449&amp;"|"&amp;$H449</f>
        <v/>
      </c>
      <c r="M449" s="33" t="n"/>
    </row>
    <row r="450" ht="15" customHeight="1" s="22">
      <c r="A450" s="34" t="n">
        <v>46184</v>
      </c>
      <c r="B450" s="35" t="inlineStr">
        <is>
          <t>Thu</t>
        </is>
      </c>
      <c r="C450" s="35" t="inlineStr">
        <is>
          <t>Pull</t>
        </is>
      </c>
      <c r="D450" s="35" t="inlineStr">
        <is>
          <t>Smith Rows</t>
        </is>
      </c>
      <c r="E450" s="35" t="inlineStr">
        <is>
          <t>Smith</t>
        </is>
      </c>
      <c r="F450" s="35" t="inlineStr">
        <is>
          <t>lbs</t>
        </is>
      </c>
      <c r="G450" s="35" t="n">
        <v>1</v>
      </c>
      <c r="H450" s="35" t="n">
        <v>25</v>
      </c>
      <c r="I450" s="35" t="n">
        <v>8</v>
      </c>
      <c r="J450" s="35" t="inlineStr">
        <is>
          <t>Y</t>
        </is>
      </c>
      <c r="K450" s="35">
        <f>IF($J450="Y","",IF($F450="BW",$I450,$H450*$I450))</f>
        <v/>
      </c>
      <c r="L450" s="35">
        <f>$D450&amp;"|"&amp;$H450</f>
        <v/>
      </c>
      <c r="M450" s="35" t="n"/>
    </row>
    <row r="451" ht="15" customHeight="1" s="22">
      <c r="A451" s="32" t="n">
        <v>46184</v>
      </c>
      <c r="B451" s="33" t="inlineStr">
        <is>
          <t>Thu</t>
        </is>
      </c>
      <c r="C451" s="33" t="inlineStr">
        <is>
          <t>Pull</t>
        </is>
      </c>
      <c r="D451" s="33" t="inlineStr">
        <is>
          <t>Smith Rows</t>
        </is>
      </c>
      <c r="E451" s="33" t="inlineStr">
        <is>
          <t>Smith</t>
        </is>
      </c>
      <c r="F451" s="33" t="inlineStr">
        <is>
          <t>lbs</t>
        </is>
      </c>
      <c r="G451" s="33" t="n">
        <v>2</v>
      </c>
      <c r="H451" s="33" t="n">
        <v>50</v>
      </c>
      <c r="I451" s="33" t="n">
        <v>8</v>
      </c>
      <c r="J451" s="33" t="inlineStr">
        <is>
          <t>N</t>
        </is>
      </c>
      <c r="K451" s="33">
        <f>IF($J451="Y","",IF($F451="BW",$I451,$H451*$I451))</f>
        <v/>
      </c>
      <c r="L451" s="33">
        <f>$D451&amp;"|"&amp;$H451</f>
        <v/>
      </c>
      <c r="M451" s="33" t="n"/>
    </row>
    <row r="452" ht="15" customHeight="1" s="22">
      <c r="A452" s="32" t="n">
        <v>46184</v>
      </c>
      <c r="B452" s="33" t="inlineStr">
        <is>
          <t>Thu</t>
        </is>
      </c>
      <c r="C452" s="33" t="inlineStr">
        <is>
          <t>Pull</t>
        </is>
      </c>
      <c r="D452" s="33" t="inlineStr">
        <is>
          <t>Smith Rows</t>
        </is>
      </c>
      <c r="E452" s="33" t="inlineStr">
        <is>
          <t>Smith</t>
        </is>
      </c>
      <c r="F452" s="33" t="inlineStr">
        <is>
          <t>lbs</t>
        </is>
      </c>
      <c r="G452" s="33" t="n">
        <v>3</v>
      </c>
      <c r="H452" s="33" t="n">
        <v>65</v>
      </c>
      <c r="I452" s="33" t="n">
        <v>8</v>
      </c>
      <c r="J452" s="33" t="inlineStr">
        <is>
          <t>N</t>
        </is>
      </c>
      <c r="K452" s="33">
        <f>IF($J452="Y","",IF($F452="BW",$I452,$H452*$I452))</f>
        <v/>
      </c>
      <c r="L452" s="33">
        <f>$D452&amp;"|"&amp;$H452</f>
        <v/>
      </c>
      <c r="M452" s="33" t="n"/>
    </row>
    <row r="453" ht="15" customHeight="1" s="22">
      <c r="A453" s="32" t="n">
        <v>46184</v>
      </c>
      <c r="B453" s="33" t="inlineStr">
        <is>
          <t>Thu</t>
        </is>
      </c>
      <c r="C453" s="33" t="inlineStr">
        <is>
          <t>Pull</t>
        </is>
      </c>
      <c r="D453" s="33" t="inlineStr">
        <is>
          <t>Smith Rows</t>
        </is>
      </c>
      <c r="E453" s="33" t="inlineStr">
        <is>
          <t>Smith</t>
        </is>
      </c>
      <c r="F453" s="33" t="inlineStr">
        <is>
          <t>lbs</t>
        </is>
      </c>
      <c r="G453" s="33" t="n">
        <v>4</v>
      </c>
      <c r="H453" s="33" t="n">
        <v>65</v>
      </c>
      <c r="I453" s="33" t="n">
        <v>8</v>
      </c>
      <c r="J453" s="33" t="inlineStr">
        <is>
          <t>N</t>
        </is>
      </c>
      <c r="K453" s="33">
        <f>IF($J453="Y","",IF($F453="BW",$I453,$H453*$I453))</f>
        <v/>
      </c>
      <c r="L453" s="33">
        <f>$D453&amp;"|"&amp;$H453</f>
        <v/>
      </c>
      <c r="M453" s="33" t="n"/>
    </row>
    <row r="454" ht="15" customHeight="1" s="22">
      <c r="A454" s="34" t="n">
        <v>46184</v>
      </c>
      <c r="B454" s="35" t="inlineStr">
        <is>
          <t>Thu</t>
        </is>
      </c>
      <c r="C454" s="35" t="inlineStr">
        <is>
          <t>Pull</t>
        </is>
      </c>
      <c r="D454" s="35" t="inlineStr">
        <is>
          <t>Shrugs</t>
        </is>
      </c>
      <c r="E454" s="35" t="inlineStr">
        <is>
          <t>Dumbbell</t>
        </is>
      </c>
      <c r="F454" s="35" t="inlineStr">
        <is>
          <t>lbs</t>
        </is>
      </c>
      <c r="G454" s="35" t="n">
        <v>1</v>
      </c>
      <c r="H454" s="35" t="n">
        <v>25</v>
      </c>
      <c r="I454" s="35" t="n">
        <v>8</v>
      </c>
      <c r="J454" s="35" t="inlineStr">
        <is>
          <t>Y</t>
        </is>
      </c>
      <c r="K454" s="35">
        <f>IF($J454="Y","",IF($F454="BW",$I454,$H454*$I454))</f>
        <v/>
      </c>
      <c r="L454" s="35">
        <f>$D454&amp;"|"&amp;$H454</f>
        <v/>
      </c>
      <c r="M454" s="35" t="n"/>
    </row>
    <row r="455" ht="15" customHeight="1" s="22">
      <c r="A455" s="32" t="n">
        <v>46184</v>
      </c>
      <c r="B455" s="33" t="inlineStr">
        <is>
          <t>Thu</t>
        </is>
      </c>
      <c r="C455" s="33" t="inlineStr">
        <is>
          <t>Pull</t>
        </is>
      </c>
      <c r="D455" s="33" t="inlineStr">
        <is>
          <t>Shrugs</t>
        </is>
      </c>
      <c r="E455" s="33" t="inlineStr">
        <is>
          <t>Dumbbell</t>
        </is>
      </c>
      <c r="F455" s="33" t="inlineStr">
        <is>
          <t>lbs</t>
        </is>
      </c>
      <c r="G455" s="33" t="n">
        <v>2</v>
      </c>
      <c r="H455" s="33" t="n">
        <v>50</v>
      </c>
      <c r="I455" s="33" t="n">
        <v>8</v>
      </c>
      <c r="J455" s="33" t="inlineStr">
        <is>
          <t>N</t>
        </is>
      </c>
      <c r="K455" s="33">
        <f>IF($J455="Y","",IF($F455="BW",$I455,$H455*$I455))</f>
        <v/>
      </c>
      <c r="L455" s="33">
        <f>$D455&amp;"|"&amp;$H455</f>
        <v/>
      </c>
      <c r="M455" s="33" t="n"/>
    </row>
    <row r="456" ht="15" customHeight="1" s="22">
      <c r="A456" s="32" t="n">
        <v>46184</v>
      </c>
      <c r="B456" s="33" t="inlineStr">
        <is>
          <t>Thu</t>
        </is>
      </c>
      <c r="C456" s="33" t="inlineStr">
        <is>
          <t>Pull</t>
        </is>
      </c>
      <c r="D456" s="33" t="inlineStr">
        <is>
          <t>Shrugs</t>
        </is>
      </c>
      <c r="E456" s="33" t="inlineStr">
        <is>
          <t>Dumbbell</t>
        </is>
      </c>
      <c r="F456" s="33" t="inlineStr">
        <is>
          <t>lbs</t>
        </is>
      </c>
      <c r="G456" s="33" t="n">
        <v>3</v>
      </c>
      <c r="H456" s="33" t="n">
        <v>50</v>
      </c>
      <c r="I456" s="33" t="n">
        <v>8</v>
      </c>
      <c r="J456" s="33" t="inlineStr">
        <is>
          <t>N</t>
        </is>
      </c>
      <c r="K456" s="33">
        <f>IF($J456="Y","",IF($F456="BW",$I456,$H456*$I456))</f>
        <v/>
      </c>
      <c r="L456" s="33">
        <f>$D456&amp;"|"&amp;$H456</f>
        <v/>
      </c>
      <c r="M456" s="33" t="n"/>
    </row>
    <row r="457" ht="15" customHeight="1" s="22">
      <c r="A457" s="32" t="n">
        <v>46184</v>
      </c>
      <c r="B457" s="33" t="inlineStr">
        <is>
          <t>Thu</t>
        </is>
      </c>
      <c r="C457" s="33" t="inlineStr">
        <is>
          <t>Pull</t>
        </is>
      </c>
      <c r="D457" s="33" t="inlineStr">
        <is>
          <t>Shrugs</t>
        </is>
      </c>
      <c r="E457" s="33" t="inlineStr">
        <is>
          <t>Dumbbell</t>
        </is>
      </c>
      <c r="F457" s="33" t="inlineStr">
        <is>
          <t>lbs</t>
        </is>
      </c>
      <c r="G457" s="33" t="n">
        <v>4</v>
      </c>
      <c r="H457" s="33" t="n">
        <v>50</v>
      </c>
      <c r="I457" s="33" t="n">
        <v>8</v>
      </c>
      <c r="J457" s="33" t="inlineStr">
        <is>
          <t>N</t>
        </is>
      </c>
      <c r="K457" s="33">
        <f>IF($J457="Y","",IF($F457="BW",$I457,$H457*$I457))</f>
        <v/>
      </c>
      <c r="L457" s="33">
        <f>$D457&amp;"|"&amp;$H457</f>
        <v/>
      </c>
      <c r="M457" s="33" t="n"/>
    </row>
    <row r="458" ht="15" customHeight="1" s="22">
      <c r="A458" s="34" t="n">
        <v>46185</v>
      </c>
      <c r="B458" s="35" t="inlineStr">
        <is>
          <t>Fri</t>
        </is>
      </c>
      <c r="C458" s="35" t="inlineStr">
        <is>
          <t>Legs + Push</t>
        </is>
      </c>
      <c r="D458" s="35" t="inlineStr">
        <is>
          <t>RDLs</t>
        </is>
      </c>
      <c r="E458" s="35" t="inlineStr">
        <is>
          <t>Smith</t>
        </is>
      </c>
      <c r="F458" s="35" t="inlineStr">
        <is>
          <t>lbs</t>
        </is>
      </c>
      <c r="G458" s="35" t="n">
        <v>1</v>
      </c>
      <c r="H458" s="35" t="n">
        <v>15</v>
      </c>
      <c r="I458" s="35" t="n">
        <v>8</v>
      </c>
      <c r="J458" s="35" t="inlineStr">
        <is>
          <t>Y</t>
        </is>
      </c>
      <c r="K458" s="35">
        <f>IF($J458="Y","",IF($F458="BW",$I458,$H458*$I458))</f>
        <v/>
      </c>
      <c r="L458" s="35">
        <f>$D458&amp;"|"&amp;$H458</f>
        <v/>
      </c>
      <c r="M458" s="35" t="n"/>
    </row>
    <row r="459" ht="15" customHeight="1" s="22">
      <c r="A459" s="32" t="n">
        <v>46185</v>
      </c>
      <c r="B459" s="33" t="inlineStr">
        <is>
          <t>Fri</t>
        </is>
      </c>
      <c r="C459" s="33" t="inlineStr">
        <is>
          <t>Legs + Push</t>
        </is>
      </c>
      <c r="D459" s="33" t="inlineStr">
        <is>
          <t>RDLs</t>
        </is>
      </c>
      <c r="E459" s="33" t="inlineStr">
        <is>
          <t>Smith</t>
        </is>
      </c>
      <c r="F459" s="33" t="inlineStr">
        <is>
          <t>lbs</t>
        </is>
      </c>
      <c r="G459" s="33" t="n">
        <v>2</v>
      </c>
      <c r="H459" s="33" t="n">
        <v>35</v>
      </c>
      <c r="I459" s="33" t="n">
        <v>8</v>
      </c>
      <c r="J459" s="33" t="inlineStr">
        <is>
          <t>N</t>
        </is>
      </c>
      <c r="K459" s="33">
        <f>IF($J459="Y","",IF($F459="BW",$I459,$H459*$I459))</f>
        <v/>
      </c>
      <c r="L459" s="33">
        <f>$D459&amp;"|"&amp;$H459</f>
        <v/>
      </c>
      <c r="M459" s="33" t="n"/>
    </row>
    <row r="460" ht="15" customHeight="1" s="22">
      <c r="A460" s="32" t="n">
        <v>46185</v>
      </c>
      <c r="B460" s="33" t="inlineStr">
        <is>
          <t>Fri</t>
        </is>
      </c>
      <c r="C460" s="33" t="inlineStr">
        <is>
          <t>Legs + Push</t>
        </is>
      </c>
      <c r="D460" s="33" t="inlineStr">
        <is>
          <t>RDLs</t>
        </is>
      </c>
      <c r="E460" s="33" t="inlineStr">
        <is>
          <t>Smith</t>
        </is>
      </c>
      <c r="F460" s="33" t="inlineStr">
        <is>
          <t>lbs</t>
        </is>
      </c>
      <c r="G460" s="33" t="n">
        <v>3</v>
      </c>
      <c r="H460" s="33" t="n">
        <v>40</v>
      </c>
      <c r="I460" s="33" t="n">
        <v>8</v>
      </c>
      <c r="J460" s="33" t="inlineStr">
        <is>
          <t>N</t>
        </is>
      </c>
      <c r="K460" s="33">
        <f>IF($J460="Y","",IF($F460="BW",$I460,$H460*$I460))</f>
        <v/>
      </c>
      <c r="L460" s="33">
        <f>$D460&amp;"|"&amp;$H460</f>
        <v/>
      </c>
      <c r="M460" s="33" t="n"/>
    </row>
    <row r="461" ht="15" customHeight="1" s="22">
      <c r="A461" s="32" t="n">
        <v>46185</v>
      </c>
      <c r="B461" s="33" t="inlineStr">
        <is>
          <t>Fri</t>
        </is>
      </c>
      <c r="C461" s="33" t="inlineStr">
        <is>
          <t>Legs + Push</t>
        </is>
      </c>
      <c r="D461" s="33" t="inlineStr">
        <is>
          <t>RDLs</t>
        </is>
      </c>
      <c r="E461" s="33" t="inlineStr">
        <is>
          <t>Smith</t>
        </is>
      </c>
      <c r="F461" s="33" t="inlineStr">
        <is>
          <t>lbs</t>
        </is>
      </c>
      <c r="G461" s="33" t="n">
        <v>4</v>
      </c>
      <c r="H461" s="33" t="n">
        <v>40</v>
      </c>
      <c r="I461" s="33" t="n">
        <v>8</v>
      </c>
      <c r="J461" s="33" t="inlineStr">
        <is>
          <t>N</t>
        </is>
      </c>
      <c r="K461" s="33">
        <f>IF($J461="Y","",IF($F461="BW",$I461,$H461*$I461))</f>
        <v/>
      </c>
      <c r="L461" s="33">
        <f>$D461&amp;"|"&amp;$H461</f>
        <v/>
      </c>
      <c r="M461" s="33" t="n"/>
    </row>
    <row r="462" ht="15" customHeight="1" s="22">
      <c r="A462" s="34" t="n">
        <v>46185</v>
      </c>
      <c r="B462" s="35" t="inlineStr">
        <is>
          <t>Fri</t>
        </is>
      </c>
      <c r="C462" s="35" t="inlineStr">
        <is>
          <t>Legs + Push</t>
        </is>
      </c>
      <c r="D462" s="35" t="inlineStr">
        <is>
          <t>Bench Press (Smith)</t>
        </is>
      </c>
      <c r="E462" s="35" t="inlineStr">
        <is>
          <t>Smith</t>
        </is>
      </c>
      <c r="F462" s="35" t="inlineStr">
        <is>
          <t>lbs</t>
        </is>
      </c>
      <c r="G462" s="35" t="n">
        <v>1</v>
      </c>
      <c r="H462" s="35" t="n">
        <v>25</v>
      </c>
      <c r="I462" s="35" t="n">
        <v>8</v>
      </c>
      <c r="J462" s="35" t="inlineStr">
        <is>
          <t>Y</t>
        </is>
      </c>
      <c r="K462" s="35">
        <f>IF($J462="Y","",IF($F462="BW",$I462,$H462*$I462))</f>
        <v/>
      </c>
      <c r="L462" s="35">
        <f>$D462&amp;"|"&amp;$H462</f>
        <v/>
      </c>
      <c r="M462" s="35" t="n"/>
    </row>
    <row r="463" ht="15" customHeight="1" s="22">
      <c r="A463" s="32" t="n">
        <v>46185</v>
      </c>
      <c r="B463" s="33" t="inlineStr">
        <is>
          <t>Fri</t>
        </is>
      </c>
      <c r="C463" s="33" t="inlineStr">
        <is>
          <t>Legs + Push</t>
        </is>
      </c>
      <c r="D463" s="33" t="inlineStr">
        <is>
          <t>Bench Press (Smith)</t>
        </is>
      </c>
      <c r="E463" s="33" t="inlineStr">
        <is>
          <t>Smith</t>
        </is>
      </c>
      <c r="F463" s="33" t="inlineStr">
        <is>
          <t>lbs</t>
        </is>
      </c>
      <c r="G463" s="33" t="n">
        <v>2</v>
      </c>
      <c r="H463" s="33" t="n">
        <v>50</v>
      </c>
      <c r="I463" s="33" t="n">
        <v>8</v>
      </c>
      <c r="J463" s="33" t="inlineStr">
        <is>
          <t>N</t>
        </is>
      </c>
      <c r="K463" s="33">
        <f>IF($J463="Y","",IF($F463="BW",$I463,$H463*$I463))</f>
        <v/>
      </c>
      <c r="L463" s="33">
        <f>$D463&amp;"|"&amp;$H463</f>
        <v/>
      </c>
      <c r="M463" s="33" t="n"/>
    </row>
    <row r="464" ht="15" customHeight="1" s="22">
      <c r="A464" s="32" t="n">
        <v>46185</v>
      </c>
      <c r="B464" s="33" t="inlineStr">
        <is>
          <t>Fri</t>
        </is>
      </c>
      <c r="C464" s="33" t="inlineStr">
        <is>
          <t>Legs + Push</t>
        </is>
      </c>
      <c r="D464" s="33" t="inlineStr">
        <is>
          <t>Bench Press (Smith)</t>
        </is>
      </c>
      <c r="E464" s="33" t="inlineStr">
        <is>
          <t>Smith</t>
        </is>
      </c>
      <c r="F464" s="33" t="inlineStr">
        <is>
          <t>lbs</t>
        </is>
      </c>
      <c r="G464" s="33" t="n">
        <v>3</v>
      </c>
      <c r="H464" s="33" t="n">
        <v>80</v>
      </c>
      <c r="I464" s="33" t="n">
        <v>8</v>
      </c>
      <c r="J464" s="33" t="inlineStr">
        <is>
          <t>N</t>
        </is>
      </c>
      <c r="K464" s="33">
        <f>IF($J464="Y","",IF($F464="BW",$I464,$H464*$I464))</f>
        <v/>
      </c>
      <c r="L464" s="33">
        <f>$D464&amp;"|"&amp;$H464</f>
        <v/>
      </c>
      <c r="M464" s="33" t="n"/>
    </row>
    <row r="465" ht="15" customHeight="1" s="22">
      <c r="A465" s="32" t="n">
        <v>46185</v>
      </c>
      <c r="B465" s="33" t="inlineStr">
        <is>
          <t>Fri</t>
        </is>
      </c>
      <c r="C465" s="33" t="inlineStr">
        <is>
          <t>Legs + Push</t>
        </is>
      </c>
      <c r="D465" s="33" t="inlineStr">
        <is>
          <t>Bench Press (Smith)</t>
        </is>
      </c>
      <c r="E465" s="33" t="inlineStr">
        <is>
          <t>Smith</t>
        </is>
      </c>
      <c r="F465" s="33" t="inlineStr">
        <is>
          <t>lbs</t>
        </is>
      </c>
      <c r="G465" s="33" t="n">
        <v>4</v>
      </c>
      <c r="H465" s="33" t="n">
        <v>100</v>
      </c>
      <c r="I465" s="33" t="n">
        <v>8</v>
      </c>
      <c r="J465" s="33" t="inlineStr">
        <is>
          <t>N</t>
        </is>
      </c>
      <c r="K465" s="33">
        <f>IF($J465="Y","",IF($F465="BW",$I465,$H465*$I465))</f>
        <v/>
      </c>
      <c r="L465" s="33">
        <f>$D465&amp;"|"&amp;$H465</f>
        <v/>
      </c>
      <c r="M465" s="33" t="n"/>
    </row>
    <row r="466" ht="15" customHeight="1" s="22">
      <c r="A466" s="34" t="n">
        <v>46185</v>
      </c>
      <c r="B466" s="35" t="inlineStr">
        <is>
          <t>Fri</t>
        </is>
      </c>
      <c r="C466" s="35" t="inlineStr">
        <is>
          <t>Legs + Push</t>
        </is>
      </c>
      <c r="D466" s="35" t="inlineStr">
        <is>
          <t>Shoulder Press</t>
        </is>
      </c>
      <c r="E466" s="35" t="inlineStr">
        <is>
          <t>Dumbbell</t>
        </is>
      </c>
      <c r="F466" s="35" t="inlineStr">
        <is>
          <t>lbs</t>
        </is>
      </c>
      <c r="G466" s="35" t="n">
        <v>1</v>
      </c>
      <c r="H466" s="35" t="n">
        <v>15</v>
      </c>
      <c r="I466" s="35" t="n">
        <v>8</v>
      </c>
      <c r="J466" s="35" t="inlineStr">
        <is>
          <t>Y</t>
        </is>
      </c>
      <c r="K466" s="35">
        <f>IF($J466="Y","",IF($F466="BW",$I466,$H466*$I466))</f>
        <v/>
      </c>
      <c r="L466" s="35">
        <f>$D466&amp;"|"&amp;$H466</f>
        <v/>
      </c>
      <c r="M466" s="35" t="n"/>
    </row>
    <row r="467" ht="15" customHeight="1" s="22">
      <c r="A467" s="32" t="n">
        <v>46185</v>
      </c>
      <c r="B467" s="33" t="inlineStr">
        <is>
          <t>Fri</t>
        </is>
      </c>
      <c r="C467" s="33" t="inlineStr">
        <is>
          <t>Legs + Push</t>
        </is>
      </c>
      <c r="D467" s="33" t="inlineStr">
        <is>
          <t>Shoulder Press</t>
        </is>
      </c>
      <c r="E467" s="33" t="inlineStr">
        <is>
          <t>Dumbbell</t>
        </is>
      </c>
      <c r="F467" s="33" t="inlineStr">
        <is>
          <t>lbs</t>
        </is>
      </c>
      <c r="G467" s="33" t="n">
        <v>2</v>
      </c>
      <c r="H467" s="33" t="n">
        <v>30</v>
      </c>
      <c r="I467" s="33" t="n">
        <v>8</v>
      </c>
      <c r="J467" s="33" t="inlineStr">
        <is>
          <t>N</t>
        </is>
      </c>
      <c r="K467" s="33">
        <f>IF($J467="Y","",IF($F467="BW",$I467,$H467*$I467))</f>
        <v/>
      </c>
      <c r="L467" s="33">
        <f>$D467&amp;"|"&amp;$H467</f>
        <v/>
      </c>
      <c r="M467" s="33" t="n"/>
    </row>
    <row r="468" ht="15" customHeight="1" s="22">
      <c r="A468" s="32" t="n">
        <v>46185</v>
      </c>
      <c r="B468" s="33" t="inlineStr">
        <is>
          <t>Fri</t>
        </is>
      </c>
      <c r="C468" s="33" t="inlineStr">
        <is>
          <t>Legs + Push</t>
        </is>
      </c>
      <c r="D468" s="33" t="inlineStr">
        <is>
          <t>Shoulder Press</t>
        </is>
      </c>
      <c r="E468" s="33" t="inlineStr">
        <is>
          <t>Dumbbell</t>
        </is>
      </c>
      <c r="F468" s="33" t="inlineStr">
        <is>
          <t>lbs</t>
        </is>
      </c>
      <c r="G468" s="33" t="n">
        <v>3</v>
      </c>
      <c r="H468" s="33" t="n">
        <v>35</v>
      </c>
      <c r="I468" s="33" t="n">
        <v>8</v>
      </c>
      <c r="J468" s="33" t="inlineStr">
        <is>
          <t>N</t>
        </is>
      </c>
      <c r="K468" s="33">
        <f>IF($J468="Y","",IF($F468="BW",$I468,$H468*$I468))</f>
        <v/>
      </c>
      <c r="L468" s="33">
        <f>$D468&amp;"|"&amp;$H468</f>
        <v/>
      </c>
      <c r="M468" s="33" t="n"/>
    </row>
    <row r="469" ht="15" customHeight="1" s="22">
      <c r="A469" s="32" t="n">
        <v>46185</v>
      </c>
      <c r="B469" s="33" t="inlineStr">
        <is>
          <t>Fri</t>
        </is>
      </c>
      <c r="C469" s="33" t="inlineStr">
        <is>
          <t>Legs + Push</t>
        </is>
      </c>
      <c r="D469" s="33" t="inlineStr">
        <is>
          <t>Shoulder Press</t>
        </is>
      </c>
      <c r="E469" s="33" t="inlineStr">
        <is>
          <t>Dumbbell</t>
        </is>
      </c>
      <c r="F469" s="33" t="inlineStr">
        <is>
          <t>lbs</t>
        </is>
      </c>
      <c r="G469" s="33" t="n">
        <v>4</v>
      </c>
      <c r="H469" s="33" t="n">
        <v>35</v>
      </c>
      <c r="I469" s="33" t="n">
        <v>8</v>
      </c>
      <c r="J469" s="33" t="inlineStr">
        <is>
          <t>N</t>
        </is>
      </c>
      <c r="K469" s="33">
        <f>IF($J469="Y","",IF($F469="BW",$I469,$H469*$I469))</f>
        <v/>
      </c>
      <c r="L469" s="33">
        <f>$D469&amp;"|"&amp;$H469</f>
        <v/>
      </c>
      <c r="M469" s="33" t="n"/>
    </row>
    <row r="470" ht="15" customHeight="1" s="22">
      <c r="A470" s="34" t="n">
        <v>46185</v>
      </c>
      <c r="B470" s="35" t="inlineStr">
        <is>
          <t>Fri</t>
        </is>
      </c>
      <c r="C470" s="35" t="inlineStr">
        <is>
          <t>Legs + Push</t>
        </is>
      </c>
      <c r="D470" s="35" t="inlineStr">
        <is>
          <t>Tricep Ext Overhead</t>
        </is>
      </c>
      <c r="E470" s="35" t="inlineStr">
        <is>
          <t>Dumbbell</t>
        </is>
      </c>
      <c r="F470" s="35" t="inlineStr">
        <is>
          <t>lbs</t>
        </is>
      </c>
      <c r="G470" s="35" t="n">
        <v>1</v>
      </c>
      <c r="H470" s="35" t="n">
        <v>25</v>
      </c>
      <c r="I470" s="35" t="n">
        <v>8</v>
      </c>
      <c r="J470" s="35" t="inlineStr">
        <is>
          <t>Y</t>
        </is>
      </c>
      <c r="K470" s="35">
        <f>IF($J470="Y","",IF($F470="BW",$I470,$H470*$I470))</f>
        <v/>
      </c>
      <c r="L470" s="35">
        <f>$D470&amp;"|"&amp;$H470</f>
        <v/>
      </c>
      <c r="M470" s="35" t="n"/>
    </row>
    <row r="471" ht="15" customHeight="1" s="22">
      <c r="A471" s="32" t="n">
        <v>46185</v>
      </c>
      <c r="B471" s="33" t="inlineStr">
        <is>
          <t>Fri</t>
        </is>
      </c>
      <c r="C471" s="33" t="inlineStr">
        <is>
          <t>Legs + Push</t>
        </is>
      </c>
      <c r="D471" s="33" t="inlineStr">
        <is>
          <t>Tricep Ext Overhead</t>
        </is>
      </c>
      <c r="E471" s="33" t="inlineStr">
        <is>
          <t>Dumbbell</t>
        </is>
      </c>
      <c r="F471" s="33" t="inlineStr">
        <is>
          <t>lbs</t>
        </is>
      </c>
      <c r="G471" s="33" t="n">
        <v>2</v>
      </c>
      <c r="H471" s="33" t="n">
        <v>40</v>
      </c>
      <c r="I471" s="33" t="n">
        <v>8</v>
      </c>
      <c r="J471" s="33" t="inlineStr">
        <is>
          <t>N</t>
        </is>
      </c>
      <c r="K471" s="33">
        <f>IF($J471="Y","",IF($F471="BW",$I471,$H471*$I471))</f>
        <v/>
      </c>
      <c r="L471" s="33">
        <f>$D471&amp;"|"&amp;$H471</f>
        <v/>
      </c>
      <c r="M471" s="33" t="n"/>
    </row>
    <row r="472" ht="15" customHeight="1" s="22">
      <c r="A472" s="32" t="n">
        <v>46185</v>
      </c>
      <c r="B472" s="33" t="inlineStr">
        <is>
          <t>Fri</t>
        </is>
      </c>
      <c r="C472" s="33" t="inlineStr">
        <is>
          <t>Legs + Push</t>
        </is>
      </c>
      <c r="D472" s="33" t="inlineStr">
        <is>
          <t>Tricep Ext Overhead</t>
        </is>
      </c>
      <c r="E472" s="33" t="inlineStr">
        <is>
          <t>Dumbbell</t>
        </is>
      </c>
      <c r="F472" s="33" t="inlineStr">
        <is>
          <t>lbs</t>
        </is>
      </c>
      <c r="G472" s="33" t="n">
        <v>3</v>
      </c>
      <c r="H472" s="33" t="n">
        <v>50</v>
      </c>
      <c r="I472" s="33" t="n">
        <v>8</v>
      </c>
      <c r="J472" s="33" t="inlineStr">
        <is>
          <t>N</t>
        </is>
      </c>
      <c r="K472" s="33">
        <f>IF($J472="Y","",IF($F472="BW",$I472,$H472*$I472))</f>
        <v/>
      </c>
      <c r="L472" s="33">
        <f>$D472&amp;"|"&amp;$H472</f>
        <v/>
      </c>
      <c r="M472" s="33" t="n"/>
    </row>
    <row r="473" ht="15" customHeight="1" s="22">
      <c r="A473" s="32" t="n">
        <v>46185</v>
      </c>
      <c r="B473" s="33" t="inlineStr">
        <is>
          <t>Fri</t>
        </is>
      </c>
      <c r="C473" s="33" t="inlineStr">
        <is>
          <t>Legs + Push</t>
        </is>
      </c>
      <c r="D473" s="33" t="inlineStr">
        <is>
          <t>Tricep Ext Overhead</t>
        </is>
      </c>
      <c r="E473" s="33" t="inlineStr">
        <is>
          <t>Dumbbell</t>
        </is>
      </c>
      <c r="F473" s="33" t="inlineStr">
        <is>
          <t>lbs</t>
        </is>
      </c>
      <c r="G473" s="33" t="n">
        <v>4</v>
      </c>
      <c r="H473" s="33" t="n">
        <v>50</v>
      </c>
      <c r="I473" s="33" t="n">
        <v>8</v>
      </c>
      <c r="J473" s="33" t="inlineStr">
        <is>
          <t>N</t>
        </is>
      </c>
      <c r="K473" s="33">
        <f>IF($J473="Y","",IF($F473="BW",$I473,$H473*$I473))</f>
        <v/>
      </c>
      <c r="L473" s="33">
        <f>$D473&amp;"|"&amp;$H473</f>
        <v/>
      </c>
      <c r="M473" s="33" t="n"/>
    </row>
    <row r="474" ht="15" customHeight="1" s="22">
      <c r="A474" s="34" t="n">
        <v>46189</v>
      </c>
      <c r="B474" s="35" t="inlineStr">
        <is>
          <t>Tue</t>
        </is>
      </c>
      <c r="C474" s="35" t="inlineStr">
        <is>
          <t>Push</t>
        </is>
      </c>
      <c r="D474" s="35" t="inlineStr">
        <is>
          <t>Bench Press (Smith)</t>
        </is>
      </c>
      <c r="E474" s="35" t="inlineStr">
        <is>
          <t>Smith</t>
        </is>
      </c>
      <c r="F474" s="35" t="inlineStr">
        <is>
          <t>lbs</t>
        </is>
      </c>
      <c r="G474" s="35" t="n">
        <v>1</v>
      </c>
      <c r="H474" s="35" t="n">
        <v>30</v>
      </c>
      <c r="I474" s="35" t="n">
        <v>8</v>
      </c>
      <c r="J474" s="35" t="inlineStr">
        <is>
          <t>Y</t>
        </is>
      </c>
      <c r="K474" s="35">
        <f>IF($J474="Y","",IF($F474="BW",$I474,$H474*$I474))</f>
        <v/>
      </c>
      <c r="L474" s="35">
        <f>$D474&amp;"|"&amp;$H474</f>
        <v/>
      </c>
      <c r="M474" s="35" t="n"/>
    </row>
    <row r="475" ht="15" customHeight="1" s="22">
      <c r="A475" s="32" t="n">
        <v>46189</v>
      </c>
      <c r="B475" s="33" t="inlineStr">
        <is>
          <t>Tue</t>
        </is>
      </c>
      <c r="C475" s="33" t="inlineStr">
        <is>
          <t>Push</t>
        </is>
      </c>
      <c r="D475" s="33" t="inlineStr">
        <is>
          <t>Bench Press (Smith)</t>
        </is>
      </c>
      <c r="E475" s="33" t="inlineStr">
        <is>
          <t>Smith</t>
        </is>
      </c>
      <c r="F475" s="33" t="inlineStr">
        <is>
          <t>lbs</t>
        </is>
      </c>
      <c r="G475" s="33" t="n">
        <v>2</v>
      </c>
      <c r="H475" s="33" t="n">
        <v>60</v>
      </c>
      <c r="I475" s="33" t="n">
        <v>8</v>
      </c>
      <c r="J475" s="33" t="inlineStr">
        <is>
          <t>N</t>
        </is>
      </c>
      <c r="K475" s="33">
        <f>IF($J475="Y","",IF($F475="BW",$I475,$H475*$I475))</f>
        <v/>
      </c>
      <c r="L475" s="33">
        <f>$D475&amp;"|"&amp;$H475</f>
        <v/>
      </c>
      <c r="M475" s="33" t="n"/>
    </row>
    <row r="476" ht="15" customHeight="1" s="22">
      <c r="A476" s="32" t="n">
        <v>46189</v>
      </c>
      <c r="B476" s="33" t="inlineStr">
        <is>
          <t>Tue</t>
        </is>
      </c>
      <c r="C476" s="33" t="inlineStr">
        <is>
          <t>Push</t>
        </is>
      </c>
      <c r="D476" s="33" t="inlineStr">
        <is>
          <t>Bench Press (Smith)</t>
        </is>
      </c>
      <c r="E476" s="33" t="inlineStr">
        <is>
          <t>Smith</t>
        </is>
      </c>
      <c r="F476" s="33" t="inlineStr">
        <is>
          <t>lbs</t>
        </is>
      </c>
      <c r="G476" s="33" t="n">
        <v>3</v>
      </c>
      <c r="H476" s="33" t="n">
        <v>90</v>
      </c>
      <c r="I476" s="33" t="n">
        <v>8</v>
      </c>
      <c r="J476" s="33" t="inlineStr">
        <is>
          <t>N</t>
        </is>
      </c>
      <c r="K476" s="33">
        <f>IF($J476="Y","",IF($F476="BW",$I476,$H476*$I476))</f>
        <v/>
      </c>
      <c r="L476" s="33">
        <f>$D476&amp;"|"&amp;$H476</f>
        <v/>
      </c>
      <c r="M476" s="33" t="n"/>
    </row>
    <row r="477" ht="15" customHeight="1" s="22">
      <c r="A477" s="32" t="n">
        <v>46189</v>
      </c>
      <c r="B477" s="33" t="inlineStr">
        <is>
          <t>Tue</t>
        </is>
      </c>
      <c r="C477" s="33" t="inlineStr">
        <is>
          <t>Push</t>
        </is>
      </c>
      <c r="D477" s="33" t="inlineStr">
        <is>
          <t>Bench Press (Smith)</t>
        </is>
      </c>
      <c r="E477" s="33" t="inlineStr">
        <is>
          <t>Smith</t>
        </is>
      </c>
      <c r="F477" s="33" t="inlineStr">
        <is>
          <t>lbs</t>
        </is>
      </c>
      <c r="G477" s="33" t="n">
        <v>4</v>
      </c>
      <c r="H477" s="33" t="n">
        <v>105</v>
      </c>
      <c r="I477" s="33" t="n">
        <v>8</v>
      </c>
      <c r="J477" s="33" t="inlineStr">
        <is>
          <t>N</t>
        </is>
      </c>
      <c r="K477" s="33">
        <f>IF($J477="Y","",IF($F477="BW",$I477,$H477*$I477))</f>
        <v/>
      </c>
      <c r="L477" s="33">
        <f>$D477&amp;"|"&amp;$H477</f>
        <v/>
      </c>
      <c r="M477" s="33" t="n"/>
    </row>
    <row r="478" ht="15" customHeight="1" s="22">
      <c r="A478" s="32" t="n">
        <v>46189</v>
      </c>
      <c r="B478" s="33" t="inlineStr">
        <is>
          <t>Tue</t>
        </is>
      </c>
      <c r="C478" s="33" t="inlineStr">
        <is>
          <t>Push</t>
        </is>
      </c>
      <c r="D478" s="33" t="inlineStr">
        <is>
          <t>Bench Press (Smith)</t>
        </is>
      </c>
      <c r="E478" s="33" t="inlineStr">
        <is>
          <t>Smith</t>
        </is>
      </c>
      <c r="F478" s="33" t="inlineStr">
        <is>
          <t>lbs</t>
        </is>
      </c>
      <c r="G478" s="33" t="n">
        <v>5</v>
      </c>
      <c r="H478" s="33" t="n">
        <v>105</v>
      </c>
      <c r="I478" s="33" t="n">
        <v>8</v>
      </c>
      <c r="J478" s="33" t="inlineStr">
        <is>
          <t>N</t>
        </is>
      </c>
      <c r="K478" s="33">
        <f>IF($J478="Y","",IF($F478="BW",$I478,$H478*$I478))</f>
        <v/>
      </c>
      <c r="L478" s="33">
        <f>$D478&amp;"|"&amp;$H478</f>
        <v/>
      </c>
      <c r="M478" s="33" t="n"/>
    </row>
    <row r="479" ht="15" customHeight="1" s="22">
      <c r="A479" s="34" t="n">
        <v>46189</v>
      </c>
      <c r="B479" s="35" t="inlineStr">
        <is>
          <t>Tue</t>
        </is>
      </c>
      <c r="C479" s="35" t="inlineStr">
        <is>
          <t>Push</t>
        </is>
      </c>
      <c r="D479" s="35" t="inlineStr">
        <is>
          <t>Shoulder Press</t>
        </is>
      </c>
      <c r="E479" s="35" t="inlineStr">
        <is>
          <t>Dumbbell</t>
        </is>
      </c>
      <c r="F479" s="35" t="inlineStr">
        <is>
          <t>lbs</t>
        </is>
      </c>
      <c r="G479" s="35" t="n">
        <v>1</v>
      </c>
      <c r="H479" s="35" t="n">
        <v>15</v>
      </c>
      <c r="I479" s="35" t="n">
        <v>8</v>
      </c>
      <c r="J479" s="35" t="inlineStr">
        <is>
          <t>Y</t>
        </is>
      </c>
      <c r="K479" s="35">
        <f>IF($J479="Y","",IF($F479="BW",$I479,$H479*$I479))</f>
        <v/>
      </c>
      <c r="L479" s="35">
        <f>$D479&amp;"|"&amp;$H479</f>
        <v/>
      </c>
      <c r="M479" s="35" t="n"/>
    </row>
    <row r="480" ht="15" customHeight="1" s="22">
      <c r="A480" s="32" t="n">
        <v>46189</v>
      </c>
      <c r="B480" s="33" t="inlineStr">
        <is>
          <t>Tue</t>
        </is>
      </c>
      <c r="C480" s="33" t="inlineStr">
        <is>
          <t>Push</t>
        </is>
      </c>
      <c r="D480" s="33" t="inlineStr">
        <is>
          <t>Shoulder Press</t>
        </is>
      </c>
      <c r="E480" s="33" t="inlineStr">
        <is>
          <t>Dumbbell</t>
        </is>
      </c>
      <c r="F480" s="33" t="inlineStr">
        <is>
          <t>lbs</t>
        </is>
      </c>
      <c r="G480" s="33" t="n">
        <v>2</v>
      </c>
      <c r="H480" s="33" t="n">
        <v>25</v>
      </c>
      <c r="I480" s="33" t="n">
        <v>8</v>
      </c>
      <c r="J480" s="33" t="inlineStr">
        <is>
          <t>N</t>
        </is>
      </c>
      <c r="K480" s="33">
        <f>IF($J480="Y","",IF($F480="BW",$I480,$H480*$I480))</f>
        <v/>
      </c>
      <c r="L480" s="33">
        <f>$D480&amp;"|"&amp;$H480</f>
        <v/>
      </c>
      <c r="M480" s="33" t="n"/>
    </row>
    <row r="481" ht="15" customHeight="1" s="22">
      <c r="A481" s="32" t="n">
        <v>46189</v>
      </c>
      <c r="B481" s="33" t="inlineStr">
        <is>
          <t>Tue</t>
        </is>
      </c>
      <c r="C481" s="33" t="inlineStr">
        <is>
          <t>Push</t>
        </is>
      </c>
      <c r="D481" s="33" t="inlineStr">
        <is>
          <t>Shoulder Press</t>
        </is>
      </c>
      <c r="E481" s="33" t="inlineStr">
        <is>
          <t>Dumbbell</t>
        </is>
      </c>
      <c r="F481" s="33" t="inlineStr">
        <is>
          <t>lbs</t>
        </is>
      </c>
      <c r="G481" s="33" t="n">
        <v>3</v>
      </c>
      <c r="H481" s="33" t="n">
        <v>25</v>
      </c>
      <c r="I481" s="33" t="n">
        <v>8</v>
      </c>
      <c r="J481" s="33" t="inlineStr">
        <is>
          <t>N</t>
        </is>
      </c>
      <c r="K481" s="33">
        <f>IF($J481="Y","",IF($F481="BW",$I481,$H481*$I481))</f>
        <v/>
      </c>
      <c r="L481" s="33">
        <f>$D481&amp;"|"&amp;$H481</f>
        <v/>
      </c>
      <c r="M481" s="33" t="n"/>
    </row>
    <row r="482" ht="15" customHeight="1" s="22">
      <c r="A482" s="32" t="n">
        <v>46189</v>
      </c>
      <c r="B482" s="33" t="inlineStr">
        <is>
          <t>Tue</t>
        </is>
      </c>
      <c r="C482" s="33" t="inlineStr">
        <is>
          <t>Push</t>
        </is>
      </c>
      <c r="D482" s="33" t="inlineStr">
        <is>
          <t>Shoulder Press</t>
        </is>
      </c>
      <c r="E482" s="33" t="inlineStr">
        <is>
          <t>Dumbbell</t>
        </is>
      </c>
      <c r="F482" s="33" t="inlineStr">
        <is>
          <t>lbs</t>
        </is>
      </c>
      <c r="G482" s="33" t="n">
        <v>4</v>
      </c>
      <c r="H482" s="33" t="n">
        <v>25</v>
      </c>
      <c r="I482" s="33" t="n">
        <v>8</v>
      </c>
      <c r="J482" s="33" t="inlineStr">
        <is>
          <t>N</t>
        </is>
      </c>
      <c r="K482" s="33">
        <f>IF($J482="Y","",IF($F482="BW",$I482,$H482*$I482))</f>
        <v/>
      </c>
      <c r="L482" s="33">
        <f>$D482&amp;"|"&amp;$H482</f>
        <v/>
      </c>
      <c r="M482" s="33" t="n"/>
    </row>
    <row r="483" ht="15" customHeight="1" s="22">
      <c r="A483" s="34" t="n">
        <v>46189</v>
      </c>
      <c r="B483" s="35" t="inlineStr">
        <is>
          <t>Tue</t>
        </is>
      </c>
      <c r="C483" s="35" t="inlineStr">
        <is>
          <t>Push</t>
        </is>
      </c>
      <c r="D483" s="35" t="inlineStr">
        <is>
          <t>Tricep Ext Overhead</t>
        </is>
      </c>
      <c r="E483" s="35" t="inlineStr">
        <is>
          <t>Dumbbell</t>
        </is>
      </c>
      <c r="F483" s="35" t="inlineStr">
        <is>
          <t>lbs</t>
        </is>
      </c>
      <c r="G483" s="35" t="n">
        <v>1</v>
      </c>
      <c r="H483" s="35" t="n">
        <v>25</v>
      </c>
      <c r="I483" s="35" t="n">
        <v>8</v>
      </c>
      <c r="J483" s="35" t="inlineStr">
        <is>
          <t>Y</t>
        </is>
      </c>
      <c r="K483" s="35">
        <f>IF($J483="Y","",IF($F483="BW",$I483,$H483*$I483))</f>
        <v/>
      </c>
      <c r="L483" s="35">
        <f>$D483&amp;"|"&amp;$H483</f>
        <v/>
      </c>
      <c r="M483" s="35" t="n"/>
    </row>
    <row r="484" ht="15" customHeight="1" s="22">
      <c r="A484" s="32" t="n">
        <v>46189</v>
      </c>
      <c r="B484" s="33" t="inlineStr">
        <is>
          <t>Tue</t>
        </is>
      </c>
      <c r="C484" s="33" t="inlineStr">
        <is>
          <t>Push</t>
        </is>
      </c>
      <c r="D484" s="33" t="inlineStr">
        <is>
          <t>Tricep Ext Overhead</t>
        </is>
      </c>
      <c r="E484" s="33" t="inlineStr">
        <is>
          <t>Dumbbell</t>
        </is>
      </c>
      <c r="F484" s="33" t="inlineStr">
        <is>
          <t>lbs</t>
        </is>
      </c>
      <c r="G484" s="33" t="n">
        <v>2</v>
      </c>
      <c r="H484" s="33" t="n">
        <v>40</v>
      </c>
      <c r="I484" s="33" t="n">
        <v>8</v>
      </c>
      <c r="J484" s="33" t="inlineStr">
        <is>
          <t>N</t>
        </is>
      </c>
      <c r="K484" s="33">
        <f>IF($J484="Y","",IF($F484="BW",$I484,$H484*$I484))</f>
        <v/>
      </c>
      <c r="L484" s="33">
        <f>$D484&amp;"|"&amp;$H484</f>
        <v/>
      </c>
      <c r="M484" s="33" t="n"/>
    </row>
    <row r="485" ht="15" customHeight="1" s="22">
      <c r="A485" s="32" t="n">
        <v>46189</v>
      </c>
      <c r="B485" s="33" t="inlineStr">
        <is>
          <t>Tue</t>
        </is>
      </c>
      <c r="C485" s="33" t="inlineStr">
        <is>
          <t>Push</t>
        </is>
      </c>
      <c r="D485" s="33" t="inlineStr">
        <is>
          <t>Tricep Ext Overhead</t>
        </is>
      </c>
      <c r="E485" s="33" t="inlineStr">
        <is>
          <t>Dumbbell</t>
        </is>
      </c>
      <c r="F485" s="33" t="inlineStr">
        <is>
          <t>lbs</t>
        </is>
      </c>
      <c r="G485" s="33" t="n">
        <v>3</v>
      </c>
      <c r="H485" s="33" t="n">
        <v>50</v>
      </c>
      <c r="I485" s="33" t="n">
        <v>8</v>
      </c>
      <c r="J485" s="33" t="inlineStr">
        <is>
          <t>N</t>
        </is>
      </c>
      <c r="K485" s="33">
        <f>IF($J485="Y","",IF($F485="BW",$I485,$H485*$I485))</f>
        <v/>
      </c>
      <c r="L485" s="33">
        <f>$D485&amp;"|"&amp;$H485</f>
        <v/>
      </c>
      <c r="M485" s="33" t="n"/>
    </row>
    <row r="486" ht="15" customHeight="1" s="22">
      <c r="A486" s="32" t="n">
        <v>46189</v>
      </c>
      <c r="B486" s="33" t="inlineStr">
        <is>
          <t>Tue</t>
        </is>
      </c>
      <c r="C486" s="33" t="inlineStr">
        <is>
          <t>Push</t>
        </is>
      </c>
      <c r="D486" s="33" t="inlineStr">
        <is>
          <t>Tricep Ext Overhead</t>
        </is>
      </c>
      <c r="E486" s="33" t="inlineStr">
        <is>
          <t>Dumbbell</t>
        </is>
      </c>
      <c r="F486" s="33" t="inlineStr">
        <is>
          <t>lbs</t>
        </is>
      </c>
      <c r="G486" s="33" t="n">
        <v>4</v>
      </c>
      <c r="H486" s="33" t="n">
        <v>50</v>
      </c>
      <c r="I486" s="33" t="n">
        <v>8</v>
      </c>
      <c r="J486" s="33" t="inlineStr">
        <is>
          <t>N</t>
        </is>
      </c>
      <c r="K486" s="33">
        <f>IF($J486="Y","",IF($F486="BW",$I486,$H486*$I486))</f>
        <v/>
      </c>
      <c r="L486" s="33">
        <f>$D486&amp;"|"&amp;$H486</f>
        <v/>
      </c>
      <c r="M486" s="33" t="n"/>
    </row>
    <row r="487" ht="15" customHeight="1" s="22">
      <c r="A487" s="34" t="n">
        <v>46191</v>
      </c>
      <c r="B487" s="35" t="inlineStr">
        <is>
          <t>Thu</t>
        </is>
      </c>
      <c r="C487" s="35" t="inlineStr">
        <is>
          <t>Legs + Pull</t>
        </is>
      </c>
      <c r="D487" s="35" t="inlineStr">
        <is>
          <t>RDLs</t>
        </is>
      </c>
      <c r="E487" s="35" t="inlineStr">
        <is>
          <t>Smith</t>
        </is>
      </c>
      <c r="F487" s="35" t="inlineStr">
        <is>
          <t>lbs</t>
        </is>
      </c>
      <c r="G487" s="35" t="n">
        <v>1</v>
      </c>
      <c r="H487" s="35" t="n">
        <v>10</v>
      </c>
      <c r="I487" s="35" t="n">
        <v>8</v>
      </c>
      <c r="J487" s="35" t="inlineStr">
        <is>
          <t>Y</t>
        </is>
      </c>
      <c r="K487" s="35">
        <f>IF($J487="Y","",IF($F487="BW",$I487,$H487*$I487))</f>
        <v/>
      </c>
      <c r="L487" s="35">
        <f>$D487&amp;"|"&amp;$H487</f>
        <v/>
      </c>
      <c r="M487" s="35" t="n"/>
    </row>
    <row r="488" ht="15" customHeight="1" s="22">
      <c r="A488" s="32" t="n">
        <v>46191</v>
      </c>
      <c r="B488" s="33" t="inlineStr">
        <is>
          <t>Thu</t>
        </is>
      </c>
      <c r="C488" s="33" t="inlineStr">
        <is>
          <t>Legs + Pull</t>
        </is>
      </c>
      <c r="D488" s="33" t="inlineStr">
        <is>
          <t>RDLs</t>
        </is>
      </c>
      <c r="E488" s="33" t="inlineStr">
        <is>
          <t>Smith</t>
        </is>
      </c>
      <c r="F488" s="33" t="inlineStr">
        <is>
          <t>lbs</t>
        </is>
      </c>
      <c r="G488" s="33" t="n">
        <v>2</v>
      </c>
      <c r="H488" s="33" t="n">
        <v>35</v>
      </c>
      <c r="I488" s="33" t="n">
        <v>8</v>
      </c>
      <c r="J488" s="33" t="inlineStr">
        <is>
          <t>N</t>
        </is>
      </c>
      <c r="K488" s="33">
        <f>IF($J488="Y","",IF($F488="BW",$I488,$H488*$I488))</f>
        <v/>
      </c>
      <c r="L488" s="33">
        <f>$D488&amp;"|"&amp;$H488</f>
        <v/>
      </c>
      <c r="M488" s="33" t="n"/>
    </row>
    <row r="489" ht="15" customHeight="1" s="22">
      <c r="A489" s="32" t="n">
        <v>46191</v>
      </c>
      <c r="B489" s="33" t="inlineStr">
        <is>
          <t>Thu</t>
        </is>
      </c>
      <c r="C489" s="33" t="inlineStr">
        <is>
          <t>Legs + Pull</t>
        </is>
      </c>
      <c r="D489" s="33" t="inlineStr">
        <is>
          <t>RDLs</t>
        </is>
      </c>
      <c r="E489" s="33" t="inlineStr">
        <is>
          <t>Smith</t>
        </is>
      </c>
      <c r="F489" s="33" t="inlineStr">
        <is>
          <t>lbs</t>
        </is>
      </c>
      <c r="G489" s="33" t="n">
        <v>3</v>
      </c>
      <c r="H489" s="33" t="n">
        <v>35</v>
      </c>
      <c r="I489" s="33" t="n">
        <v>8</v>
      </c>
      <c r="J489" s="33" t="inlineStr">
        <is>
          <t>N</t>
        </is>
      </c>
      <c r="K489" s="33">
        <f>IF($J489="Y","",IF($F489="BW",$I489,$H489*$I489))</f>
        <v/>
      </c>
      <c r="L489" s="33">
        <f>$D489&amp;"|"&amp;$H489</f>
        <v/>
      </c>
      <c r="M489" s="33" t="n"/>
    </row>
    <row r="490" ht="15" customHeight="1" s="22">
      <c r="A490" s="34" t="n">
        <v>46191</v>
      </c>
      <c r="B490" s="35" t="inlineStr">
        <is>
          <t>Thu</t>
        </is>
      </c>
      <c r="C490" s="35" t="inlineStr">
        <is>
          <t>Legs + Pull</t>
        </is>
      </c>
      <c r="D490" s="35" t="inlineStr">
        <is>
          <t>Calf Raises (Smith)</t>
        </is>
      </c>
      <c r="E490" s="35" t="inlineStr">
        <is>
          <t>Smith</t>
        </is>
      </c>
      <c r="F490" s="35" t="inlineStr">
        <is>
          <t>lbs</t>
        </is>
      </c>
      <c r="G490" s="35" t="n">
        <v>1</v>
      </c>
      <c r="H490" s="35" t="n">
        <v>10</v>
      </c>
      <c r="I490" s="35" t="n">
        <v>8</v>
      </c>
      <c r="J490" s="35" t="inlineStr">
        <is>
          <t>Y</t>
        </is>
      </c>
      <c r="K490" s="35">
        <f>IF($J490="Y","",IF($F490="BW",$I490,$H490*$I490))</f>
        <v/>
      </c>
      <c r="L490" s="35">
        <f>$D490&amp;"|"&amp;$H490</f>
        <v/>
      </c>
      <c r="M490" s="35" t="n"/>
    </row>
    <row r="491" ht="15" customHeight="1" s="22">
      <c r="A491" s="32" t="n">
        <v>46191</v>
      </c>
      <c r="B491" s="33" t="inlineStr">
        <is>
          <t>Thu</t>
        </is>
      </c>
      <c r="C491" s="33" t="inlineStr">
        <is>
          <t>Legs + Pull</t>
        </is>
      </c>
      <c r="D491" s="33" t="inlineStr">
        <is>
          <t>Calf Raises (Smith)</t>
        </is>
      </c>
      <c r="E491" s="33" t="inlineStr">
        <is>
          <t>Smith</t>
        </is>
      </c>
      <c r="F491" s="33" t="inlineStr">
        <is>
          <t>lbs</t>
        </is>
      </c>
      <c r="G491" s="33" t="n">
        <v>2</v>
      </c>
      <c r="H491" s="33" t="n">
        <v>35</v>
      </c>
      <c r="I491" s="33" t="n">
        <v>8</v>
      </c>
      <c r="J491" s="33" t="inlineStr">
        <is>
          <t>N</t>
        </is>
      </c>
      <c r="K491" s="33">
        <f>IF($J491="Y","",IF($F491="BW",$I491,$H491*$I491))</f>
        <v/>
      </c>
      <c r="L491" s="33">
        <f>$D491&amp;"|"&amp;$H491</f>
        <v/>
      </c>
      <c r="M491" s="33" t="n"/>
    </row>
    <row r="492" ht="15" customHeight="1" s="22">
      <c r="A492" s="32" t="n">
        <v>46191</v>
      </c>
      <c r="B492" s="33" t="inlineStr">
        <is>
          <t>Thu</t>
        </is>
      </c>
      <c r="C492" s="33" t="inlineStr">
        <is>
          <t>Legs + Pull</t>
        </is>
      </c>
      <c r="D492" s="33" t="inlineStr">
        <is>
          <t>Calf Raises (Smith)</t>
        </is>
      </c>
      <c r="E492" s="33" t="inlineStr">
        <is>
          <t>Smith</t>
        </is>
      </c>
      <c r="F492" s="33" t="inlineStr">
        <is>
          <t>lbs</t>
        </is>
      </c>
      <c r="G492" s="33" t="n">
        <v>3</v>
      </c>
      <c r="H492" s="33" t="n">
        <v>35</v>
      </c>
      <c r="I492" s="33" t="n">
        <v>8</v>
      </c>
      <c r="J492" s="33" t="inlineStr">
        <is>
          <t>N</t>
        </is>
      </c>
      <c r="K492" s="33">
        <f>IF($J492="Y","",IF($F492="BW",$I492,$H492*$I492))</f>
        <v/>
      </c>
      <c r="L492" s="33">
        <f>$D492&amp;"|"&amp;$H492</f>
        <v/>
      </c>
      <c r="M492" s="33" t="n"/>
    </row>
    <row r="493" ht="15" customHeight="1" s="22">
      <c r="A493" s="32" t="n">
        <v>46191</v>
      </c>
      <c r="B493" s="33" t="inlineStr">
        <is>
          <t>Thu</t>
        </is>
      </c>
      <c r="C493" s="33" t="inlineStr">
        <is>
          <t>Legs + Pull</t>
        </is>
      </c>
      <c r="D493" s="33" t="inlineStr">
        <is>
          <t>Calf Raises (Smith)</t>
        </is>
      </c>
      <c r="E493" s="33" t="inlineStr">
        <is>
          <t>Smith</t>
        </is>
      </c>
      <c r="F493" s="33" t="inlineStr">
        <is>
          <t>lbs</t>
        </is>
      </c>
      <c r="G493" s="33" t="n">
        <v>4</v>
      </c>
      <c r="H493" s="33" t="n">
        <v>35</v>
      </c>
      <c r="I493" s="33" t="n">
        <v>8</v>
      </c>
      <c r="J493" s="33" t="inlineStr">
        <is>
          <t>N</t>
        </is>
      </c>
      <c r="K493" s="33">
        <f>IF($J493="Y","",IF($F493="BW",$I493,$H493*$I493))</f>
        <v/>
      </c>
      <c r="L493" s="33">
        <f>$D493&amp;"|"&amp;$H493</f>
        <v/>
      </c>
      <c r="M493" s="33" t="n"/>
    </row>
    <row r="494" ht="15" customHeight="1" s="22">
      <c r="A494" s="34" t="n">
        <v>46191</v>
      </c>
      <c r="B494" s="35" t="inlineStr">
        <is>
          <t>Thu</t>
        </is>
      </c>
      <c r="C494" s="35" t="inlineStr">
        <is>
          <t>Legs + Pull</t>
        </is>
      </c>
      <c r="D494" s="35" t="inlineStr">
        <is>
          <t>Single Arm Lat Pulldown</t>
        </is>
      </c>
      <c r="E494" s="35" t="inlineStr">
        <is>
          <t>Cable</t>
        </is>
      </c>
      <c r="F494" s="35" t="inlineStr">
        <is>
          <t>kg</t>
        </is>
      </c>
      <c r="G494" s="35" t="n">
        <v>1</v>
      </c>
      <c r="H494" s="35" t="n">
        <v>12.5</v>
      </c>
      <c r="I494" s="35" t="n">
        <v>8</v>
      </c>
      <c r="J494" s="35" t="inlineStr">
        <is>
          <t>Y</t>
        </is>
      </c>
      <c r="K494" s="35">
        <f>IF($J494="Y","",IF($F494="BW",$I494,$H494*$I494))</f>
        <v/>
      </c>
      <c r="L494" s="35">
        <f>$D494&amp;"|"&amp;$H494</f>
        <v/>
      </c>
      <c r="M494" s="35" t="n"/>
    </row>
    <row r="495" ht="15" customHeight="1" s="22">
      <c r="A495" s="32" t="n">
        <v>46191</v>
      </c>
      <c r="B495" s="33" t="inlineStr">
        <is>
          <t>Thu</t>
        </is>
      </c>
      <c r="C495" s="33" t="inlineStr">
        <is>
          <t>Legs + Pull</t>
        </is>
      </c>
      <c r="D495" s="33" t="inlineStr">
        <is>
          <t>Single Arm Lat Pulldown</t>
        </is>
      </c>
      <c r="E495" s="33" t="inlineStr">
        <is>
          <t>Cable</t>
        </is>
      </c>
      <c r="F495" s="33" t="inlineStr">
        <is>
          <t>kg</t>
        </is>
      </c>
      <c r="G495" s="33" t="n">
        <v>2</v>
      </c>
      <c r="H495" s="33" t="n">
        <v>20</v>
      </c>
      <c r="I495" s="33" t="n">
        <v>8</v>
      </c>
      <c r="J495" s="33" t="inlineStr">
        <is>
          <t>N</t>
        </is>
      </c>
      <c r="K495" s="33">
        <f>IF($J495="Y","",IF($F495="BW",$I495,$H495*$I495))</f>
        <v/>
      </c>
      <c r="L495" s="33">
        <f>$D495&amp;"|"&amp;$H495</f>
        <v/>
      </c>
      <c r="M495" s="33" t="n"/>
    </row>
    <row r="496" ht="15" customHeight="1" s="22">
      <c r="A496" s="32" t="n">
        <v>46191</v>
      </c>
      <c r="B496" s="33" t="inlineStr">
        <is>
          <t>Thu</t>
        </is>
      </c>
      <c r="C496" s="33" t="inlineStr">
        <is>
          <t>Legs + Pull</t>
        </is>
      </c>
      <c r="D496" s="33" t="inlineStr">
        <is>
          <t>Single Arm Lat Pulldown</t>
        </is>
      </c>
      <c r="E496" s="33" t="inlineStr">
        <is>
          <t>Cable</t>
        </is>
      </c>
      <c r="F496" s="33" t="inlineStr">
        <is>
          <t>kg</t>
        </is>
      </c>
      <c r="G496" s="33" t="n">
        <v>3</v>
      </c>
      <c r="H496" s="33" t="n">
        <v>22.5</v>
      </c>
      <c r="I496" s="33" t="n">
        <v>8</v>
      </c>
      <c r="J496" s="33" t="inlineStr">
        <is>
          <t>N</t>
        </is>
      </c>
      <c r="K496" s="33">
        <f>IF($J496="Y","",IF($F496="BW",$I496,$H496*$I496))</f>
        <v/>
      </c>
      <c r="L496" s="33">
        <f>$D496&amp;"|"&amp;$H496</f>
        <v/>
      </c>
      <c r="M496" s="33" t="n"/>
    </row>
    <row r="497" ht="15" customHeight="1" s="22">
      <c r="A497" s="32" t="n">
        <v>46191</v>
      </c>
      <c r="B497" s="33" t="inlineStr">
        <is>
          <t>Thu</t>
        </is>
      </c>
      <c r="C497" s="33" t="inlineStr">
        <is>
          <t>Legs + Pull</t>
        </is>
      </c>
      <c r="D497" s="33" t="inlineStr">
        <is>
          <t>Single Arm Lat Pulldown</t>
        </is>
      </c>
      <c r="E497" s="33" t="inlineStr">
        <is>
          <t>Cable</t>
        </is>
      </c>
      <c r="F497" s="33" t="inlineStr">
        <is>
          <t>kg</t>
        </is>
      </c>
      <c r="G497" s="33" t="n">
        <v>4</v>
      </c>
      <c r="H497" s="33" t="n">
        <v>22.5</v>
      </c>
      <c r="I497" s="33" t="n">
        <v>8</v>
      </c>
      <c r="J497" s="33" t="inlineStr">
        <is>
          <t>N</t>
        </is>
      </c>
      <c r="K497" s="33">
        <f>IF($J497="Y","",IF($F497="BW",$I497,$H497*$I497))</f>
        <v/>
      </c>
      <c r="L497" s="33">
        <f>$D497&amp;"|"&amp;$H497</f>
        <v/>
      </c>
      <c r="M497" s="33" t="n"/>
    </row>
    <row r="498" ht="15" customHeight="1" s="22">
      <c r="A498" s="34" t="n">
        <v>46191</v>
      </c>
      <c r="B498" s="35" t="inlineStr">
        <is>
          <t>Thu</t>
        </is>
      </c>
      <c r="C498" s="35" t="inlineStr">
        <is>
          <t>Legs + Pull</t>
        </is>
      </c>
      <c r="D498" s="35" t="inlineStr">
        <is>
          <t>Smith Rows</t>
        </is>
      </c>
      <c r="E498" s="35" t="inlineStr">
        <is>
          <t>Smith</t>
        </is>
      </c>
      <c r="F498" s="35" t="inlineStr">
        <is>
          <t>lbs</t>
        </is>
      </c>
      <c r="G498" s="35" t="n">
        <v>1</v>
      </c>
      <c r="H498" s="35" t="n">
        <v>20</v>
      </c>
      <c r="I498" s="35" t="n">
        <v>8</v>
      </c>
      <c r="J498" s="35" t="inlineStr">
        <is>
          <t>Y</t>
        </is>
      </c>
      <c r="K498" s="35">
        <f>IF($J498="Y","",IF($F498="BW",$I498,$H498*$I498))</f>
        <v/>
      </c>
      <c r="L498" s="35">
        <f>$D498&amp;"|"&amp;$H498</f>
        <v/>
      </c>
      <c r="M498" s="35" t="n"/>
    </row>
    <row r="499" ht="15" customHeight="1" s="22">
      <c r="A499" s="32" t="n">
        <v>46191</v>
      </c>
      <c r="B499" s="33" t="inlineStr">
        <is>
          <t>Thu</t>
        </is>
      </c>
      <c r="C499" s="33" t="inlineStr">
        <is>
          <t>Legs + Pull</t>
        </is>
      </c>
      <c r="D499" s="33" t="inlineStr">
        <is>
          <t>Smith Rows</t>
        </is>
      </c>
      <c r="E499" s="33" t="inlineStr">
        <is>
          <t>Smith</t>
        </is>
      </c>
      <c r="F499" s="33" t="inlineStr">
        <is>
          <t>lbs</t>
        </is>
      </c>
      <c r="G499" s="33" t="n">
        <v>2</v>
      </c>
      <c r="H499" s="33" t="n">
        <v>50</v>
      </c>
      <c r="I499" s="33" t="n">
        <v>8</v>
      </c>
      <c r="J499" s="33" t="inlineStr">
        <is>
          <t>N</t>
        </is>
      </c>
      <c r="K499" s="33">
        <f>IF($J499="Y","",IF($F499="BW",$I499,$H499*$I499))</f>
        <v/>
      </c>
      <c r="L499" s="33">
        <f>$D499&amp;"|"&amp;$H499</f>
        <v/>
      </c>
      <c r="M499" s="33" t="n"/>
    </row>
    <row r="500" ht="15" customHeight="1" s="22">
      <c r="A500" s="32" t="n">
        <v>46191</v>
      </c>
      <c r="B500" s="33" t="inlineStr">
        <is>
          <t>Thu</t>
        </is>
      </c>
      <c r="C500" s="33" t="inlineStr">
        <is>
          <t>Legs + Pull</t>
        </is>
      </c>
      <c r="D500" s="33" t="inlineStr">
        <is>
          <t>Smith Rows</t>
        </is>
      </c>
      <c r="E500" s="33" t="inlineStr">
        <is>
          <t>Smith</t>
        </is>
      </c>
      <c r="F500" s="33" t="inlineStr">
        <is>
          <t>lbs</t>
        </is>
      </c>
      <c r="G500" s="33" t="n">
        <v>3</v>
      </c>
      <c r="H500" s="33" t="n">
        <v>55</v>
      </c>
      <c r="I500" s="33" t="n">
        <v>8</v>
      </c>
      <c r="J500" s="33" t="inlineStr">
        <is>
          <t>N</t>
        </is>
      </c>
      <c r="K500" s="33">
        <f>IF($J500="Y","",IF($F500="BW",$I500,$H500*$I500))</f>
        <v/>
      </c>
      <c r="L500" s="33">
        <f>$D500&amp;"|"&amp;$H500</f>
        <v/>
      </c>
      <c r="M500" s="33" t="n"/>
    </row>
    <row r="501" ht="15" customHeight="1" s="22">
      <c r="A501" s="32" t="n">
        <v>46191</v>
      </c>
      <c r="B501" s="33" t="inlineStr">
        <is>
          <t>Thu</t>
        </is>
      </c>
      <c r="C501" s="33" t="inlineStr">
        <is>
          <t>Legs + Pull</t>
        </is>
      </c>
      <c r="D501" s="33" t="inlineStr">
        <is>
          <t>Smith Rows</t>
        </is>
      </c>
      <c r="E501" s="33" t="inlineStr">
        <is>
          <t>Smith</t>
        </is>
      </c>
      <c r="F501" s="33" t="inlineStr">
        <is>
          <t>lbs</t>
        </is>
      </c>
      <c r="G501" s="33" t="n">
        <v>4</v>
      </c>
      <c r="H501" s="33" t="n">
        <v>55</v>
      </c>
      <c r="I501" s="33" t="n">
        <v>8</v>
      </c>
      <c r="J501" s="33" t="inlineStr">
        <is>
          <t>N</t>
        </is>
      </c>
      <c r="K501" s="33">
        <f>IF($J501="Y","",IF($F501="BW",$I501,$H501*$I501))</f>
        <v/>
      </c>
      <c r="L501" s="33">
        <f>$D501&amp;"|"&amp;$H501</f>
        <v/>
      </c>
      <c r="M501" s="33" t="n"/>
    </row>
    <row r="502" ht="15" customHeight="1" s="22">
      <c r="A502" s="34" t="n">
        <v>46191</v>
      </c>
      <c r="B502" s="35" t="inlineStr">
        <is>
          <t>Thu</t>
        </is>
      </c>
      <c r="C502" s="35" t="inlineStr">
        <is>
          <t>Legs + Pull</t>
        </is>
      </c>
      <c r="D502" s="35" t="inlineStr">
        <is>
          <t>Shrugs</t>
        </is>
      </c>
      <c r="E502" s="35" t="inlineStr">
        <is>
          <t>Dumbbell</t>
        </is>
      </c>
      <c r="F502" s="35" t="inlineStr">
        <is>
          <t>lbs</t>
        </is>
      </c>
      <c r="G502" s="35" t="n">
        <v>1</v>
      </c>
      <c r="H502" s="35" t="n">
        <v>25</v>
      </c>
      <c r="I502" s="35" t="n">
        <v>8</v>
      </c>
      <c r="J502" s="35" t="inlineStr">
        <is>
          <t>Y</t>
        </is>
      </c>
      <c r="K502" s="35">
        <f>IF($J502="Y","",IF($F502="BW",$I502,$H502*$I502))</f>
        <v/>
      </c>
      <c r="L502" s="35">
        <f>$D502&amp;"|"&amp;$H502</f>
        <v/>
      </c>
      <c r="M502" s="35" t="n"/>
    </row>
    <row r="503" ht="15" customHeight="1" s="22">
      <c r="A503" s="32" t="n">
        <v>46191</v>
      </c>
      <c r="B503" s="33" t="inlineStr">
        <is>
          <t>Thu</t>
        </is>
      </c>
      <c r="C503" s="33" t="inlineStr">
        <is>
          <t>Legs + Pull</t>
        </is>
      </c>
      <c r="D503" s="33" t="inlineStr">
        <is>
          <t>Shrugs</t>
        </is>
      </c>
      <c r="E503" s="33" t="inlineStr">
        <is>
          <t>Dumbbell</t>
        </is>
      </c>
      <c r="F503" s="33" t="inlineStr">
        <is>
          <t>lbs</t>
        </is>
      </c>
      <c r="G503" s="33" t="n">
        <v>2</v>
      </c>
      <c r="H503" s="33" t="n">
        <v>50</v>
      </c>
      <c r="I503" s="33" t="n">
        <v>8</v>
      </c>
      <c r="J503" s="33" t="inlineStr">
        <is>
          <t>N</t>
        </is>
      </c>
      <c r="K503" s="33">
        <f>IF($J503="Y","",IF($F503="BW",$I503,$H503*$I503))</f>
        <v/>
      </c>
      <c r="L503" s="33">
        <f>$D503&amp;"|"&amp;$H503</f>
        <v/>
      </c>
      <c r="M503" s="33" t="n"/>
    </row>
    <row r="504" ht="15" customHeight="1" s="22">
      <c r="A504" s="32" t="n">
        <v>46191</v>
      </c>
      <c r="B504" s="33" t="inlineStr">
        <is>
          <t>Thu</t>
        </is>
      </c>
      <c r="C504" s="33" t="inlineStr">
        <is>
          <t>Legs + Pull</t>
        </is>
      </c>
      <c r="D504" s="33" t="inlineStr">
        <is>
          <t>Shrugs</t>
        </is>
      </c>
      <c r="E504" s="33" t="inlineStr">
        <is>
          <t>Dumbbell</t>
        </is>
      </c>
      <c r="F504" s="33" t="inlineStr">
        <is>
          <t>lbs</t>
        </is>
      </c>
      <c r="G504" s="33" t="n">
        <v>3</v>
      </c>
      <c r="H504" s="33" t="n">
        <v>50</v>
      </c>
      <c r="I504" s="33" t="n">
        <v>8</v>
      </c>
      <c r="J504" s="33" t="inlineStr">
        <is>
          <t>N</t>
        </is>
      </c>
      <c r="K504" s="33">
        <f>IF($J504="Y","",IF($F504="BW",$I504,$H504*$I504))</f>
        <v/>
      </c>
      <c r="L504" s="33">
        <f>$D504&amp;"|"&amp;$H504</f>
        <v/>
      </c>
      <c r="M504" s="33" t="n"/>
    </row>
    <row r="505" ht="15" customHeight="1" s="22">
      <c r="A505" s="32" t="n">
        <v>46191</v>
      </c>
      <c r="B505" s="33" t="inlineStr">
        <is>
          <t>Thu</t>
        </is>
      </c>
      <c r="C505" s="33" t="inlineStr">
        <is>
          <t>Legs + Pull</t>
        </is>
      </c>
      <c r="D505" s="33" t="inlineStr">
        <is>
          <t>Shrugs</t>
        </is>
      </c>
      <c r="E505" s="33" t="inlineStr">
        <is>
          <t>Dumbbell</t>
        </is>
      </c>
      <c r="F505" s="33" t="inlineStr">
        <is>
          <t>lbs</t>
        </is>
      </c>
      <c r="G505" s="33" t="n">
        <v>4</v>
      </c>
      <c r="H505" s="33" t="n">
        <v>50</v>
      </c>
      <c r="I505" s="33" t="n">
        <v>8</v>
      </c>
      <c r="J505" s="33" t="inlineStr">
        <is>
          <t>N</t>
        </is>
      </c>
      <c r="K505" s="33">
        <f>IF($J505="Y","",IF($F505="BW",$I505,$H505*$I505))</f>
        <v/>
      </c>
      <c r="L505" s="33">
        <f>$D505&amp;"|"&amp;$H505</f>
        <v/>
      </c>
      <c r="M505" s="33" t="n"/>
    </row>
    <row r="506" ht="15" customHeight="1" s="22">
      <c r="A506" s="34" t="n">
        <v>46196</v>
      </c>
      <c r="B506" s="35" t="inlineStr">
        <is>
          <t>Tue</t>
        </is>
      </c>
      <c r="C506" s="35" t="inlineStr">
        <is>
          <t>Pull</t>
        </is>
      </c>
      <c r="D506" s="35" t="inlineStr">
        <is>
          <t>Single Arm Lat Pulldown</t>
        </is>
      </c>
      <c r="E506" s="35" t="inlineStr">
        <is>
          <t>Cable</t>
        </is>
      </c>
      <c r="F506" s="35" t="inlineStr">
        <is>
          <t>kg</t>
        </is>
      </c>
      <c r="G506" s="35" t="n">
        <v>1</v>
      </c>
      <c r="H506" s="35" t="n">
        <v>12.5</v>
      </c>
      <c r="I506" s="35" t="n">
        <v>8</v>
      </c>
      <c r="J506" s="35" t="inlineStr">
        <is>
          <t>Y</t>
        </is>
      </c>
      <c r="K506" s="35">
        <f>IF($J506="Y","",IF($F506="BW",$I506,$H506*$I506))</f>
        <v/>
      </c>
      <c r="L506" s="35">
        <f>$D506&amp;"|"&amp;$H506</f>
        <v/>
      </c>
      <c r="M506" s="35" t="n"/>
    </row>
    <row r="507" ht="15" customHeight="1" s="22">
      <c r="A507" s="32" t="n">
        <v>46196</v>
      </c>
      <c r="B507" s="33" t="inlineStr">
        <is>
          <t>Tue</t>
        </is>
      </c>
      <c r="C507" s="33" t="inlineStr">
        <is>
          <t>Pull</t>
        </is>
      </c>
      <c r="D507" s="33" t="inlineStr">
        <is>
          <t>Single Arm Lat Pulldown</t>
        </is>
      </c>
      <c r="E507" s="33" t="inlineStr">
        <is>
          <t>Cable</t>
        </is>
      </c>
      <c r="F507" s="33" t="inlineStr">
        <is>
          <t>kg</t>
        </is>
      </c>
      <c r="G507" s="33" t="n">
        <v>2</v>
      </c>
      <c r="H507" s="33" t="n">
        <v>20</v>
      </c>
      <c r="I507" s="33" t="n">
        <v>8</v>
      </c>
      <c r="J507" s="33" t="inlineStr">
        <is>
          <t>N</t>
        </is>
      </c>
      <c r="K507" s="33">
        <f>IF($J507="Y","",IF($F507="BW",$I507,$H507*$I507))</f>
        <v/>
      </c>
      <c r="L507" s="33">
        <f>$D507&amp;"|"&amp;$H507</f>
        <v/>
      </c>
      <c r="M507" s="33" t="n"/>
    </row>
    <row r="508" ht="15" customHeight="1" s="22">
      <c r="A508" s="32" t="n">
        <v>46196</v>
      </c>
      <c r="B508" s="33" t="inlineStr">
        <is>
          <t>Tue</t>
        </is>
      </c>
      <c r="C508" s="33" t="inlineStr">
        <is>
          <t>Pull</t>
        </is>
      </c>
      <c r="D508" s="33" t="inlineStr">
        <is>
          <t>Single Arm Lat Pulldown</t>
        </is>
      </c>
      <c r="E508" s="33" t="inlineStr">
        <is>
          <t>Cable</t>
        </is>
      </c>
      <c r="F508" s="33" t="inlineStr">
        <is>
          <t>kg</t>
        </is>
      </c>
      <c r="G508" s="33" t="n">
        <v>3</v>
      </c>
      <c r="H508" s="33" t="n">
        <v>25</v>
      </c>
      <c r="I508" s="33" t="n">
        <v>8</v>
      </c>
      <c r="J508" s="33" t="inlineStr">
        <is>
          <t>N</t>
        </is>
      </c>
      <c r="K508" s="33">
        <f>IF($J508="Y","",IF($F508="BW",$I508,$H508*$I508))</f>
        <v/>
      </c>
      <c r="L508" s="33">
        <f>$D508&amp;"|"&amp;$H508</f>
        <v/>
      </c>
      <c r="M508" s="33" t="n"/>
    </row>
    <row r="509" ht="15" customHeight="1" s="22">
      <c r="A509" s="32" t="n">
        <v>46196</v>
      </c>
      <c r="B509" s="33" t="inlineStr">
        <is>
          <t>Tue</t>
        </is>
      </c>
      <c r="C509" s="33" t="inlineStr">
        <is>
          <t>Pull</t>
        </is>
      </c>
      <c r="D509" s="33" t="inlineStr">
        <is>
          <t>Single Arm Lat Pulldown</t>
        </is>
      </c>
      <c r="E509" s="33" t="inlineStr">
        <is>
          <t>Cable</t>
        </is>
      </c>
      <c r="F509" s="33" t="inlineStr">
        <is>
          <t>kg</t>
        </is>
      </c>
      <c r="G509" s="33" t="n">
        <v>4</v>
      </c>
      <c r="H509" s="33" t="n">
        <v>25</v>
      </c>
      <c r="I509" s="33" t="n">
        <v>8</v>
      </c>
      <c r="J509" s="33" t="inlineStr">
        <is>
          <t>N</t>
        </is>
      </c>
      <c r="K509" s="33">
        <f>IF($J509="Y","",IF($F509="BW",$I509,$H509*$I509))</f>
        <v/>
      </c>
      <c r="L509" s="33">
        <f>$D509&amp;"|"&amp;$H509</f>
        <v/>
      </c>
      <c r="M509" s="33" t="n"/>
    </row>
    <row r="510" ht="15" customHeight="1" s="22">
      <c r="A510" s="34" t="n">
        <v>46196</v>
      </c>
      <c r="B510" s="35" t="inlineStr">
        <is>
          <t>Tue</t>
        </is>
      </c>
      <c r="C510" s="35" t="inlineStr">
        <is>
          <t>Pull</t>
        </is>
      </c>
      <c r="D510" s="35" t="inlineStr">
        <is>
          <t>Smith Rows</t>
        </is>
      </c>
      <c r="E510" s="35" t="inlineStr">
        <is>
          <t>Smith</t>
        </is>
      </c>
      <c r="F510" s="35" t="inlineStr">
        <is>
          <t>lbs</t>
        </is>
      </c>
      <c r="G510" s="35" t="n">
        <v>1</v>
      </c>
      <c r="H510" s="35" t="n">
        <v>20</v>
      </c>
      <c r="I510" s="35" t="n">
        <v>8</v>
      </c>
      <c r="J510" s="35" t="inlineStr">
        <is>
          <t>Y</t>
        </is>
      </c>
      <c r="K510" s="35">
        <f>IF($J510="Y","",IF($F510="BW",$I510,$H510*$I510))</f>
        <v/>
      </c>
      <c r="L510" s="35">
        <f>$D510&amp;"|"&amp;$H510</f>
        <v/>
      </c>
      <c r="M510" s="35" t="n"/>
    </row>
    <row r="511" ht="15" customHeight="1" s="22">
      <c r="A511" s="32" t="n">
        <v>46196</v>
      </c>
      <c r="B511" s="33" t="inlineStr">
        <is>
          <t>Tue</t>
        </is>
      </c>
      <c r="C511" s="33" t="inlineStr">
        <is>
          <t>Pull</t>
        </is>
      </c>
      <c r="D511" s="33" t="inlineStr">
        <is>
          <t>Smith Rows</t>
        </is>
      </c>
      <c r="E511" s="33" t="inlineStr">
        <is>
          <t>Smith</t>
        </is>
      </c>
      <c r="F511" s="33" t="inlineStr">
        <is>
          <t>lbs</t>
        </is>
      </c>
      <c r="G511" s="33" t="n">
        <v>2</v>
      </c>
      <c r="H511" s="33" t="n">
        <v>50</v>
      </c>
      <c r="I511" s="33" t="n">
        <v>8</v>
      </c>
      <c r="J511" s="33" t="inlineStr">
        <is>
          <t>N</t>
        </is>
      </c>
      <c r="K511" s="33">
        <f>IF($J511="Y","",IF($F511="BW",$I511,$H511*$I511))</f>
        <v/>
      </c>
      <c r="L511" s="33">
        <f>$D511&amp;"|"&amp;$H511</f>
        <v/>
      </c>
      <c r="M511" s="33" t="n"/>
    </row>
    <row r="512" ht="15" customHeight="1" s="22">
      <c r="A512" s="32" t="n">
        <v>46196</v>
      </c>
      <c r="B512" s="33" t="inlineStr">
        <is>
          <t>Tue</t>
        </is>
      </c>
      <c r="C512" s="33" t="inlineStr">
        <is>
          <t>Pull</t>
        </is>
      </c>
      <c r="D512" s="33" t="inlineStr">
        <is>
          <t>Smith Rows</t>
        </is>
      </c>
      <c r="E512" s="33" t="inlineStr">
        <is>
          <t>Smith</t>
        </is>
      </c>
      <c r="F512" s="33" t="inlineStr">
        <is>
          <t>lbs</t>
        </is>
      </c>
      <c r="G512" s="33" t="n">
        <v>3</v>
      </c>
      <c r="H512" s="33" t="n">
        <v>55</v>
      </c>
      <c r="I512" s="33" t="n">
        <v>8</v>
      </c>
      <c r="J512" s="33" t="inlineStr">
        <is>
          <t>N</t>
        </is>
      </c>
      <c r="K512" s="33">
        <f>IF($J512="Y","",IF($F512="BW",$I512,$H512*$I512))</f>
        <v/>
      </c>
      <c r="L512" s="33">
        <f>$D512&amp;"|"&amp;$H512</f>
        <v/>
      </c>
      <c r="M512" s="33" t="n"/>
    </row>
    <row r="513" ht="15" customHeight="1" s="22">
      <c r="A513" s="32" t="n">
        <v>46196</v>
      </c>
      <c r="B513" s="33" t="inlineStr">
        <is>
          <t>Tue</t>
        </is>
      </c>
      <c r="C513" s="33" t="inlineStr">
        <is>
          <t>Pull</t>
        </is>
      </c>
      <c r="D513" s="33" t="inlineStr">
        <is>
          <t>Smith Rows</t>
        </is>
      </c>
      <c r="E513" s="33" t="inlineStr">
        <is>
          <t>Smith</t>
        </is>
      </c>
      <c r="F513" s="33" t="inlineStr">
        <is>
          <t>lbs</t>
        </is>
      </c>
      <c r="G513" s="33" t="n">
        <v>4</v>
      </c>
      <c r="H513" s="33" t="n">
        <v>55</v>
      </c>
      <c r="I513" s="33" t="n">
        <v>8</v>
      </c>
      <c r="J513" s="33" t="inlineStr">
        <is>
          <t>N</t>
        </is>
      </c>
      <c r="K513" s="33">
        <f>IF($J513="Y","",IF($F513="BW",$I513,$H513*$I513))</f>
        <v/>
      </c>
      <c r="L513" s="33">
        <f>$D513&amp;"|"&amp;$H513</f>
        <v/>
      </c>
      <c r="M513" s="33" t="n"/>
    </row>
    <row r="514" ht="15" customHeight="1" s="22">
      <c r="A514" s="32" t="n">
        <v>46196</v>
      </c>
      <c r="B514" s="33" t="inlineStr">
        <is>
          <t>Tue</t>
        </is>
      </c>
      <c r="C514" s="33" t="inlineStr">
        <is>
          <t>Pull</t>
        </is>
      </c>
      <c r="D514" s="33" t="inlineStr">
        <is>
          <t>Bicep Curls (DB)</t>
        </is>
      </c>
      <c r="E514" s="33" t="inlineStr">
        <is>
          <t>Dumbbell</t>
        </is>
      </c>
      <c r="F514" s="33" t="inlineStr">
        <is>
          <t>lbs</t>
        </is>
      </c>
      <c r="G514" s="33" t="n">
        <v>1</v>
      </c>
      <c r="H514" s="33" t="n">
        <v>25</v>
      </c>
      <c r="I514" s="33" t="n">
        <v>8</v>
      </c>
      <c r="J514" s="33" t="inlineStr">
        <is>
          <t>N</t>
        </is>
      </c>
      <c r="K514" s="33">
        <f>IF($J514="Y","",IF($F514="BW",$I514,$H514*$I514))</f>
        <v/>
      </c>
      <c r="L514" s="33">
        <f>$D514&amp;"|"&amp;$H514</f>
        <v/>
      </c>
      <c r="M514" s="33" t="n"/>
    </row>
    <row r="515" ht="15" customHeight="1" s="22">
      <c r="A515" s="34" t="n">
        <v>46198</v>
      </c>
      <c r="B515" s="35" t="inlineStr">
        <is>
          <t>Thu</t>
        </is>
      </c>
      <c r="C515" s="35" t="inlineStr">
        <is>
          <t>Push</t>
        </is>
      </c>
      <c r="D515" s="35" t="inlineStr">
        <is>
          <t>Bench Press (Smith)</t>
        </is>
      </c>
      <c r="E515" s="35" t="inlineStr">
        <is>
          <t>Smith</t>
        </is>
      </c>
      <c r="F515" s="35" t="inlineStr">
        <is>
          <t>lbs</t>
        </is>
      </c>
      <c r="G515" s="35" t="n">
        <v>1</v>
      </c>
      <c r="H515" s="35" t="n">
        <v>30</v>
      </c>
      <c r="I515" s="35" t="n">
        <v>8</v>
      </c>
      <c r="J515" s="35" t="inlineStr">
        <is>
          <t>Y</t>
        </is>
      </c>
      <c r="K515" s="35">
        <f>IF($J515="Y","",IF($F515="BW",$I515,$H515*$I515))</f>
        <v/>
      </c>
      <c r="L515" s="35">
        <f>$D515&amp;"|"&amp;$H515</f>
        <v/>
      </c>
      <c r="M515" s="35" t="n"/>
    </row>
    <row r="516" ht="15" customHeight="1" s="22">
      <c r="A516" s="32" t="n">
        <v>46198</v>
      </c>
      <c r="B516" s="33" t="inlineStr">
        <is>
          <t>Thu</t>
        </is>
      </c>
      <c r="C516" s="33" t="inlineStr">
        <is>
          <t>Push</t>
        </is>
      </c>
      <c r="D516" s="33" t="inlineStr">
        <is>
          <t>Bench Press (Smith)</t>
        </is>
      </c>
      <c r="E516" s="33" t="inlineStr">
        <is>
          <t>Smith</t>
        </is>
      </c>
      <c r="F516" s="33" t="inlineStr">
        <is>
          <t>lbs</t>
        </is>
      </c>
      <c r="G516" s="33" t="n">
        <v>2</v>
      </c>
      <c r="H516" s="33" t="n">
        <v>70</v>
      </c>
      <c r="I516" s="33" t="n">
        <v>8</v>
      </c>
      <c r="J516" s="33" t="inlineStr">
        <is>
          <t>N</t>
        </is>
      </c>
      <c r="K516" s="33">
        <f>IF($J516="Y","",IF($F516="BW",$I516,$H516*$I516))</f>
        <v/>
      </c>
      <c r="L516" s="33">
        <f>$D516&amp;"|"&amp;$H516</f>
        <v/>
      </c>
      <c r="M516" s="33" t="n"/>
    </row>
    <row r="517" ht="15" customHeight="1" s="22">
      <c r="A517" s="32" t="n">
        <v>46198</v>
      </c>
      <c r="B517" s="33" t="inlineStr">
        <is>
          <t>Thu</t>
        </is>
      </c>
      <c r="C517" s="33" t="inlineStr">
        <is>
          <t>Push</t>
        </is>
      </c>
      <c r="D517" s="33" t="inlineStr">
        <is>
          <t>Bench Press (Smith)</t>
        </is>
      </c>
      <c r="E517" s="33" t="inlineStr">
        <is>
          <t>Smith</t>
        </is>
      </c>
      <c r="F517" s="33" t="inlineStr">
        <is>
          <t>lbs</t>
        </is>
      </c>
      <c r="G517" s="33" t="n">
        <v>3</v>
      </c>
      <c r="H517" s="33" t="n">
        <v>100</v>
      </c>
      <c r="I517" s="33" t="n">
        <v>8</v>
      </c>
      <c r="J517" s="33" t="inlineStr">
        <is>
          <t>N</t>
        </is>
      </c>
      <c r="K517" s="33">
        <f>IF($J517="Y","",IF($F517="BW",$I517,$H517*$I517))</f>
        <v/>
      </c>
      <c r="L517" s="33">
        <f>$D517&amp;"|"&amp;$H517</f>
        <v/>
      </c>
      <c r="M517" s="33" t="n"/>
    </row>
    <row r="518" ht="15" customHeight="1" s="22">
      <c r="A518" s="32" t="n">
        <v>46198</v>
      </c>
      <c r="B518" s="33" t="inlineStr">
        <is>
          <t>Thu</t>
        </is>
      </c>
      <c r="C518" s="33" t="inlineStr">
        <is>
          <t>Push</t>
        </is>
      </c>
      <c r="D518" s="33" t="inlineStr">
        <is>
          <t>Bench Press (Smith)</t>
        </is>
      </c>
      <c r="E518" s="33" t="inlineStr">
        <is>
          <t>Smith</t>
        </is>
      </c>
      <c r="F518" s="33" t="inlineStr">
        <is>
          <t>lbs</t>
        </is>
      </c>
      <c r="G518" s="33" t="n">
        <v>4</v>
      </c>
      <c r="H518" s="33" t="n">
        <v>105</v>
      </c>
      <c r="I518" s="33" t="n">
        <v>8</v>
      </c>
      <c r="J518" s="33" t="inlineStr">
        <is>
          <t>N</t>
        </is>
      </c>
      <c r="K518" s="33">
        <f>IF($J518="Y","",IF($F518="BW",$I518,$H518*$I518))</f>
        <v/>
      </c>
      <c r="L518" s="33">
        <f>$D518&amp;"|"&amp;$H518</f>
        <v/>
      </c>
      <c r="M518" s="33" t="n"/>
    </row>
    <row r="519" ht="15" customHeight="1" s="22">
      <c r="A519" s="34" t="n">
        <v>46198</v>
      </c>
      <c r="B519" s="35" t="inlineStr">
        <is>
          <t>Thu</t>
        </is>
      </c>
      <c r="C519" s="35" t="inlineStr">
        <is>
          <t>Push</t>
        </is>
      </c>
      <c r="D519" s="35" t="inlineStr">
        <is>
          <t>Shoulder Press</t>
        </is>
      </c>
      <c r="E519" s="35" t="inlineStr">
        <is>
          <t>Dumbbell</t>
        </is>
      </c>
      <c r="F519" s="35" t="inlineStr">
        <is>
          <t>lbs</t>
        </is>
      </c>
      <c r="G519" s="35" t="n">
        <v>1</v>
      </c>
      <c r="H519" s="35" t="n">
        <v>15</v>
      </c>
      <c r="I519" s="35" t="n">
        <v>8</v>
      </c>
      <c r="J519" s="35" t="inlineStr">
        <is>
          <t>Y</t>
        </is>
      </c>
      <c r="K519" s="35">
        <f>IF($J519="Y","",IF($F519="BW",$I519,$H519*$I519))</f>
        <v/>
      </c>
      <c r="L519" s="35">
        <f>$D519&amp;"|"&amp;$H519</f>
        <v/>
      </c>
      <c r="M519" s="35" t="n"/>
    </row>
    <row r="520" ht="15" customHeight="1" s="22">
      <c r="A520" s="32" t="n">
        <v>46198</v>
      </c>
      <c r="B520" s="33" t="inlineStr">
        <is>
          <t>Thu</t>
        </is>
      </c>
      <c r="C520" s="33" t="inlineStr">
        <is>
          <t>Push</t>
        </is>
      </c>
      <c r="D520" s="33" t="inlineStr">
        <is>
          <t>Shoulder Press</t>
        </is>
      </c>
      <c r="E520" s="33" t="inlineStr">
        <is>
          <t>Dumbbell</t>
        </is>
      </c>
      <c r="F520" s="33" t="inlineStr">
        <is>
          <t>lbs</t>
        </is>
      </c>
      <c r="G520" s="33" t="n">
        <v>2</v>
      </c>
      <c r="H520" s="33" t="n">
        <v>30</v>
      </c>
      <c r="I520" s="33" t="n">
        <v>8</v>
      </c>
      <c r="J520" s="33" t="inlineStr">
        <is>
          <t>N</t>
        </is>
      </c>
      <c r="K520" s="33">
        <f>IF($J520="Y","",IF($F520="BW",$I520,$H520*$I520))</f>
        <v/>
      </c>
      <c r="L520" s="33">
        <f>$D520&amp;"|"&amp;$H520</f>
        <v/>
      </c>
      <c r="M520" s="33" t="n"/>
    </row>
    <row r="521" ht="15" customHeight="1" s="22">
      <c r="A521" s="32" t="n">
        <v>46198</v>
      </c>
      <c r="B521" s="33" t="inlineStr">
        <is>
          <t>Thu</t>
        </is>
      </c>
      <c r="C521" s="33" t="inlineStr">
        <is>
          <t>Push</t>
        </is>
      </c>
      <c r="D521" s="33" t="inlineStr">
        <is>
          <t>Shoulder Press</t>
        </is>
      </c>
      <c r="E521" s="33" t="inlineStr">
        <is>
          <t>Dumbbell</t>
        </is>
      </c>
      <c r="F521" s="33" t="inlineStr">
        <is>
          <t>lbs</t>
        </is>
      </c>
      <c r="G521" s="33" t="n">
        <v>3</v>
      </c>
      <c r="H521" s="33" t="n">
        <v>30</v>
      </c>
      <c r="I521" s="33" t="n">
        <v>8</v>
      </c>
      <c r="J521" s="33" t="inlineStr">
        <is>
          <t>N</t>
        </is>
      </c>
      <c r="K521" s="33">
        <f>IF($J521="Y","",IF($F521="BW",$I521,$H521*$I521))</f>
        <v/>
      </c>
      <c r="L521" s="33">
        <f>$D521&amp;"|"&amp;$H521</f>
        <v/>
      </c>
      <c r="M521" s="33" t="n"/>
    </row>
    <row r="522" ht="15" customHeight="1" s="22">
      <c r="A522" s="32" t="n">
        <v>46198</v>
      </c>
      <c r="B522" s="33" t="inlineStr">
        <is>
          <t>Thu</t>
        </is>
      </c>
      <c r="C522" s="33" t="inlineStr">
        <is>
          <t>Push</t>
        </is>
      </c>
      <c r="D522" s="33" t="inlineStr">
        <is>
          <t>Shoulder Press</t>
        </is>
      </c>
      <c r="E522" s="33" t="inlineStr">
        <is>
          <t>Dumbbell</t>
        </is>
      </c>
      <c r="F522" s="33" t="inlineStr">
        <is>
          <t>lbs</t>
        </is>
      </c>
      <c r="G522" s="33" t="n">
        <v>4</v>
      </c>
      <c r="H522" s="33" t="n">
        <v>35</v>
      </c>
      <c r="I522" s="33" t="n">
        <v>8</v>
      </c>
      <c r="J522" s="33" t="inlineStr">
        <is>
          <t>N</t>
        </is>
      </c>
      <c r="K522" s="33">
        <f>IF($J522="Y","",IF($F522="BW",$I522,$H522*$I522))</f>
        <v/>
      </c>
      <c r="L522" s="33">
        <f>$D522&amp;"|"&amp;$H522</f>
        <v/>
      </c>
      <c r="M522" s="33" t="n"/>
    </row>
    <row r="523" ht="15" customHeight="1" s="22">
      <c r="A523" s="34" t="n">
        <v>46198</v>
      </c>
      <c r="B523" s="35" t="inlineStr">
        <is>
          <t>Thu</t>
        </is>
      </c>
      <c r="C523" s="35" t="inlineStr">
        <is>
          <t>Push</t>
        </is>
      </c>
      <c r="D523" s="35" t="inlineStr">
        <is>
          <t>Tricep Ext Overhead</t>
        </is>
      </c>
      <c r="E523" s="35" t="inlineStr">
        <is>
          <t>Dumbbell</t>
        </is>
      </c>
      <c r="F523" s="35" t="inlineStr">
        <is>
          <t>lbs</t>
        </is>
      </c>
      <c r="G523" s="35" t="n">
        <v>1</v>
      </c>
      <c r="H523" s="35" t="n">
        <v>25</v>
      </c>
      <c r="I523" s="35" t="n">
        <v>8</v>
      </c>
      <c r="J523" s="35" t="inlineStr">
        <is>
          <t>Y</t>
        </is>
      </c>
      <c r="K523" s="35">
        <f>IF($J523="Y","",IF($F523="BW",$I523,$H523*$I523))</f>
        <v/>
      </c>
      <c r="L523" s="35">
        <f>$D523&amp;"|"&amp;$H523</f>
        <v/>
      </c>
      <c r="M523" s="35" t="n"/>
    </row>
    <row r="524" ht="15" customHeight="1" s="22">
      <c r="A524" s="32" t="n">
        <v>46198</v>
      </c>
      <c r="B524" s="33" t="inlineStr">
        <is>
          <t>Thu</t>
        </is>
      </c>
      <c r="C524" s="33" t="inlineStr">
        <is>
          <t>Push</t>
        </is>
      </c>
      <c r="D524" s="33" t="inlineStr">
        <is>
          <t>Tricep Ext Overhead</t>
        </is>
      </c>
      <c r="E524" s="33" t="inlineStr">
        <is>
          <t>Dumbbell</t>
        </is>
      </c>
      <c r="F524" s="33" t="inlineStr">
        <is>
          <t>lbs</t>
        </is>
      </c>
      <c r="G524" s="33" t="n">
        <v>2</v>
      </c>
      <c r="H524" s="33" t="n">
        <v>40</v>
      </c>
      <c r="I524" s="33" t="n">
        <v>8</v>
      </c>
      <c r="J524" s="33" t="inlineStr">
        <is>
          <t>N</t>
        </is>
      </c>
      <c r="K524" s="33">
        <f>IF($J524="Y","",IF($F524="BW",$I524,$H524*$I524))</f>
        <v/>
      </c>
      <c r="L524" s="33">
        <f>$D524&amp;"|"&amp;$H524</f>
        <v/>
      </c>
      <c r="M524" s="33" t="n"/>
    </row>
    <row r="525" ht="15" customHeight="1" s="22">
      <c r="A525" s="32" t="n">
        <v>46198</v>
      </c>
      <c r="B525" s="33" t="inlineStr">
        <is>
          <t>Thu</t>
        </is>
      </c>
      <c r="C525" s="33" t="inlineStr">
        <is>
          <t>Push</t>
        </is>
      </c>
      <c r="D525" s="33" t="inlineStr">
        <is>
          <t>Tricep Ext Overhead</t>
        </is>
      </c>
      <c r="E525" s="33" t="inlineStr">
        <is>
          <t>Dumbbell</t>
        </is>
      </c>
      <c r="F525" s="33" t="inlineStr">
        <is>
          <t>lbs</t>
        </is>
      </c>
      <c r="G525" s="33" t="n">
        <v>3</v>
      </c>
      <c r="H525" s="33" t="n">
        <v>45</v>
      </c>
      <c r="I525" s="33" t="n">
        <v>8</v>
      </c>
      <c r="J525" s="33" t="inlineStr">
        <is>
          <t>N</t>
        </is>
      </c>
      <c r="K525" s="33">
        <f>IF($J525="Y","",IF($F525="BW",$I525,$H525*$I525))</f>
        <v/>
      </c>
      <c r="L525" s="33">
        <f>$D525&amp;"|"&amp;$H525</f>
        <v/>
      </c>
      <c r="M525" s="33" t="n"/>
    </row>
    <row r="526" ht="15" customHeight="1" s="22">
      <c r="A526" s="32" t="n">
        <v>46201</v>
      </c>
      <c r="B526" s="33" t="inlineStr">
        <is>
          <t>Sun</t>
        </is>
      </c>
      <c r="C526" s="33" t="inlineStr">
        <is>
          <t>Legs</t>
        </is>
      </c>
      <c r="D526" s="33" t="inlineStr">
        <is>
          <t>Goblet Squats</t>
        </is>
      </c>
      <c r="E526" s="33" t="inlineStr">
        <is>
          <t>Dumbbell</t>
        </is>
      </c>
      <c r="F526" s="33" t="inlineStr">
        <is>
          <t>lbs</t>
        </is>
      </c>
      <c r="G526" s="33" t="n">
        <v>1</v>
      </c>
      <c r="H526" s="33" t="n">
        <v>15</v>
      </c>
      <c r="I526" s="33" t="n">
        <v>8</v>
      </c>
      <c r="J526" s="33" t="inlineStr">
        <is>
          <t>N</t>
        </is>
      </c>
      <c r="K526" s="33">
        <f>IF($J526="Y","",IF($F526="BW",$I526,$H526*$I526))</f>
        <v/>
      </c>
      <c r="L526" s="33">
        <f>$D526&amp;"|"&amp;$H526</f>
        <v/>
      </c>
      <c r="M526" s="33" t="n"/>
    </row>
    <row r="527" ht="15" customHeight="1" s="22">
      <c r="A527" s="34" t="n">
        <v>46201</v>
      </c>
      <c r="B527" s="35" t="inlineStr">
        <is>
          <t>Sun</t>
        </is>
      </c>
      <c r="C527" s="35" t="inlineStr">
        <is>
          <t>Legs</t>
        </is>
      </c>
      <c r="D527" s="35" t="inlineStr">
        <is>
          <t>RDLs</t>
        </is>
      </c>
      <c r="E527" s="35" t="inlineStr">
        <is>
          <t>Smith</t>
        </is>
      </c>
      <c r="F527" s="35" t="inlineStr">
        <is>
          <t>lbs</t>
        </is>
      </c>
      <c r="G527" s="35" t="n">
        <v>1</v>
      </c>
      <c r="H527" s="35" t="n">
        <v>10</v>
      </c>
      <c r="I527" s="35" t="n">
        <v>8</v>
      </c>
      <c r="J527" s="35" t="inlineStr">
        <is>
          <t>Y</t>
        </is>
      </c>
      <c r="K527" s="35">
        <f>IF($J527="Y","",IF($F527="BW",$I527,$H527*$I527))</f>
        <v/>
      </c>
      <c r="L527" s="35">
        <f>$D527&amp;"|"&amp;$H527</f>
        <v/>
      </c>
      <c r="M527" s="35" t="n"/>
    </row>
    <row r="528" ht="15" customHeight="1" s="22">
      <c r="A528" s="32" t="n">
        <v>46201</v>
      </c>
      <c r="B528" s="33" t="inlineStr">
        <is>
          <t>Sun</t>
        </is>
      </c>
      <c r="C528" s="33" t="inlineStr">
        <is>
          <t>Legs</t>
        </is>
      </c>
      <c r="D528" s="33" t="inlineStr">
        <is>
          <t>RDLs</t>
        </is>
      </c>
      <c r="E528" s="33" t="inlineStr">
        <is>
          <t>Smith</t>
        </is>
      </c>
      <c r="F528" s="33" t="inlineStr">
        <is>
          <t>lbs</t>
        </is>
      </c>
      <c r="G528" s="33" t="n">
        <v>2</v>
      </c>
      <c r="H528" s="33" t="n">
        <v>40</v>
      </c>
      <c r="I528" s="33" t="n">
        <v>8</v>
      </c>
      <c r="J528" s="33" t="inlineStr">
        <is>
          <t>N</t>
        </is>
      </c>
      <c r="K528" s="33">
        <f>IF($J528="Y","",IF($F528="BW",$I528,$H528*$I528))</f>
        <v/>
      </c>
      <c r="L528" s="33">
        <f>$D528&amp;"|"&amp;$H528</f>
        <v/>
      </c>
      <c r="M528" s="33" t="n"/>
    </row>
    <row r="529" ht="15" customHeight="1" s="22">
      <c r="A529" s="32" t="n">
        <v>46201</v>
      </c>
      <c r="B529" s="33" t="inlineStr">
        <is>
          <t>Sun</t>
        </is>
      </c>
      <c r="C529" s="33" t="inlineStr">
        <is>
          <t>Legs</t>
        </is>
      </c>
      <c r="D529" s="33" t="inlineStr">
        <is>
          <t>RDLs</t>
        </is>
      </c>
      <c r="E529" s="33" t="inlineStr">
        <is>
          <t>Smith</t>
        </is>
      </c>
      <c r="F529" s="33" t="inlineStr">
        <is>
          <t>lbs</t>
        </is>
      </c>
      <c r="G529" s="33" t="n">
        <v>3</v>
      </c>
      <c r="H529" s="33" t="n">
        <v>50</v>
      </c>
      <c r="I529" s="33" t="n">
        <v>8</v>
      </c>
      <c r="J529" s="33" t="inlineStr">
        <is>
          <t>N</t>
        </is>
      </c>
      <c r="K529" s="33">
        <f>IF($J529="Y","",IF($F529="BW",$I529,$H529*$I529))</f>
        <v/>
      </c>
      <c r="L529" s="33">
        <f>$D529&amp;"|"&amp;$H529</f>
        <v/>
      </c>
      <c r="M529" s="33" t="n"/>
    </row>
    <row r="530" ht="15" customHeight="1" s="22">
      <c r="A530" s="32" t="n">
        <v>46201</v>
      </c>
      <c r="B530" s="33" t="inlineStr">
        <is>
          <t>Sun</t>
        </is>
      </c>
      <c r="C530" s="33" t="inlineStr">
        <is>
          <t>Legs</t>
        </is>
      </c>
      <c r="D530" s="33" t="inlineStr">
        <is>
          <t>RDLs</t>
        </is>
      </c>
      <c r="E530" s="33" t="inlineStr">
        <is>
          <t>Smith</t>
        </is>
      </c>
      <c r="F530" s="33" t="inlineStr">
        <is>
          <t>lbs</t>
        </is>
      </c>
      <c r="G530" s="33" t="n">
        <v>4</v>
      </c>
      <c r="H530" s="33" t="n">
        <v>50</v>
      </c>
      <c r="I530" s="33" t="n">
        <v>8</v>
      </c>
      <c r="J530" s="33" t="inlineStr">
        <is>
          <t>N</t>
        </is>
      </c>
      <c r="K530" s="33">
        <f>IF($J530="Y","",IF($F530="BW",$I530,$H530*$I530))</f>
        <v/>
      </c>
      <c r="L530" s="33">
        <f>$D530&amp;"|"&amp;$H530</f>
        <v/>
      </c>
      <c r="M530" s="33" t="n"/>
    </row>
    <row r="531" ht="15" customHeight="1" s="22">
      <c r="A531" s="32" t="n">
        <v>46201</v>
      </c>
      <c r="B531" s="33" t="inlineStr">
        <is>
          <t>Sun</t>
        </is>
      </c>
      <c r="C531" s="33" t="inlineStr">
        <is>
          <t>Legs</t>
        </is>
      </c>
      <c r="D531" s="33" t="inlineStr">
        <is>
          <t>Calf Raises (DB)</t>
        </is>
      </c>
      <c r="E531" s="33" t="inlineStr">
        <is>
          <t>Dumbbell</t>
        </is>
      </c>
      <c r="F531" s="33" t="inlineStr">
        <is>
          <t>lbs</t>
        </is>
      </c>
      <c r="G531" s="33" t="n">
        <v>1</v>
      </c>
      <c r="H531" s="33" t="n">
        <v>20</v>
      </c>
      <c r="I531" s="33" t="n">
        <v>12</v>
      </c>
      <c r="J531" s="33" t="inlineStr">
        <is>
          <t>N</t>
        </is>
      </c>
      <c r="K531" s="33">
        <f>IF($J531="Y","",IF($F531="BW",$I531,$H531*$I531))</f>
        <v/>
      </c>
      <c r="L531" s="33">
        <f>$D531&amp;"|"&amp;$H531</f>
        <v/>
      </c>
      <c r="M531" s="33" t="n"/>
    </row>
    <row r="532" ht="15" customHeight="1" s="22">
      <c r="A532" s="32" t="n">
        <v>46201</v>
      </c>
      <c r="B532" s="33" t="inlineStr">
        <is>
          <t>Sun</t>
        </is>
      </c>
      <c r="C532" s="33" t="inlineStr">
        <is>
          <t>Legs</t>
        </is>
      </c>
      <c r="D532" s="33" t="inlineStr">
        <is>
          <t>Calf Raises (DB)</t>
        </is>
      </c>
      <c r="E532" s="33" t="inlineStr">
        <is>
          <t>Dumbbell</t>
        </is>
      </c>
      <c r="F532" s="33" t="inlineStr">
        <is>
          <t>lbs</t>
        </is>
      </c>
      <c r="G532" s="33" t="n">
        <v>2</v>
      </c>
      <c r="H532" s="33" t="n">
        <v>20</v>
      </c>
      <c r="I532" s="33" t="n">
        <v>15</v>
      </c>
      <c r="J532" s="33" t="inlineStr">
        <is>
          <t>N</t>
        </is>
      </c>
      <c r="K532" s="33">
        <f>IF($J532="Y","",IF($F532="BW",$I532,$H532*$I532))</f>
        <v/>
      </c>
      <c r="L532" s="33">
        <f>$D532&amp;"|"&amp;$H532</f>
        <v/>
      </c>
      <c r="M532" s="33" t="n"/>
    </row>
    <row r="533" ht="15" customHeight="1" s="22">
      <c r="A533" s="32" t="n">
        <v>46201</v>
      </c>
      <c r="B533" s="33" t="inlineStr">
        <is>
          <t>Sun</t>
        </is>
      </c>
      <c r="C533" s="33" t="inlineStr">
        <is>
          <t>Legs</t>
        </is>
      </c>
      <c r="D533" s="33" t="inlineStr">
        <is>
          <t>Calf Raises (DB)</t>
        </is>
      </c>
      <c r="E533" s="33" t="inlineStr">
        <is>
          <t>Dumbbell</t>
        </is>
      </c>
      <c r="F533" s="33" t="inlineStr">
        <is>
          <t>lbs</t>
        </is>
      </c>
      <c r="G533" s="33" t="n">
        <v>3</v>
      </c>
      <c r="H533" s="33" t="n">
        <v>20</v>
      </c>
      <c r="I533" s="33" t="n">
        <v>15</v>
      </c>
      <c r="J533" s="33" t="inlineStr">
        <is>
          <t>N</t>
        </is>
      </c>
      <c r="K533" s="33">
        <f>IF($J533="Y","",IF($F533="BW",$I533,$H533*$I533))</f>
        <v/>
      </c>
      <c r="L533" s="33">
        <f>$D533&amp;"|"&amp;$H533</f>
        <v/>
      </c>
      <c r="M533" s="33" t="n"/>
    </row>
    <row r="534" ht="15" customHeight="1" s="22">
      <c r="A534" s="34" t="n">
        <v>46212</v>
      </c>
      <c r="B534" s="35" t="inlineStr">
        <is>
          <t>Thu</t>
        </is>
      </c>
      <c r="C534" s="35" t="inlineStr">
        <is>
          <t>Push</t>
        </is>
      </c>
      <c r="D534" s="35" t="inlineStr">
        <is>
          <t>Bench Press (Smith)</t>
        </is>
      </c>
      <c r="E534" s="35" t="inlineStr">
        <is>
          <t>Smith</t>
        </is>
      </c>
      <c r="F534" s="35" t="inlineStr">
        <is>
          <t>lbs</t>
        </is>
      </c>
      <c r="G534" s="35" t="n">
        <v>1</v>
      </c>
      <c r="H534" s="35" t="n">
        <v>20</v>
      </c>
      <c r="I534" s="35" t="n">
        <v>8</v>
      </c>
      <c r="J534" s="35" t="inlineStr">
        <is>
          <t>Y</t>
        </is>
      </c>
      <c r="K534" s="35">
        <f>IF($J534="Y","",IF($F534="BW",$I534,$H534*$I534))</f>
        <v/>
      </c>
      <c r="L534" s="35">
        <f>$D534&amp;"|"&amp;$H534</f>
        <v/>
      </c>
      <c r="M534" s="35" t="n"/>
    </row>
    <row r="535" ht="15" customHeight="1" s="22">
      <c r="A535" s="34" t="n">
        <v>46212</v>
      </c>
      <c r="B535" s="35" t="inlineStr">
        <is>
          <t>Thu</t>
        </is>
      </c>
      <c r="C535" s="35" t="inlineStr">
        <is>
          <t>Push</t>
        </is>
      </c>
      <c r="D535" s="35" t="inlineStr">
        <is>
          <t>Bench Press (Smith)</t>
        </is>
      </c>
      <c r="E535" s="35" t="inlineStr">
        <is>
          <t>Smith</t>
        </is>
      </c>
      <c r="F535" s="35" t="inlineStr">
        <is>
          <t>lbs</t>
        </is>
      </c>
      <c r="G535" s="35" t="n">
        <v>2</v>
      </c>
      <c r="H535" s="35" t="n">
        <v>60</v>
      </c>
      <c r="I535" s="35" t="n">
        <v>8</v>
      </c>
      <c r="J535" s="35" t="inlineStr">
        <is>
          <t>Y</t>
        </is>
      </c>
      <c r="K535" s="35">
        <f>IF($J535="Y","",IF($F535="BW",$I535,$H535*$I535))</f>
        <v/>
      </c>
      <c r="L535" s="35">
        <f>$D535&amp;"|"&amp;$H535</f>
        <v/>
      </c>
      <c r="M535" s="35" t="n"/>
    </row>
    <row r="536" ht="15" customHeight="1" s="22">
      <c r="A536" s="32" t="n">
        <v>46212</v>
      </c>
      <c r="B536" s="33" t="inlineStr">
        <is>
          <t>Thu</t>
        </is>
      </c>
      <c r="C536" s="33" t="inlineStr">
        <is>
          <t>Push</t>
        </is>
      </c>
      <c r="D536" s="33" t="inlineStr">
        <is>
          <t>Bench Press (Smith)</t>
        </is>
      </c>
      <c r="E536" s="33" t="inlineStr">
        <is>
          <t>Smith</t>
        </is>
      </c>
      <c r="F536" s="33" t="inlineStr">
        <is>
          <t>lbs</t>
        </is>
      </c>
      <c r="G536" s="33" t="n">
        <v>3</v>
      </c>
      <c r="H536" s="33" t="n">
        <v>90</v>
      </c>
      <c r="I536" s="33" t="n">
        <v>8</v>
      </c>
      <c r="J536" s="33" t="inlineStr">
        <is>
          <t>N</t>
        </is>
      </c>
      <c r="K536" s="33">
        <f>IF($J536="Y","",IF($F536="BW",$I536,$H536*$I536))</f>
        <v/>
      </c>
      <c r="L536" s="33">
        <f>$D536&amp;"|"&amp;$H536</f>
        <v/>
      </c>
      <c r="M536" s="33" t="n"/>
    </row>
    <row r="537" ht="15" customHeight="1" s="22">
      <c r="A537" s="32" t="n">
        <v>46212</v>
      </c>
      <c r="B537" s="33" t="inlineStr">
        <is>
          <t>Thu</t>
        </is>
      </c>
      <c r="C537" s="33" t="inlineStr">
        <is>
          <t>Push</t>
        </is>
      </c>
      <c r="D537" s="33" t="inlineStr">
        <is>
          <t>Bench Press (Smith)</t>
        </is>
      </c>
      <c r="E537" s="33" t="inlineStr">
        <is>
          <t>Smith</t>
        </is>
      </c>
      <c r="F537" s="33" t="inlineStr">
        <is>
          <t>lbs</t>
        </is>
      </c>
      <c r="G537" s="33" t="n">
        <v>4</v>
      </c>
      <c r="H537" s="33" t="n">
        <v>95</v>
      </c>
      <c r="I537" s="33" t="n">
        <v>8</v>
      </c>
      <c r="J537" s="33" t="inlineStr">
        <is>
          <t>N</t>
        </is>
      </c>
      <c r="K537" s="33">
        <f>IF($J537="Y","",IF($F537="BW",$I537,$H537*$I537))</f>
        <v/>
      </c>
      <c r="L537" s="33">
        <f>$D537&amp;"|"&amp;$H537</f>
        <v/>
      </c>
      <c r="M537" s="33" t="n"/>
    </row>
    <row r="538" ht="15" customHeight="1" s="22">
      <c r="A538" s="32" t="n">
        <v>46212</v>
      </c>
      <c r="B538" s="33" t="inlineStr">
        <is>
          <t>Thu</t>
        </is>
      </c>
      <c r="C538" s="33" t="inlineStr">
        <is>
          <t>Push</t>
        </is>
      </c>
      <c r="D538" s="33" t="inlineStr">
        <is>
          <t>Bench Press (Smith)</t>
        </is>
      </c>
      <c r="E538" s="33" t="inlineStr">
        <is>
          <t>Smith</t>
        </is>
      </c>
      <c r="F538" s="33" t="inlineStr">
        <is>
          <t>lbs</t>
        </is>
      </c>
      <c r="G538" s="33" t="n">
        <v>5</v>
      </c>
      <c r="H538" s="33" t="n">
        <v>95</v>
      </c>
      <c r="I538" s="33" t="n">
        <v>8</v>
      </c>
      <c r="J538" s="33" t="inlineStr">
        <is>
          <t>N</t>
        </is>
      </c>
      <c r="K538" s="33">
        <f>IF($J538="Y","",IF($F538="BW",$I538,$H538*$I538))</f>
        <v/>
      </c>
      <c r="L538" s="33">
        <f>$D538&amp;"|"&amp;$H538</f>
        <v/>
      </c>
      <c r="M538" s="33" t="n"/>
    </row>
    <row r="539" ht="15" customHeight="1" s="22">
      <c r="A539" s="34" t="n">
        <v>46212</v>
      </c>
      <c r="B539" s="35" t="inlineStr">
        <is>
          <t>Thu</t>
        </is>
      </c>
      <c r="C539" s="35" t="inlineStr">
        <is>
          <t>Push</t>
        </is>
      </c>
      <c r="D539" s="35" t="inlineStr">
        <is>
          <t>Shoulder Press</t>
        </is>
      </c>
      <c r="E539" s="35" t="inlineStr">
        <is>
          <t>Dumbbell</t>
        </is>
      </c>
      <c r="F539" s="35" t="inlineStr">
        <is>
          <t>lbs</t>
        </is>
      </c>
      <c r="G539" s="35" t="n">
        <v>1</v>
      </c>
      <c r="H539" s="35" t="n">
        <v>15</v>
      </c>
      <c r="I539" s="35" t="n">
        <v>8</v>
      </c>
      <c r="J539" s="35" t="inlineStr">
        <is>
          <t>Y</t>
        </is>
      </c>
      <c r="K539" s="35">
        <f>IF($J539="Y","",IF($F539="BW",$I539,$H539*$I539))</f>
        <v/>
      </c>
      <c r="L539" s="35">
        <f>$D539&amp;"|"&amp;$H539</f>
        <v/>
      </c>
      <c r="M539" s="35" t="n"/>
    </row>
    <row r="540" ht="15" customHeight="1" s="22">
      <c r="A540" s="32" t="n">
        <v>46212</v>
      </c>
      <c r="B540" s="33" t="inlineStr">
        <is>
          <t>Thu</t>
        </is>
      </c>
      <c r="C540" s="33" t="inlineStr">
        <is>
          <t>Push</t>
        </is>
      </c>
      <c r="D540" s="33" t="inlineStr">
        <is>
          <t>Shoulder Press</t>
        </is>
      </c>
      <c r="E540" s="33" t="inlineStr">
        <is>
          <t>Dumbbell</t>
        </is>
      </c>
      <c r="F540" s="33" t="inlineStr">
        <is>
          <t>lbs</t>
        </is>
      </c>
      <c r="G540" s="33" t="n">
        <v>2</v>
      </c>
      <c r="H540" s="33" t="n">
        <v>25</v>
      </c>
      <c r="I540" s="33" t="n">
        <v>8</v>
      </c>
      <c r="J540" s="33" t="inlineStr">
        <is>
          <t>N</t>
        </is>
      </c>
      <c r="K540" s="33">
        <f>IF($J540="Y","",IF($F540="BW",$I540,$H540*$I540))</f>
        <v/>
      </c>
      <c r="L540" s="33">
        <f>$D540&amp;"|"&amp;$H540</f>
        <v/>
      </c>
      <c r="M540" s="33" t="n"/>
    </row>
    <row r="541" ht="15" customHeight="1" s="22">
      <c r="A541" s="32" t="n">
        <v>46212</v>
      </c>
      <c r="B541" s="33" t="inlineStr">
        <is>
          <t>Thu</t>
        </is>
      </c>
      <c r="C541" s="33" t="inlineStr">
        <is>
          <t>Push</t>
        </is>
      </c>
      <c r="D541" s="33" t="inlineStr">
        <is>
          <t>Shoulder Press</t>
        </is>
      </c>
      <c r="E541" s="33" t="inlineStr">
        <is>
          <t>Dumbbell</t>
        </is>
      </c>
      <c r="F541" s="33" t="inlineStr">
        <is>
          <t>lbs</t>
        </is>
      </c>
      <c r="G541" s="33" t="n">
        <v>3</v>
      </c>
      <c r="H541" s="33" t="n">
        <v>30</v>
      </c>
      <c r="I541" s="33" t="n">
        <v>8</v>
      </c>
      <c r="J541" s="33" t="inlineStr">
        <is>
          <t>N</t>
        </is>
      </c>
      <c r="K541" s="33">
        <f>IF($J541="Y","",IF($F541="BW",$I541,$H541*$I541))</f>
        <v/>
      </c>
      <c r="L541" s="33">
        <f>$D541&amp;"|"&amp;$H541</f>
        <v/>
      </c>
      <c r="M541" s="33" t="n"/>
    </row>
    <row r="542" ht="15" customHeight="1" s="22">
      <c r="A542" s="32" t="n">
        <v>46212</v>
      </c>
      <c r="B542" s="33" t="inlineStr">
        <is>
          <t>Thu</t>
        </is>
      </c>
      <c r="C542" s="33" t="inlineStr">
        <is>
          <t>Push</t>
        </is>
      </c>
      <c r="D542" s="33" t="inlineStr">
        <is>
          <t>Shoulder Press</t>
        </is>
      </c>
      <c r="E542" s="33" t="inlineStr">
        <is>
          <t>Dumbbell</t>
        </is>
      </c>
      <c r="F542" s="33" t="inlineStr">
        <is>
          <t>lbs</t>
        </is>
      </c>
      <c r="G542" s="33" t="n">
        <v>4</v>
      </c>
      <c r="H542" s="33" t="n">
        <v>30</v>
      </c>
      <c r="I542" s="33" t="n">
        <v>8</v>
      </c>
      <c r="J542" s="33" t="inlineStr">
        <is>
          <t>N</t>
        </is>
      </c>
      <c r="K542" s="33">
        <f>IF($J542="Y","",IF($F542="BW",$I542,$H542*$I542))</f>
        <v/>
      </c>
      <c r="L542" s="33">
        <f>$D542&amp;"|"&amp;$H542</f>
        <v/>
      </c>
      <c r="M542" s="33" t="n"/>
    </row>
    <row r="543" ht="15" customHeight="1" s="22">
      <c r="A543" s="34" t="n">
        <v>46212</v>
      </c>
      <c r="B543" s="35" t="inlineStr">
        <is>
          <t>Thu</t>
        </is>
      </c>
      <c r="C543" s="35" t="inlineStr">
        <is>
          <t>Push</t>
        </is>
      </c>
      <c r="D543" s="35" t="inlineStr">
        <is>
          <t>Tricep Ext Overhead</t>
        </is>
      </c>
      <c r="E543" s="35" t="inlineStr">
        <is>
          <t>Dumbbell</t>
        </is>
      </c>
      <c r="F543" s="35" t="inlineStr">
        <is>
          <t>lbs</t>
        </is>
      </c>
      <c r="G543" s="35" t="n">
        <v>1</v>
      </c>
      <c r="H543" s="35" t="n">
        <v>25</v>
      </c>
      <c r="I543" s="35" t="n">
        <v>8</v>
      </c>
      <c r="J543" s="35" t="inlineStr">
        <is>
          <t>Y</t>
        </is>
      </c>
      <c r="K543" s="35">
        <f>IF($J543="Y","",IF($F543="BW",$I543,$H543*$I543))</f>
        <v/>
      </c>
      <c r="L543" s="35">
        <f>$D543&amp;"|"&amp;$H543</f>
        <v/>
      </c>
      <c r="M543" s="35" t="n"/>
    </row>
    <row r="544" ht="15" customHeight="1" s="22">
      <c r="A544" s="32" t="n">
        <v>46212</v>
      </c>
      <c r="B544" s="33" t="inlineStr">
        <is>
          <t>Thu</t>
        </is>
      </c>
      <c r="C544" s="33" t="inlineStr">
        <is>
          <t>Push</t>
        </is>
      </c>
      <c r="D544" s="33" t="inlineStr">
        <is>
          <t>Tricep Ext Overhead</t>
        </is>
      </c>
      <c r="E544" s="33" t="inlineStr">
        <is>
          <t>Dumbbell</t>
        </is>
      </c>
      <c r="F544" s="33" t="inlineStr">
        <is>
          <t>lbs</t>
        </is>
      </c>
      <c r="G544" s="33" t="n">
        <v>2</v>
      </c>
      <c r="H544" s="33" t="n">
        <v>40</v>
      </c>
      <c r="I544" s="33" t="n">
        <v>8</v>
      </c>
      <c r="J544" s="33" t="inlineStr">
        <is>
          <t>N</t>
        </is>
      </c>
      <c r="K544" s="33">
        <f>IF($J544="Y","",IF($F544="BW",$I544,$H544*$I544))</f>
        <v/>
      </c>
      <c r="L544" s="33">
        <f>$D544&amp;"|"&amp;$H544</f>
        <v/>
      </c>
      <c r="M544" s="33" t="n"/>
    </row>
    <row r="545" ht="15" customHeight="1" s="22">
      <c r="A545" s="32" t="n">
        <v>46212</v>
      </c>
      <c r="B545" s="33" t="inlineStr">
        <is>
          <t>Thu</t>
        </is>
      </c>
      <c r="C545" s="33" t="inlineStr">
        <is>
          <t>Push</t>
        </is>
      </c>
      <c r="D545" s="33" t="inlineStr">
        <is>
          <t>Tricep Ext Overhead</t>
        </is>
      </c>
      <c r="E545" s="33" t="inlineStr">
        <is>
          <t>Dumbbell</t>
        </is>
      </c>
      <c r="F545" s="33" t="inlineStr">
        <is>
          <t>lbs</t>
        </is>
      </c>
      <c r="G545" s="33" t="n">
        <v>3</v>
      </c>
      <c r="H545" s="33" t="n">
        <v>40</v>
      </c>
      <c r="I545" s="33" t="n">
        <v>8</v>
      </c>
      <c r="J545" s="33" t="inlineStr">
        <is>
          <t>N</t>
        </is>
      </c>
      <c r="K545" s="33">
        <f>IF($J545="Y","",IF($F545="BW",$I545,$H545*$I545))</f>
        <v/>
      </c>
      <c r="L545" s="33">
        <f>$D545&amp;"|"&amp;$H545</f>
        <v/>
      </c>
      <c r="M545" s="33" t="n"/>
    </row>
    <row r="546" ht="15" customHeight="1" s="22">
      <c r="A546" s="34" t="n">
        <v>46213</v>
      </c>
      <c r="B546" s="35" t="inlineStr">
        <is>
          <t>Fri</t>
        </is>
      </c>
      <c r="C546" s="35" t="inlineStr">
        <is>
          <t>Legs + Arms</t>
        </is>
      </c>
      <c r="D546" s="35" t="inlineStr">
        <is>
          <t>RDLs</t>
        </is>
      </c>
      <c r="E546" s="35" t="inlineStr">
        <is>
          <t>Smith</t>
        </is>
      </c>
      <c r="F546" s="35" t="inlineStr">
        <is>
          <t>lbs</t>
        </is>
      </c>
      <c r="G546" s="35" t="n">
        <v>1</v>
      </c>
      <c r="H546" s="35" t="n">
        <v>15</v>
      </c>
      <c r="I546" s="35" t="n">
        <v>8</v>
      </c>
      <c r="J546" s="35" t="inlineStr">
        <is>
          <t>Y</t>
        </is>
      </c>
      <c r="K546" s="35">
        <f>IF($J546="Y","",IF($F546="BW",$I546,$H546*$I546))</f>
        <v/>
      </c>
      <c r="L546" s="35">
        <f>$D546&amp;"|"&amp;$H546</f>
        <v/>
      </c>
      <c r="M546" s="35" t="n"/>
    </row>
    <row r="547" ht="15" customHeight="1" s="22">
      <c r="A547" s="32" t="n">
        <v>46213</v>
      </c>
      <c r="B547" s="33" t="inlineStr">
        <is>
          <t>Fri</t>
        </is>
      </c>
      <c r="C547" s="33" t="inlineStr">
        <is>
          <t>Legs + Arms</t>
        </is>
      </c>
      <c r="D547" s="33" t="inlineStr">
        <is>
          <t>RDLs</t>
        </is>
      </c>
      <c r="E547" s="33" t="inlineStr">
        <is>
          <t>Smith</t>
        </is>
      </c>
      <c r="F547" s="33" t="inlineStr">
        <is>
          <t>lbs</t>
        </is>
      </c>
      <c r="G547" s="33" t="n">
        <v>2</v>
      </c>
      <c r="H547" s="33" t="n">
        <v>40</v>
      </c>
      <c r="I547" s="33" t="n">
        <v>8</v>
      </c>
      <c r="J547" s="33" t="inlineStr">
        <is>
          <t>N</t>
        </is>
      </c>
      <c r="K547" s="33">
        <f>IF($J547="Y","",IF($F547="BW",$I547,$H547*$I547))</f>
        <v/>
      </c>
      <c r="L547" s="33">
        <f>$D547&amp;"|"&amp;$H547</f>
        <v/>
      </c>
      <c r="M547" s="33" t="n"/>
    </row>
    <row r="548" ht="15" customHeight="1" s="22">
      <c r="A548" s="32" t="n">
        <v>46213</v>
      </c>
      <c r="B548" s="33" t="inlineStr">
        <is>
          <t>Fri</t>
        </is>
      </c>
      <c r="C548" s="33" t="inlineStr">
        <is>
          <t>Legs + Arms</t>
        </is>
      </c>
      <c r="D548" s="33" t="inlineStr">
        <is>
          <t>RDLs</t>
        </is>
      </c>
      <c r="E548" s="33" t="inlineStr">
        <is>
          <t>Smith</t>
        </is>
      </c>
      <c r="F548" s="33" t="inlineStr">
        <is>
          <t>lbs</t>
        </is>
      </c>
      <c r="G548" s="33" t="n">
        <v>3</v>
      </c>
      <c r="H548" s="33" t="n">
        <v>50</v>
      </c>
      <c r="I548" s="33" t="n">
        <v>8</v>
      </c>
      <c r="J548" s="33" t="inlineStr">
        <is>
          <t>N</t>
        </is>
      </c>
      <c r="K548" s="33">
        <f>IF($J548="Y","",IF($F548="BW",$I548,$H548*$I548))</f>
        <v/>
      </c>
      <c r="L548" s="33">
        <f>$D548&amp;"|"&amp;$H548</f>
        <v/>
      </c>
      <c r="M548" s="33" t="n"/>
    </row>
    <row r="549" ht="15" customHeight="1" s="22">
      <c r="A549" s="32" t="n">
        <v>46213</v>
      </c>
      <c r="B549" s="33" t="inlineStr">
        <is>
          <t>Fri</t>
        </is>
      </c>
      <c r="C549" s="33" t="inlineStr">
        <is>
          <t>Legs + Arms</t>
        </is>
      </c>
      <c r="D549" s="33" t="inlineStr">
        <is>
          <t>RDLs</t>
        </is>
      </c>
      <c r="E549" s="33" t="inlineStr">
        <is>
          <t>Smith</t>
        </is>
      </c>
      <c r="F549" s="33" t="inlineStr">
        <is>
          <t>lbs</t>
        </is>
      </c>
      <c r="G549" s="33" t="n">
        <v>4</v>
      </c>
      <c r="H549" s="33" t="n">
        <v>50</v>
      </c>
      <c r="I549" s="33" t="n">
        <v>8</v>
      </c>
      <c r="J549" s="33" t="inlineStr">
        <is>
          <t>N</t>
        </is>
      </c>
      <c r="K549" s="33">
        <f>IF($J549="Y","",IF($F549="BW",$I549,$H549*$I549))</f>
        <v/>
      </c>
      <c r="L549" s="33">
        <f>$D549&amp;"|"&amp;$H549</f>
        <v/>
      </c>
      <c r="M549" s="33" t="n"/>
    </row>
    <row r="550" ht="15" customHeight="1" s="22">
      <c r="A550" s="32" t="n">
        <v>46213</v>
      </c>
      <c r="B550" s="33" t="inlineStr">
        <is>
          <t>Fri</t>
        </is>
      </c>
      <c r="C550" s="33" t="inlineStr">
        <is>
          <t>Legs + Arms</t>
        </is>
      </c>
      <c r="D550" s="33" t="inlineStr">
        <is>
          <t>Calf Raises (DB)</t>
        </is>
      </c>
      <c r="E550" s="33" t="inlineStr">
        <is>
          <t>Dumbbell</t>
        </is>
      </c>
      <c r="F550" s="33" t="inlineStr">
        <is>
          <t>lbs</t>
        </is>
      </c>
      <c r="G550" s="33" t="n">
        <v>1</v>
      </c>
      <c r="H550" s="33" t="n">
        <v>20</v>
      </c>
      <c r="I550" s="33" t="n">
        <v>15</v>
      </c>
      <c r="J550" s="33" t="inlineStr">
        <is>
          <t>N</t>
        </is>
      </c>
      <c r="K550" s="33">
        <f>IF($J550="Y","",IF($F550="BW",$I550,$H550*$I550))</f>
        <v/>
      </c>
      <c r="L550" s="33">
        <f>$D550&amp;"|"&amp;$H550</f>
        <v/>
      </c>
      <c r="M550" s="33" t="n"/>
    </row>
    <row r="551" ht="15" customHeight="1" s="22">
      <c r="A551" s="32" t="n">
        <v>46213</v>
      </c>
      <c r="B551" s="33" t="inlineStr">
        <is>
          <t>Fri</t>
        </is>
      </c>
      <c r="C551" s="33" t="inlineStr">
        <is>
          <t>Legs + Arms</t>
        </is>
      </c>
      <c r="D551" s="33" t="inlineStr">
        <is>
          <t>Calf Raises (DB)</t>
        </is>
      </c>
      <c r="E551" s="33" t="inlineStr">
        <is>
          <t>Dumbbell</t>
        </is>
      </c>
      <c r="F551" s="33" t="inlineStr">
        <is>
          <t>lbs</t>
        </is>
      </c>
      <c r="G551" s="33" t="n">
        <v>2</v>
      </c>
      <c r="H551" s="33" t="n">
        <v>25</v>
      </c>
      <c r="I551" s="33" t="n">
        <v>15</v>
      </c>
      <c r="J551" s="33" t="inlineStr">
        <is>
          <t>N</t>
        </is>
      </c>
      <c r="K551" s="33">
        <f>IF($J551="Y","",IF($F551="BW",$I551,$H551*$I551))</f>
        <v/>
      </c>
      <c r="L551" s="33">
        <f>$D551&amp;"|"&amp;$H551</f>
        <v/>
      </c>
      <c r="M551" s="33" t="n"/>
    </row>
    <row r="552" ht="15" customHeight="1" s="22">
      <c r="A552" s="32" t="n">
        <v>46213</v>
      </c>
      <c r="B552" s="33" t="inlineStr">
        <is>
          <t>Fri</t>
        </is>
      </c>
      <c r="C552" s="33" t="inlineStr">
        <is>
          <t>Legs + Arms</t>
        </is>
      </c>
      <c r="D552" s="33" t="inlineStr">
        <is>
          <t>Calf Raises (DB)</t>
        </is>
      </c>
      <c r="E552" s="33" t="inlineStr">
        <is>
          <t>Dumbbell</t>
        </is>
      </c>
      <c r="F552" s="33" t="inlineStr">
        <is>
          <t>lbs</t>
        </is>
      </c>
      <c r="G552" s="33" t="n">
        <v>3</v>
      </c>
      <c r="H552" s="33" t="n">
        <v>25</v>
      </c>
      <c r="I552" s="33" t="n">
        <v>15</v>
      </c>
      <c r="J552" s="33" t="inlineStr">
        <is>
          <t>N</t>
        </is>
      </c>
      <c r="K552" s="33">
        <f>IF($J552="Y","",IF($F552="BW",$I552,$H552*$I552))</f>
        <v/>
      </c>
      <c r="L552" s="33">
        <f>$D552&amp;"|"&amp;$H552</f>
        <v/>
      </c>
      <c r="M552" s="33" t="n"/>
    </row>
    <row r="553" ht="15" customHeight="1" s="22">
      <c r="A553" s="32" t="n">
        <v>46213</v>
      </c>
      <c r="B553" s="33" t="inlineStr">
        <is>
          <t>Fri</t>
        </is>
      </c>
      <c r="C553" s="33" t="inlineStr">
        <is>
          <t>Legs + Arms</t>
        </is>
      </c>
      <c r="D553" s="33" t="inlineStr">
        <is>
          <t>Bicep Curls (DB)</t>
        </is>
      </c>
      <c r="E553" s="33" t="inlineStr">
        <is>
          <t>Dumbbell</t>
        </is>
      </c>
      <c r="F553" s="33" t="inlineStr">
        <is>
          <t>lbs</t>
        </is>
      </c>
      <c r="G553" s="33" t="n">
        <v>1</v>
      </c>
      <c r="H553" s="33" t="n">
        <v>20</v>
      </c>
      <c r="I553" s="33" t="n">
        <v>8</v>
      </c>
      <c r="J553" s="33" t="inlineStr">
        <is>
          <t>N</t>
        </is>
      </c>
      <c r="K553" s="33">
        <f>IF($J553="Y","",IF($F553="BW",$I553,$H553*$I553))</f>
        <v/>
      </c>
      <c r="L553" s="33">
        <f>$D553&amp;"|"&amp;$H553</f>
        <v/>
      </c>
      <c r="M553" s="33" t="n"/>
    </row>
    <row r="554" ht="15" customHeight="1" s="22">
      <c r="A554" s="32" t="n">
        <v>46213</v>
      </c>
      <c r="B554" s="33" t="inlineStr">
        <is>
          <t>Fri</t>
        </is>
      </c>
      <c r="C554" s="33" t="inlineStr">
        <is>
          <t>Legs + Arms</t>
        </is>
      </c>
      <c r="D554" s="33" t="inlineStr">
        <is>
          <t>Bicep Curls (DB)</t>
        </is>
      </c>
      <c r="E554" s="33" t="inlineStr">
        <is>
          <t>Dumbbell</t>
        </is>
      </c>
      <c r="F554" s="33" t="inlineStr">
        <is>
          <t>lbs</t>
        </is>
      </c>
      <c r="G554" s="33" t="n">
        <v>2</v>
      </c>
      <c r="H554" s="33" t="n">
        <v>25</v>
      </c>
      <c r="I554" s="33" t="n">
        <v>8</v>
      </c>
      <c r="J554" s="33" t="inlineStr">
        <is>
          <t>N</t>
        </is>
      </c>
      <c r="K554" s="33">
        <f>IF($J554="Y","",IF($F554="BW",$I554,$H554*$I554))</f>
        <v/>
      </c>
      <c r="L554" s="33">
        <f>$D554&amp;"|"&amp;$H554</f>
        <v/>
      </c>
      <c r="M554" s="33" t="n"/>
    </row>
    <row r="555" ht="15" customHeight="1" s="22">
      <c r="A555" s="32" t="n">
        <v>46213</v>
      </c>
      <c r="B555" s="33" t="inlineStr">
        <is>
          <t>Fri</t>
        </is>
      </c>
      <c r="C555" s="33" t="inlineStr">
        <is>
          <t>Legs + Arms</t>
        </is>
      </c>
      <c r="D555" s="33" t="inlineStr">
        <is>
          <t>Bicep Curls (DB)</t>
        </is>
      </c>
      <c r="E555" s="33" t="inlineStr">
        <is>
          <t>Dumbbell</t>
        </is>
      </c>
      <c r="F555" s="33" t="inlineStr">
        <is>
          <t>lbs</t>
        </is>
      </c>
      <c r="G555" s="33" t="n">
        <v>3</v>
      </c>
      <c r="H555" s="33" t="n">
        <v>25</v>
      </c>
      <c r="I555" s="33" t="n">
        <v>8</v>
      </c>
      <c r="J555" s="33" t="inlineStr">
        <is>
          <t>N</t>
        </is>
      </c>
      <c r="K555" s="33">
        <f>IF($J555="Y","",IF($F555="BW",$I555,$H555*$I555))</f>
        <v/>
      </c>
      <c r="L555" s="33">
        <f>$D555&amp;"|"&amp;$H555</f>
        <v/>
      </c>
      <c r="M555" s="33" t="n"/>
    </row>
    <row r="556" ht="15" customHeight="1" s="22">
      <c r="A556" s="34" t="n">
        <v>46217</v>
      </c>
      <c r="B556" s="35" t="inlineStr">
        <is>
          <t>Tue</t>
        </is>
      </c>
      <c r="C556" s="35" t="inlineStr">
        <is>
          <t>Pull</t>
        </is>
      </c>
      <c r="D556" s="35" t="inlineStr">
        <is>
          <t>Single Arm Lat Pulldown</t>
        </is>
      </c>
      <c r="E556" s="35" t="inlineStr">
        <is>
          <t>Cable</t>
        </is>
      </c>
      <c r="F556" s="35" t="inlineStr">
        <is>
          <t>kg</t>
        </is>
      </c>
      <c r="G556" s="35" t="n">
        <v>1</v>
      </c>
      <c r="H556" s="35" t="n">
        <v>12.5</v>
      </c>
      <c r="I556" s="35" t="n">
        <v>8</v>
      </c>
      <c r="J556" s="35" t="inlineStr">
        <is>
          <t>Y</t>
        </is>
      </c>
      <c r="K556" s="35">
        <f>IF($J556="Y","",IF($F556="BW",$I556,$H556*$I556))</f>
        <v/>
      </c>
      <c r="L556" s="35">
        <f>$D556&amp;"|"&amp;$H556</f>
        <v/>
      </c>
      <c r="M556" s="35" t="n"/>
    </row>
    <row r="557" ht="15" customHeight="1" s="22">
      <c r="A557" s="32" t="n">
        <v>46217</v>
      </c>
      <c r="B557" s="33" t="inlineStr">
        <is>
          <t>Tue</t>
        </is>
      </c>
      <c r="C557" s="33" t="inlineStr">
        <is>
          <t>Pull</t>
        </is>
      </c>
      <c r="D557" s="33" t="inlineStr">
        <is>
          <t>Single Arm Lat Pulldown</t>
        </is>
      </c>
      <c r="E557" s="33" t="inlineStr">
        <is>
          <t>Cable</t>
        </is>
      </c>
      <c r="F557" s="33" t="inlineStr">
        <is>
          <t>kg</t>
        </is>
      </c>
      <c r="G557" s="33" t="n">
        <v>2</v>
      </c>
      <c r="H557" s="33" t="n">
        <v>20</v>
      </c>
      <c r="I557" s="33" t="n">
        <v>8</v>
      </c>
      <c r="J557" s="33" t="inlineStr">
        <is>
          <t>N</t>
        </is>
      </c>
      <c r="K557" s="33">
        <f>IF($J557="Y","",IF($F557="BW",$I557,$H557*$I557))</f>
        <v/>
      </c>
      <c r="L557" s="33">
        <f>$D557&amp;"|"&amp;$H557</f>
        <v/>
      </c>
      <c r="M557" s="33" t="n"/>
    </row>
    <row r="558" ht="15" customHeight="1" s="22">
      <c r="A558" s="32" t="n">
        <v>46217</v>
      </c>
      <c r="B558" s="33" t="inlineStr">
        <is>
          <t>Tue</t>
        </is>
      </c>
      <c r="C558" s="33" t="inlineStr">
        <is>
          <t>Pull</t>
        </is>
      </c>
      <c r="D558" s="33" t="inlineStr">
        <is>
          <t>Single Arm Lat Pulldown</t>
        </is>
      </c>
      <c r="E558" s="33" t="inlineStr">
        <is>
          <t>Cable</t>
        </is>
      </c>
      <c r="F558" s="33" t="inlineStr">
        <is>
          <t>kg</t>
        </is>
      </c>
      <c r="G558" s="33" t="n">
        <v>3</v>
      </c>
      <c r="H558" s="33" t="n">
        <v>25</v>
      </c>
      <c r="I558" s="33" t="n">
        <v>8</v>
      </c>
      <c r="J558" s="33" t="inlineStr">
        <is>
          <t>N</t>
        </is>
      </c>
      <c r="K558" s="33">
        <f>IF($J558="Y","",IF($F558="BW",$I558,$H558*$I558))</f>
        <v/>
      </c>
      <c r="L558" s="33">
        <f>$D558&amp;"|"&amp;$H558</f>
        <v/>
      </c>
      <c r="M558" s="33" t="n"/>
    </row>
    <row r="559" ht="15" customHeight="1" s="22">
      <c r="A559" s="32" t="n">
        <v>46217</v>
      </c>
      <c r="B559" s="33" t="inlineStr">
        <is>
          <t>Tue</t>
        </is>
      </c>
      <c r="C559" s="33" t="inlineStr">
        <is>
          <t>Pull</t>
        </is>
      </c>
      <c r="D559" s="33" t="inlineStr">
        <is>
          <t>Single Arm Lat Pulldown</t>
        </is>
      </c>
      <c r="E559" s="33" t="inlineStr">
        <is>
          <t>Cable</t>
        </is>
      </c>
      <c r="F559" s="33" t="inlineStr">
        <is>
          <t>kg</t>
        </is>
      </c>
      <c r="G559" s="33" t="n">
        <v>4</v>
      </c>
      <c r="H559" s="33" t="n">
        <v>25</v>
      </c>
      <c r="I559" s="33" t="n">
        <v>8</v>
      </c>
      <c r="J559" s="33" t="inlineStr">
        <is>
          <t>N</t>
        </is>
      </c>
      <c r="K559" s="33">
        <f>IF($J559="Y","",IF($F559="BW",$I559,$H559*$I559))</f>
        <v/>
      </c>
      <c r="L559" s="33">
        <f>$D559&amp;"|"&amp;$H559</f>
        <v/>
      </c>
      <c r="M559" s="33" t="n"/>
    </row>
    <row r="560" ht="15" customHeight="1" s="22">
      <c r="A560" s="34" t="n">
        <v>46217</v>
      </c>
      <c r="B560" s="35" t="inlineStr">
        <is>
          <t>Tue</t>
        </is>
      </c>
      <c r="C560" s="35" t="inlineStr">
        <is>
          <t>Pull</t>
        </is>
      </c>
      <c r="D560" s="35" t="inlineStr">
        <is>
          <t>Smith Rows</t>
        </is>
      </c>
      <c r="E560" s="35" t="inlineStr">
        <is>
          <t>Smith</t>
        </is>
      </c>
      <c r="F560" s="35" t="inlineStr">
        <is>
          <t>lbs</t>
        </is>
      </c>
      <c r="G560" s="35" t="n">
        <v>1</v>
      </c>
      <c r="H560" s="35" t="n">
        <v>20</v>
      </c>
      <c r="I560" s="35" t="n">
        <v>8</v>
      </c>
      <c r="J560" s="35" t="inlineStr">
        <is>
          <t>Y</t>
        </is>
      </c>
      <c r="K560" s="35">
        <f>IF($J560="Y","",IF($F560="BW",$I560,$H560*$I560))</f>
        <v/>
      </c>
      <c r="L560" s="35">
        <f>$D560&amp;"|"&amp;$H560</f>
        <v/>
      </c>
      <c r="M560" s="35" t="n"/>
    </row>
    <row r="561" ht="15" customHeight="1" s="22">
      <c r="A561" s="32" t="n">
        <v>46217</v>
      </c>
      <c r="B561" s="33" t="inlineStr">
        <is>
          <t>Tue</t>
        </is>
      </c>
      <c r="C561" s="33" t="inlineStr">
        <is>
          <t>Pull</t>
        </is>
      </c>
      <c r="D561" s="33" t="inlineStr">
        <is>
          <t>Smith Rows</t>
        </is>
      </c>
      <c r="E561" s="33" t="inlineStr">
        <is>
          <t>Smith</t>
        </is>
      </c>
      <c r="F561" s="33" t="inlineStr">
        <is>
          <t>lbs</t>
        </is>
      </c>
      <c r="G561" s="33" t="n">
        <v>2</v>
      </c>
      <c r="H561" s="33" t="n">
        <v>50</v>
      </c>
      <c r="I561" s="33" t="n">
        <v>8</v>
      </c>
      <c r="J561" s="33" t="inlineStr">
        <is>
          <t>N</t>
        </is>
      </c>
      <c r="K561" s="33">
        <f>IF($J561="Y","",IF($F561="BW",$I561,$H561*$I561))</f>
        <v/>
      </c>
      <c r="L561" s="33">
        <f>$D561&amp;"|"&amp;$H561</f>
        <v/>
      </c>
      <c r="M561" s="33" t="n"/>
    </row>
    <row r="562" ht="15" customHeight="1" s="22">
      <c r="A562" s="32" t="n">
        <v>46217</v>
      </c>
      <c r="B562" s="33" t="inlineStr">
        <is>
          <t>Tue</t>
        </is>
      </c>
      <c r="C562" s="33" t="inlineStr">
        <is>
          <t>Pull</t>
        </is>
      </c>
      <c r="D562" s="33" t="inlineStr">
        <is>
          <t>Smith Rows</t>
        </is>
      </c>
      <c r="E562" s="33" t="inlineStr">
        <is>
          <t>Smith</t>
        </is>
      </c>
      <c r="F562" s="33" t="inlineStr">
        <is>
          <t>lbs</t>
        </is>
      </c>
      <c r="G562" s="33" t="n">
        <v>3</v>
      </c>
      <c r="H562" s="33" t="n">
        <v>60</v>
      </c>
      <c r="I562" s="33" t="n">
        <v>8</v>
      </c>
      <c r="J562" s="33" t="inlineStr">
        <is>
          <t>N</t>
        </is>
      </c>
      <c r="K562" s="33">
        <f>IF($J562="Y","",IF($F562="BW",$I562,$H562*$I562))</f>
        <v/>
      </c>
      <c r="L562" s="33">
        <f>$D562&amp;"|"&amp;$H562</f>
        <v/>
      </c>
      <c r="M562" s="33" t="n"/>
    </row>
    <row r="563" ht="15" customHeight="1" s="22">
      <c r="A563" s="32" t="n">
        <v>46217</v>
      </c>
      <c r="B563" s="33" t="inlineStr">
        <is>
          <t>Tue</t>
        </is>
      </c>
      <c r="C563" s="33" t="inlineStr">
        <is>
          <t>Pull</t>
        </is>
      </c>
      <c r="D563" s="33" t="inlineStr">
        <is>
          <t>Smith Rows</t>
        </is>
      </c>
      <c r="E563" s="33" t="inlineStr">
        <is>
          <t>Smith</t>
        </is>
      </c>
      <c r="F563" s="33" t="inlineStr">
        <is>
          <t>lbs</t>
        </is>
      </c>
      <c r="G563" s="33" t="n">
        <v>4</v>
      </c>
      <c r="H563" s="33" t="n">
        <v>65</v>
      </c>
      <c r="I563" s="33" t="n">
        <v>8</v>
      </c>
      <c r="J563" s="33" t="inlineStr">
        <is>
          <t>N</t>
        </is>
      </c>
      <c r="K563" s="33">
        <f>IF($J563="Y","",IF($F563="BW",$I563,$H563*$I563))</f>
        <v/>
      </c>
      <c r="L563" s="33">
        <f>$D563&amp;"|"&amp;$H563</f>
        <v/>
      </c>
      <c r="M563" s="33" t="n"/>
    </row>
    <row r="564" ht="15" customHeight="1" s="22">
      <c r="A564" s="34" t="n">
        <v>46217</v>
      </c>
      <c r="B564" s="35" t="inlineStr">
        <is>
          <t>Tue</t>
        </is>
      </c>
      <c r="C564" s="35" t="inlineStr">
        <is>
          <t>Pull</t>
        </is>
      </c>
      <c r="D564" s="35" t="inlineStr">
        <is>
          <t>Bicep Curls (DB)</t>
        </is>
      </c>
      <c r="E564" s="35" t="inlineStr">
        <is>
          <t>Dumbbell</t>
        </is>
      </c>
      <c r="F564" s="35" t="inlineStr">
        <is>
          <t>lbs</t>
        </is>
      </c>
      <c r="G564" s="35" t="n">
        <v>1</v>
      </c>
      <c r="H564" s="35" t="n">
        <v>20</v>
      </c>
      <c r="I564" s="35" t="n">
        <v>8</v>
      </c>
      <c r="J564" s="35" t="inlineStr">
        <is>
          <t>Y</t>
        </is>
      </c>
      <c r="K564" s="35">
        <f>IF($J564="Y","",IF($F564="BW",$I564,$H564*$I564))</f>
        <v/>
      </c>
      <c r="L564" s="35">
        <f>$D564&amp;"|"&amp;$H564</f>
        <v/>
      </c>
      <c r="M564" s="35" t="n"/>
    </row>
    <row r="565" ht="15" customHeight="1" s="22">
      <c r="A565" s="32" t="n">
        <v>46217</v>
      </c>
      <c r="B565" s="33" t="inlineStr">
        <is>
          <t>Tue</t>
        </is>
      </c>
      <c r="C565" s="33" t="inlineStr">
        <is>
          <t>Pull</t>
        </is>
      </c>
      <c r="D565" s="33" t="inlineStr">
        <is>
          <t>Bicep Curls (DB)</t>
        </is>
      </c>
      <c r="E565" s="33" t="inlineStr">
        <is>
          <t>Dumbbell</t>
        </is>
      </c>
      <c r="F565" s="33" t="inlineStr">
        <is>
          <t>lbs</t>
        </is>
      </c>
      <c r="G565" s="33" t="n">
        <v>2</v>
      </c>
      <c r="H565" s="33" t="n">
        <v>30</v>
      </c>
      <c r="I565" s="33" t="n">
        <v>5</v>
      </c>
      <c r="J565" s="33" t="inlineStr">
        <is>
          <t>N</t>
        </is>
      </c>
      <c r="K565" s="33">
        <f>IF($J565="Y","",IF($F565="BW",$I565,$H565*$I565))</f>
        <v/>
      </c>
      <c r="L565" s="33">
        <f>$D565&amp;"|"&amp;$H565</f>
        <v/>
      </c>
      <c r="M565" s="33" t="n"/>
    </row>
    <row r="566" ht="15" customHeight="1" s="22">
      <c r="A566" s="32" t="n">
        <v>46217</v>
      </c>
      <c r="B566" s="33" t="inlineStr">
        <is>
          <t>Tue</t>
        </is>
      </c>
      <c r="C566" s="33" t="inlineStr">
        <is>
          <t>Pull</t>
        </is>
      </c>
      <c r="D566" s="33" t="inlineStr">
        <is>
          <t>Bicep Curls (DB)</t>
        </is>
      </c>
      <c r="E566" s="33" t="inlineStr">
        <is>
          <t>Dumbbell</t>
        </is>
      </c>
      <c r="F566" s="33" t="inlineStr">
        <is>
          <t>lbs</t>
        </is>
      </c>
      <c r="G566" s="33" t="n">
        <v>3</v>
      </c>
      <c r="H566" s="33" t="n">
        <v>25</v>
      </c>
      <c r="I566" s="33" t="n">
        <v>8</v>
      </c>
      <c r="J566" s="33" t="inlineStr">
        <is>
          <t>N</t>
        </is>
      </c>
      <c r="K566" s="33">
        <f>IF($J566="Y","",IF($F566="BW",$I566,$H566*$I566))</f>
        <v/>
      </c>
      <c r="L566" s="33">
        <f>$D566&amp;"|"&amp;$H566</f>
        <v/>
      </c>
      <c r="M566" s="33" t="n"/>
    </row>
    <row r="567" ht="15" customHeight="1" s="22">
      <c r="A567" s="32" t="n">
        <v>46217</v>
      </c>
      <c r="B567" s="33" t="inlineStr">
        <is>
          <t>Tue</t>
        </is>
      </c>
      <c r="C567" s="33" t="inlineStr">
        <is>
          <t>Pull</t>
        </is>
      </c>
      <c r="D567" s="33" t="inlineStr">
        <is>
          <t>Bicep Curls (DB)</t>
        </is>
      </c>
      <c r="E567" s="33" t="inlineStr">
        <is>
          <t>Dumbbell</t>
        </is>
      </c>
      <c r="F567" s="33" t="inlineStr">
        <is>
          <t>lbs</t>
        </is>
      </c>
      <c r="G567" s="33" t="n">
        <v>4</v>
      </c>
      <c r="H567" s="33" t="n">
        <v>25</v>
      </c>
      <c r="I567" s="33" t="n">
        <v>8</v>
      </c>
      <c r="J567" s="33" t="inlineStr">
        <is>
          <t>N</t>
        </is>
      </c>
      <c r="K567" s="33">
        <f>IF($J567="Y","",IF($F567="BW",$I567,$H567*$I567))</f>
        <v/>
      </c>
      <c r="L567" s="33">
        <f>$D567&amp;"|"&amp;$H567</f>
        <v/>
      </c>
      <c r="M567" s="33" t="n"/>
    </row>
    <row r="568" ht="15" customHeight="1" s="22">
      <c r="A568" s="34" t="n">
        <v>46219</v>
      </c>
      <c r="B568" s="35" t="inlineStr">
        <is>
          <t>Thu</t>
        </is>
      </c>
      <c r="C568" s="35" t="inlineStr">
        <is>
          <t>Push</t>
        </is>
      </c>
      <c r="D568" s="35" t="inlineStr">
        <is>
          <t>Bench Press (Smith)</t>
        </is>
      </c>
      <c r="E568" s="35" t="inlineStr">
        <is>
          <t>Smith</t>
        </is>
      </c>
      <c r="F568" s="35" t="inlineStr">
        <is>
          <t>lbs</t>
        </is>
      </c>
      <c r="G568" s="35" t="n">
        <v>1</v>
      </c>
      <c r="H568" s="35" t="n">
        <v>25</v>
      </c>
      <c r="I568" s="35" t="n">
        <v>8</v>
      </c>
      <c r="J568" s="35" t="inlineStr">
        <is>
          <t>Y</t>
        </is>
      </c>
      <c r="K568" s="35">
        <f>IF($J568="Y","",IF($F568="BW",$I568,$H568*$I568))</f>
        <v/>
      </c>
      <c r="L568" s="35">
        <f>$D568&amp;"|"&amp;$H568</f>
        <v/>
      </c>
      <c r="M568" s="35" t="n"/>
    </row>
    <row r="569" ht="15" customHeight="1" s="22">
      <c r="A569" s="32" t="n">
        <v>46219</v>
      </c>
      <c r="B569" s="33" t="inlineStr">
        <is>
          <t>Thu</t>
        </is>
      </c>
      <c r="C569" s="33" t="inlineStr">
        <is>
          <t>Push</t>
        </is>
      </c>
      <c r="D569" s="33" t="inlineStr">
        <is>
          <t>Bench Press (Smith)</t>
        </is>
      </c>
      <c r="E569" s="33" t="inlineStr">
        <is>
          <t>Smith</t>
        </is>
      </c>
      <c r="F569" s="33" t="inlineStr">
        <is>
          <t>lbs</t>
        </is>
      </c>
      <c r="G569" s="33" t="n">
        <v>2</v>
      </c>
      <c r="H569" s="33" t="n">
        <v>70</v>
      </c>
      <c r="I569" s="33" t="n">
        <v>8</v>
      </c>
      <c r="J569" s="33" t="inlineStr">
        <is>
          <t>N</t>
        </is>
      </c>
      <c r="K569" s="33">
        <f>IF($J569="Y","",IF($F569="BW",$I569,$H569*$I569))</f>
        <v/>
      </c>
      <c r="L569" s="33">
        <f>$D569&amp;"|"&amp;$H569</f>
        <v/>
      </c>
      <c r="M569" s="33" t="n"/>
    </row>
    <row r="570" ht="15" customHeight="1" s="22">
      <c r="A570" s="32" t="n">
        <v>46219</v>
      </c>
      <c r="B570" s="33" t="inlineStr">
        <is>
          <t>Thu</t>
        </is>
      </c>
      <c r="C570" s="33" t="inlineStr">
        <is>
          <t>Push</t>
        </is>
      </c>
      <c r="D570" s="33" t="inlineStr">
        <is>
          <t>Bench Press (Smith)</t>
        </is>
      </c>
      <c r="E570" s="33" t="inlineStr">
        <is>
          <t>Smith</t>
        </is>
      </c>
      <c r="F570" s="33" t="inlineStr">
        <is>
          <t>lbs</t>
        </is>
      </c>
      <c r="G570" s="33" t="n">
        <v>3</v>
      </c>
      <c r="H570" s="33" t="n">
        <v>100</v>
      </c>
      <c r="I570" s="33" t="n">
        <v>8</v>
      </c>
      <c r="J570" s="33" t="inlineStr">
        <is>
          <t>N</t>
        </is>
      </c>
      <c r="K570" s="33">
        <f>IF($J570="Y","",IF($F570="BW",$I570,$H570*$I570))</f>
        <v/>
      </c>
      <c r="L570" s="33">
        <f>$D570&amp;"|"&amp;$H570</f>
        <v/>
      </c>
      <c r="M570" s="33" t="n"/>
    </row>
    <row r="571" ht="15" customHeight="1" s="22">
      <c r="A571" s="32" t="n">
        <v>46219</v>
      </c>
      <c r="B571" s="33" t="inlineStr">
        <is>
          <t>Thu</t>
        </is>
      </c>
      <c r="C571" s="33" t="inlineStr">
        <is>
          <t>Push</t>
        </is>
      </c>
      <c r="D571" s="33" t="inlineStr">
        <is>
          <t>Bench Press (Smith)</t>
        </is>
      </c>
      <c r="E571" s="33" t="inlineStr">
        <is>
          <t>Smith</t>
        </is>
      </c>
      <c r="F571" s="33" t="inlineStr">
        <is>
          <t>lbs</t>
        </is>
      </c>
      <c r="G571" s="33" t="n">
        <v>4</v>
      </c>
      <c r="H571" s="33" t="n">
        <v>105</v>
      </c>
      <c r="I571" s="33" t="n">
        <v>8</v>
      </c>
      <c r="J571" s="33" t="inlineStr">
        <is>
          <t>N</t>
        </is>
      </c>
      <c r="K571" s="33">
        <f>IF($J571="Y","",IF($F571="BW",$I571,$H571*$I571))</f>
        <v/>
      </c>
      <c r="L571" s="33">
        <f>$D571&amp;"|"&amp;$H571</f>
        <v/>
      </c>
      <c r="M571" s="33" t="n"/>
    </row>
    <row r="572" ht="15" customHeight="1" s="22">
      <c r="A572" s="34" t="n">
        <v>46219</v>
      </c>
      <c r="B572" s="35" t="inlineStr">
        <is>
          <t>Thu</t>
        </is>
      </c>
      <c r="C572" s="35" t="inlineStr">
        <is>
          <t>Push</t>
        </is>
      </c>
      <c r="D572" s="35" t="inlineStr">
        <is>
          <t>Shoulder Press</t>
        </is>
      </c>
      <c r="E572" s="35" t="inlineStr">
        <is>
          <t>Dumbbell</t>
        </is>
      </c>
      <c r="F572" s="35" t="inlineStr">
        <is>
          <t>lbs</t>
        </is>
      </c>
      <c r="G572" s="35" t="n">
        <v>1</v>
      </c>
      <c r="H572" s="35" t="n">
        <v>15</v>
      </c>
      <c r="I572" s="35" t="n">
        <v>8</v>
      </c>
      <c r="J572" s="35" t="inlineStr">
        <is>
          <t>Y</t>
        </is>
      </c>
      <c r="K572" s="35">
        <f>IF($J572="Y","",IF($F572="BW",$I572,$H572*$I572))</f>
        <v/>
      </c>
      <c r="L572" s="35">
        <f>$D572&amp;"|"&amp;$H572</f>
        <v/>
      </c>
      <c r="M572" s="35" t="n"/>
    </row>
    <row r="573" ht="15" customHeight="1" s="22">
      <c r="A573" s="32" t="n">
        <v>46219</v>
      </c>
      <c r="B573" s="33" t="inlineStr">
        <is>
          <t>Thu</t>
        </is>
      </c>
      <c r="C573" s="33" t="inlineStr">
        <is>
          <t>Push</t>
        </is>
      </c>
      <c r="D573" s="33" t="inlineStr">
        <is>
          <t>Shoulder Press</t>
        </is>
      </c>
      <c r="E573" s="33" t="inlineStr">
        <is>
          <t>Dumbbell</t>
        </is>
      </c>
      <c r="F573" s="33" t="inlineStr">
        <is>
          <t>lbs</t>
        </is>
      </c>
      <c r="G573" s="33" t="n">
        <v>2</v>
      </c>
      <c r="H573" s="33" t="n">
        <v>25</v>
      </c>
      <c r="I573" s="33" t="n">
        <v>8</v>
      </c>
      <c r="J573" s="33" t="inlineStr">
        <is>
          <t>N</t>
        </is>
      </c>
      <c r="K573" s="33">
        <f>IF($J573="Y","",IF($F573="BW",$I573,$H573*$I573))</f>
        <v/>
      </c>
      <c r="L573" s="33">
        <f>$D573&amp;"|"&amp;$H573</f>
        <v/>
      </c>
      <c r="M573" s="33" t="n"/>
    </row>
    <row r="574" ht="15" customHeight="1" s="22">
      <c r="A574" s="32" t="n">
        <v>46219</v>
      </c>
      <c r="B574" s="33" t="inlineStr">
        <is>
          <t>Thu</t>
        </is>
      </c>
      <c r="C574" s="33" t="inlineStr">
        <is>
          <t>Push</t>
        </is>
      </c>
      <c r="D574" s="33" t="inlineStr">
        <is>
          <t>Shoulder Press</t>
        </is>
      </c>
      <c r="E574" s="33" t="inlineStr">
        <is>
          <t>Dumbbell</t>
        </is>
      </c>
      <c r="F574" s="33" t="inlineStr">
        <is>
          <t>lbs</t>
        </is>
      </c>
      <c r="G574" s="33" t="n">
        <v>3</v>
      </c>
      <c r="H574" s="33" t="n">
        <v>30</v>
      </c>
      <c r="I574" s="33" t="n">
        <v>8</v>
      </c>
      <c r="J574" s="33" t="inlineStr">
        <is>
          <t>N</t>
        </is>
      </c>
      <c r="K574" s="33">
        <f>IF($J574="Y","",IF($F574="BW",$I574,$H574*$I574))</f>
        <v/>
      </c>
      <c r="L574" s="33">
        <f>$D574&amp;"|"&amp;$H574</f>
        <v/>
      </c>
      <c r="M574" s="33" t="n"/>
    </row>
    <row r="575" ht="15" customHeight="1" s="22">
      <c r="A575" s="32" t="n">
        <v>46219</v>
      </c>
      <c r="B575" s="33" t="inlineStr">
        <is>
          <t>Thu</t>
        </is>
      </c>
      <c r="C575" s="33" t="inlineStr">
        <is>
          <t>Push</t>
        </is>
      </c>
      <c r="D575" s="33" t="inlineStr">
        <is>
          <t>Shoulder Press</t>
        </is>
      </c>
      <c r="E575" s="33" t="inlineStr">
        <is>
          <t>Dumbbell</t>
        </is>
      </c>
      <c r="F575" s="33" t="inlineStr">
        <is>
          <t>lbs</t>
        </is>
      </c>
      <c r="G575" s="33" t="n">
        <v>4</v>
      </c>
      <c r="H575" s="33" t="n">
        <v>30</v>
      </c>
      <c r="I575" s="33" t="n">
        <v>8</v>
      </c>
      <c r="J575" s="33" t="inlineStr">
        <is>
          <t>N</t>
        </is>
      </c>
      <c r="K575" s="33">
        <f>IF($J575="Y","",IF($F575="BW",$I575,$H575*$I575))</f>
        <v/>
      </c>
      <c r="L575" s="33">
        <f>$D575&amp;"|"&amp;$H575</f>
        <v/>
      </c>
      <c r="M575" s="33" t="n"/>
    </row>
    <row r="576" ht="15" customHeight="1" s="22">
      <c r="A576" s="34" t="n">
        <v>46219</v>
      </c>
      <c r="B576" s="35" t="inlineStr">
        <is>
          <t>Thu</t>
        </is>
      </c>
      <c r="C576" s="35" t="inlineStr">
        <is>
          <t>Push</t>
        </is>
      </c>
      <c r="D576" s="35" t="inlineStr">
        <is>
          <t>Tricep Ext Overhead</t>
        </is>
      </c>
      <c r="E576" s="35" t="inlineStr">
        <is>
          <t>Dumbbell</t>
        </is>
      </c>
      <c r="F576" s="35" t="inlineStr">
        <is>
          <t>lbs</t>
        </is>
      </c>
      <c r="G576" s="35" t="n">
        <v>1</v>
      </c>
      <c r="H576" s="35" t="n">
        <v>25</v>
      </c>
      <c r="I576" s="35" t="n">
        <v>8</v>
      </c>
      <c r="J576" s="35" t="inlineStr">
        <is>
          <t>Y</t>
        </is>
      </c>
      <c r="K576" s="35">
        <f>IF($J576="Y","",IF($F576="BW",$I576,$H576*$I576))</f>
        <v/>
      </c>
      <c r="L576" s="35">
        <f>$D576&amp;"|"&amp;$H576</f>
        <v/>
      </c>
      <c r="M576" s="35" t="n"/>
    </row>
    <row r="577" ht="15" customHeight="1" s="22">
      <c r="A577" s="32" t="n">
        <v>46219</v>
      </c>
      <c r="B577" s="33" t="inlineStr">
        <is>
          <t>Thu</t>
        </is>
      </c>
      <c r="C577" s="33" t="inlineStr">
        <is>
          <t>Push</t>
        </is>
      </c>
      <c r="D577" s="33" t="inlineStr">
        <is>
          <t>Tricep Ext Overhead</t>
        </is>
      </c>
      <c r="E577" s="33" t="inlineStr">
        <is>
          <t>Dumbbell</t>
        </is>
      </c>
      <c r="F577" s="33" t="inlineStr">
        <is>
          <t>lbs</t>
        </is>
      </c>
      <c r="G577" s="33" t="n">
        <v>2</v>
      </c>
      <c r="H577" s="33" t="n">
        <v>40</v>
      </c>
      <c r="I577" s="33" t="n">
        <v>8</v>
      </c>
      <c r="J577" s="33" t="inlineStr">
        <is>
          <t>N</t>
        </is>
      </c>
      <c r="K577" s="33">
        <f>IF($J577="Y","",IF($F577="BW",$I577,$H577*$I577))</f>
        <v/>
      </c>
      <c r="L577" s="33">
        <f>$D577&amp;"|"&amp;$H577</f>
        <v/>
      </c>
      <c r="M577" s="33" t="n"/>
    </row>
    <row r="578" ht="15" customHeight="1" s="22">
      <c r="A578" s="32" t="n">
        <v>46219</v>
      </c>
      <c r="B578" s="33" t="inlineStr">
        <is>
          <t>Thu</t>
        </is>
      </c>
      <c r="C578" s="33" t="inlineStr">
        <is>
          <t>Push</t>
        </is>
      </c>
      <c r="D578" s="33" t="inlineStr">
        <is>
          <t>Tricep Ext Overhead</t>
        </is>
      </c>
      <c r="E578" s="33" t="inlineStr">
        <is>
          <t>Dumbbell</t>
        </is>
      </c>
      <c r="F578" s="33" t="inlineStr">
        <is>
          <t>lbs</t>
        </is>
      </c>
      <c r="G578" s="33" t="n">
        <v>3</v>
      </c>
      <c r="H578" s="33" t="n">
        <v>50</v>
      </c>
      <c r="I578" s="33" t="n">
        <v>8</v>
      </c>
      <c r="J578" s="33" t="inlineStr">
        <is>
          <t>N</t>
        </is>
      </c>
      <c r="K578" s="33">
        <f>IF($J578="Y","",IF($F578="BW",$I578,$H578*$I578))</f>
        <v/>
      </c>
      <c r="L578" s="33">
        <f>$D578&amp;"|"&amp;$H578</f>
        <v/>
      </c>
      <c r="M578" s="33" t="n"/>
    </row>
    <row r="579" ht="15" customHeight="1" s="22">
      <c r="A579" s="32" t="n">
        <v>46219</v>
      </c>
      <c r="B579" s="33" t="inlineStr">
        <is>
          <t>Thu</t>
        </is>
      </c>
      <c r="C579" s="33" t="inlineStr">
        <is>
          <t>Push</t>
        </is>
      </c>
      <c r="D579" s="33" t="inlineStr">
        <is>
          <t>Tricep Ext Overhead</t>
        </is>
      </c>
      <c r="E579" s="33" t="inlineStr">
        <is>
          <t>Dumbbell</t>
        </is>
      </c>
      <c r="F579" s="33" t="inlineStr">
        <is>
          <t>lbs</t>
        </is>
      </c>
      <c r="G579" s="33" t="n">
        <v>4</v>
      </c>
      <c r="H579" s="33" t="n">
        <v>50</v>
      </c>
      <c r="I579" s="33" t="n">
        <v>8</v>
      </c>
      <c r="J579" s="33" t="inlineStr">
        <is>
          <t>N</t>
        </is>
      </c>
      <c r="K579" s="33">
        <f>IF($J579="Y","",IF($F579="BW",$I579,$H579*$I579))</f>
        <v/>
      </c>
      <c r="L579" s="33">
        <f>$D579&amp;"|"&amp;$H579</f>
        <v/>
      </c>
      <c r="M579" s="33" t="n"/>
    </row>
    <row r="580" ht="15" customHeight="1" s="22">
      <c r="A580" s="34" t="n">
        <v>46219</v>
      </c>
      <c r="B580" s="35" t="inlineStr">
        <is>
          <t>Thu</t>
        </is>
      </c>
      <c r="C580" s="35" t="inlineStr">
        <is>
          <t>Push</t>
        </is>
      </c>
      <c r="D580" s="35" t="inlineStr">
        <is>
          <t>Incline Bench (DB)</t>
        </is>
      </c>
      <c r="E580" s="35" t="inlineStr">
        <is>
          <t>Dumbbell</t>
        </is>
      </c>
      <c r="F580" s="35" t="inlineStr">
        <is>
          <t>lbs</t>
        </is>
      </c>
      <c r="G580" s="35" t="n">
        <v>1</v>
      </c>
      <c r="H580" s="35" t="n">
        <v>25</v>
      </c>
      <c r="I580" s="35" t="n">
        <v>8</v>
      </c>
      <c r="J580" s="35" t="inlineStr">
        <is>
          <t>Y</t>
        </is>
      </c>
      <c r="K580" s="35">
        <f>IF($J580="Y","",IF($F580="BW",$I580,$H580*$I580))</f>
        <v/>
      </c>
      <c r="L580" s="35">
        <f>$D580&amp;"|"&amp;$H580</f>
        <v/>
      </c>
      <c r="M580" s="35" t="n"/>
    </row>
    <row r="581" ht="15" customHeight="1" s="22">
      <c r="A581" s="32" t="n">
        <v>46219</v>
      </c>
      <c r="B581" s="33" t="inlineStr">
        <is>
          <t>Thu</t>
        </is>
      </c>
      <c r="C581" s="33" t="inlineStr">
        <is>
          <t>Push</t>
        </is>
      </c>
      <c r="D581" s="33" t="inlineStr">
        <is>
          <t>Incline Bench (DB)</t>
        </is>
      </c>
      <c r="E581" s="33" t="inlineStr">
        <is>
          <t>Dumbbell</t>
        </is>
      </c>
      <c r="F581" s="33" t="inlineStr">
        <is>
          <t>lbs</t>
        </is>
      </c>
      <c r="G581" s="33" t="n">
        <v>2</v>
      </c>
      <c r="H581" s="33" t="n">
        <v>35</v>
      </c>
      <c r="I581" s="33" t="n">
        <v>8</v>
      </c>
      <c r="J581" s="33" t="inlineStr">
        <is>
          <t>N</t>
        </is>
      </c>
      <c r="K581" s="33">
        <f>IF($J581="Y","",IF($F581="BW",$I581,$H581*$I581))</f>
        <v/>
      </c>
      <c r="L581" s="33">
        <f>$D581&amp;"|"&amp;$H581</f>
        <v/>
      </c>
      <c r="M581" s="33" t="n"/>
    </row>
    <row r="582" ht="15" customHeight="1" s="22">
      <c r="A582" s="32" t="n">
        <v>46219</v>
      </c>
      <c r="B582" s="33" t="inlineStr">
        <is>
          <t>Thu</t>
        </is>
      </c>
      <c r="C582" s="33" t="inlineStr">
        <is>
          <t>Push</t>
        </is>
      </c>
      <c r="D582" s="33" t="inlineStr">
        <is>
          <t>Incline Bench (DB)</t>
        </is>
      </c>
      <c r="E582" s="33" t="inlineStr">
        <is>
          <t>Dumbbell</t>
        </is>
      </c>
      <c r="F582" s="33" t="inlineStr">
        <is>
          <t>lbs</t>
        </is>
      </c>
      <c r="G582" s="33" t="n">
        <v>3</v>
      </c>
      <c r="H582" s="33" t="n">
        <v>40</v>
      </c>
      <c r="I582" s="33" t="n">
        <v>8</v>
      </c>
      <c r="J582" s="33" t="inlineStr">
        <is>
          <t>N</t>
        </is>
      </c>
      <c r="K582" s="33">
        <f>IF($J582="Y","",IF($F582="BW",$I582,$H582*$I582))</f>
        <v/>
      </c>
      <c r="L582" s="33">
        <f>$D582&amp;"|"&amp;$H582</f>
        <v/>
      </c>
      <c r="M582" s="33" t="n"/>
    </row>
    <row r="583" ht="15" customHeight="1" s="22">
      <c r="A583" s="32" t="n">
        <v>46219</v>
      </c>
      <c r="B583" s="33" t="inlineStr">
        <is>
          <t>Thu</t>
        </is>
      </c>
      <c r="C583" s="33" t="inlineStr">
        <is>
          <t>Push</t>
        </is>
      </c>
      <c r="D583" s="33" t="inlineStr">
        <is>
          <t>Incline Bench (DB)</t>
        </is>
      </c>
      <c r="E583" s="33" t="inlineStr">
        <is>
          <t>Dumbbell</t>
        </is>
      </c>
      <c r="F583" s="33" t="inlineStr">
        <is>
          <t>lbs</t>
        </is>
      </c>
      <c r="G583" s="33" t="n">
        <v>4</v>
      </c>
      <c r="H583" s="33" t="n">
        <v>40</v>
      </c>
      <c r="I583" s="33" t="n">
        <v>8</v>
      </c>
      <c r="J583" s="33" t="inlineStr">
        <is>
          <t>N</t>
        </is>
      </c>
      <c r="K583" s="33">
        <f>IF($J583="Y","",IF($F583="BW",$I583,$H583*$I583))</f>
        <v/>
      </c>
      <c r="L583" s="33">
        <f>$D583&amp;"|"&amp;$H583</f>
        <v/>
      </c>
      <c r="M583" s="33" t="n"/>
    </row>
    <row r="584" ht="15" customHeight="1" s="22">
      <c r="A584" s="34" t="n">
        <v>46221</v>
      </c>
      <c r="B584" s="35" t="inlineStr">
        <is>
          <t>Sat</t>
        </is>
      </c>
      <c r="C584" s="35" t="inlineStr">
        <is>
          <t>Legs</t>
        </is>
      </c>
      <c r="D584" s="35" t="inlineStr">
        <is>
          <t>RDLs</t>
        </is>
      </c>
      <c r="E584" s="35" t="inlineStr">
        <is>
          <t>Smith</t>
        </is>
      </c>
      <c r="F584" s="35" t="inlineStr">
        <is>
          <t>lbs</t>
        </is>
      </c>
      <c r="G584" s="35" t="n">
        <v>1</v>
      </c>
      <c r="H584" s="35" t="n">
        <v>20</v>
      </c>
      <c r="I584" s="35" t="n">
        <v>8</v>
      </c>
      <c r="J584" s="35" t="inlineStr">
        <is>
          <t>Y</t>
        </is>
      </c>
      <c r="K584" s="35">
        <f>IF($J584="Y","",IF($F584="BW",$I584,$H584*$I584))</f>
        <v/>
      </c>
      <c r="L584" s="35">
        <f>$D584&amp;"|"&amp;$H584</f>
        <v/>
      </c>
      <c r="M584" s="35" t="n"/>
    </row>
    <row r="585" ht="15" customHeight="1" s="22">
      <c r="A585" s="32" t="n">
        <v>46221</v>
      </c>
      <c r="B585" s="33" t="inlineStr">
        <is>
          <t>Sat</t>
        </is>
      </c>
      <c r="C585" s="33" t="inlineStr">
        <is>
          <t>Legs</t>
        </is>
      </c>
      <c r="D585" s="33" t="inlineStr">
        <is>
          <t>RDLs</t>
        </is>
      </c>
      <c r="E585" s="33" t="inlineStr">
        <is>
          <t>Smith</t>
        </is>
      </c>
      <c r="F585" s="33" t="inlineStr">
        <is>
          <t>lbs</t>
        </is>
      </c>
      <c r="G585" s="33" t="n">
        <v>2</v>
      </c>
      <c r="H585" s="33" t="n">
        <v>40</v>
      </c>
      <c r="I585" s="33" t="n">
        <v>8</v>
      </c>
      <c r="J585" s="33" t="inlineStr">
        <is>
          <t>N</t>
        </is>
      </c>
      <c r="K585" s="33">
        <f>IF($J585="Y","",IF($F585="BW",$I585,$H585*$I585))</f>
        <v/>
      </c>
      <c r="L585" s="33">
        <f>$D585&amp;"|"&amp;$H585</f>
        <v/>
      </c>
      <c r="M585" s="33" t="n"/>
    </row>
    <row r="586" ht="15" customHeight="1" s="22">
      <c r="A586" s="32" t="n">
        <v>46221</v>
      </c>
      <c r="B586" s="33" t="inlineStr">
        <is>
          <t>Sat</t>
        </is>
      </c>
      <c r="C586" s="33" t="inlineStr">
        <is>
          <t>Legs</t>
        </is>
      </c>
      <c r="D586" s="33" t="inlineStr">
        <is>
          <t>RDLs</t>
        </is>
      </c>
      <c r="E586" s="33" t="inlineStr">
        <is>
          <t>Smith</t>
        </is>
      </c>
      <c r="F586" s="33" t="inlineStr">
        <is>
          <t>lbs</t>
        </is>
      </c>
      <c r="G586" s="33" t="n">
        <v>3</v>
      </c>
      <c r="H586" s="33" t="n">
        <v>50</v>
      </c>
      <c r="I586" s="33" t="n">
        <v>8</v>
      </c>
      <c r="J586" s="33" t="inlineStr">
        <is>
          <t>N</t>
        </is>
      </c>
      <c r="K586" s="33">
        <f>IF($J586="Y","",IF($F586="BW",$I586,$H586*$I586))</f>
        <v/>
      </c>
      <c r="L586" s="33">
        <f>$D586&amp;"|"&amp;$H586</f>
        <v/>
      </c>
      <c r="M586" s="33" t="n"/>
    </row>
    <row r="587" ht="15" customHeight="1" s="22">
      <c r="A587" s="32" t="n">
        <v>46221</v>
      </c>
      <c r="B587" s="33" t="inlineStr">
        <is>
          <t>Sat</t>
        </is>
      </c>
      <c r="C587" s="33" t="inlineStr">
        <is>
          <t>Legs</t>
        </is>
      </c>
      <c r="D587" s="33" t="inlineStr">
        <is>
          <t>RDLs</t>
        </is>
      </c>
      <c r="E587" s="33" t="inlineStr">
        <is>
          <t>Smith</t>
        </is>
      </c>
      <c r="F587" s="33" t="inlineStr">
        <is>
          <t>lbs</t>
        </is>
      </c>
      <c r="G587" s="33" t="n">
        <v>4</v>
      </c>
      <c r="H587" s="33" t="n">
        <v>55</v>
      </c>
      <c r="I587" s="33" t="n">
        <v>8</v>
      </c>
      <c r="J587" s="33" t="inlineStr">
        <is>
          <t>N</t>
        </is>
      </c>
      <c r="K587" s="33">
        <f>IF($J587="Y","",IF($F587="BW",$I587,$H587*$I587))</f>
        <v/>
      </c>
      <c r="L587" s="33">
        <f>$D587&amp;"|"&amp;$H587</f>
        <v/>
      </c>
      <c r="M587" s="33" t="n"/>
    </row>
    <row r="588" ht="15" customHeight="1" s="22">
      <c r="A588" s="34" t="n">
        <v>46221</v>
      </c>
      <c r="B588" s="35" t="inlineStr">
        <is>
          <t>Sat</t>
        </is>
      </c>
      <c r="C588" s="35" t="inlineStr">
        <is>
          <t>Legs</t>
        </is>
      </c>
      <c r="D588" s="35" t="inlineStr">
        <is>
          <t>Calf Raises (DB)</t>
        </is>
      </c>
      <c r="E588" s="35" t="inlineStr">
        <is>
          <t>Dumbbell</t>
        </is>
      </c>
      <c r="F588" s="35" t="inlineStr">
        <is>
          <t>lbs</t>
        </is>
      </c>
      <c r="G588" s="35" t="n">
        <v>1</v>
      </c>
      <c r="H588" s="35" t="n">
        <v>15</v>
      </c>
      <c r="I588" s="35" t="n">
        <v>8</v>
      </c>
      <c r="J588" s="35" t="inlineStr">
        <is>
          <t>Y</t>
        </is>
      </c>
      <c r="K588" s="35">
        <f>IF($J588="Y","",IF($F588="BW",$I588,$H588*$I588))</f>
        <v/>
      </c>
      <c r="L588" s="35">
        <f>$D588&amp;"|"&amp;$H588</f>
        <v/>
      </c>
      <c r="M588" s="35" t="n"/>
    </row>
    <row r="589" ht="15" customHeight="1" s="22">
      <c r="A589" s="32" t="n">
        <v>46221</v>
      </c>
      <c r="B589" s="33" t="inlineStr">
        <is>
          <t>Sat</t>
        </is>
      </c>
      <c r="C589" s="33" t="inlineStr">
        <is>
          <t>Legs</t>
        </is>
      </c>
      <c r="D589" s="33" t="inlineStr">
        <is>
          <t>Calf Raises (DB)</t>
        </is>
      </c>
      <c r="E589" s="33" t="inlineStr">
        <is>
          <t>Dumbbell</t>
        </is>
      </c>
      <c r="F589" s="33" t="inlineStr">
        <is>
          <t>lbs</t>
        </is>
      </c>
      <c r="G589" s="33" t="n">
        <v>2</v>
      </c>
      <c r="H589" s="33" t="n">
        <v>25</v>
      </c>
      <c r="I589" s="33" t="n">
        <v>15</v>
      </c>
      <c r="J589" s="33" t="inlineStr">
        <is>
          <t>N</t>
        </is>
      </c>
      <c r="K589" s="33">
        <f>IF($J589="Y","",IF($F589="BW",$I589,$H589*$I589))</f>
        <v/>
      </c>
      <c r="L589" s="33">
        <f>$D589&amp;"|"&amp;$H589</f>
        <v/>
      </c>
      <c r="M589" s="33" t="n"/>
    </row>
    <row r="590" ht="15" customHeight="1" s="22">
      <c r="A590" s="32" t="n">
        <v>46221</v>
      </c>
      <c r="B590" s="33" t="inlineStr">
        <is>
          <t>Sat</t>
        </is>
      </c>
      <c r="C590" s="33" t="inlineStr">
        <is>
          <t>Legs</t>
        </is>
      </c>
      <c r="D590" s="33" t="inlineStr">
        <is>
          <t>Calf Raises (DB)</t>
        </is>
      </c>
      <c r="E590" s="33" t="inlineStr">
        <is>
          <t>Dumbbell</t>
        </is>
      </c>
      <c r="F590" s="33" t="inlineStr">
        <is>
          <t>lbs</t>
        </is>
      </c>
      <c r="G590" s="33" t="n">
        <v>3</v>
      </c>
      <c r="H590" s="33" t="n">
        <v>25</v>
      </c>
      <c r="I590" s="33" t="n">
        <v>15</v>
      </c>
      <c r="J590" s="33" t="inlineStr">
        <is>
          <t>N</t>
        </is>
      </c>
      <c r="K590" s="33">
        <f>IF($J590="Y","",IF($F590="BW",$I590,$H590*$I590))</f>
        <v/>
      </c>
      <c r="L590" s="33">
        <f>$D590&amp;"|"&amp;$H590</f>
        <v/>
      </c>
      <c r="M590" s="33" t="n"/>
    </row>
    <row r="591" ht="15" customHeight="1" s="22">
      <c r="A591" s="32" t="n">
        <v>46221</v>
      </c>
      <c r="B591" s="33" t="inlineStr">
        <is>
          <t>Sat</t>
        </is>
      </c>
      <c r="C591" s="33" t="inlineStr">
        <is>
          <t>Legs</t>
        </is>
      </c>
      <c r="D591" s="33" t="inlineStr">
        <is>
          <t>Bodyweight Squats</t>
        </is>
      </c>
      <c r="E591" s="33" t="inlineStr">
        <is>
          <t>Bodyweight</t>
        </is>
      </c>
      <c r="F591" s="33" t="inlineStr">
        <is>
          <t>BW</t>
        </is>
      </c>
      <c r="G591" s="33" t="n">
        <v>1</v>
      </c>
      <c r="H591" s="33" t="n">
        <v>0</v>
      </c>
      <c r="I591" s="33" t="n">
        <v>8</v>
      </c>
      <c r="J591" s="33" t="inlineStr">
        <is>
          <t>N</t>
        </is>
      </c>
      <c r="K591" s="33">
        <f>IF($J591="Y","",IF($F591="BW",$I591,$H591*$I591))</f>
        <v/>
      </c>
      <c r="L591" s="33">
        <f>$D591&amp;"|"&amp;$H591</f>
        <v/>
      </c>
      <c r="M591" s="33" t="n"/>
    </row>
    <row r="592" ht="15" customHeight="1" s="22">
      <c r="A592" s="32" t="n">
        <v>46221</v>
      </c>
      <c r="B592" s="33" t="inlineStr">
        <is>
          <t>Sat</t>
        </is>
      </c>
      <c r="C592" s="33" t="inlineStr">
        <is>
          <t>Legs</t>
        </is>
      </c>
      <c r="D592" s="33" t="inlineStr">
        <is>
          <t>Bodyweight Squats</t>
        </is>
      </c>
      <c r="E592" s="33" t="inlineStr">
        <is>
          <t>Bodyweight</t>
        </is>
      </c>
      <c r="F592" s="33" t="inlineStr">
        <is>
          <t>BW</t>
        </is>
      </c>
      <c r="G592" s="33" t="n">
        <v>2</v>
      </c>
      <c r="H592" s="33" t="n">
        <v>0</v>
      </c>
      <c r="I592" s="33" t="n">
        <v>8</v>
      </c>
      <c r="J592" s="33" t="inlineStr">
        <is>
          <t>N</t>
        </is>
      </c>
      <c r="K592" s="33">
        <f>IF($J592="Y","",IF($F592="BW",$I592,$H592*$I592))</f>
        <v/>
      </c>
      <c r="L592" s="33">
        <f>$D592&amp;"|"&amp;$H592</f>
        <v/>
      </c>
      <c r="M592" s="33" t="n"/>
    </row>
    <row r="593" ht="15" customHeight="1" s="22">
      <c r="A593" s="32" t="n">
        <v>46221</v>
      </c>
      <c r="B593" s="33" t="inlineStr">
        <is>
          <t>Sat</t>
        </is>
      </c>
      <c r="C593" s="33" t="inlineStr">
        <is>
          <t>Legs</t>
        </is>
      </c>
      <c r="D593" s="33" t="inlineStr">
        <is>
          <t>Bodyweight Squats</t>
        </is>
      </c>
      <c r="E593" s="33" t="inlineStr">
        <is>
          <t>Bodyweight</t>
        </is>
      </c>
      <c r="F593" s="33" t="inlineStr">
        <is>
          <t>BW</t>
        </is>
      </c>
      <c r="G593" s="33" t="n">
        <v>3</v>
      </c>
      <c r="H593" s="33" t="n">
        <v>0</v>
      </c>
      <c r="I593" s="33" t="n">
        <v>8</v>
      </c>
      <c r="J593" s="33" t="inlineStr">
        <is>
          <t>N</t>
        </is>
      </c>
      <c r="K593" s="33">
        <f>IF($J593="Y","",IF($F593="BW",$I593,$H593*$I593))</f>
        <v/>
      </c>
      <c r="L593" s="33">
        <f>$D593&amp;"|"&amp;$H593</f>
        <v/>
      </c>
      <c r="M593" s="33" t="n"/>
    </row>
    <row r="594" ht="15" customHeight="1" s="22">
      <c r="A594" s="34" t="n">
        <v>46222</v>
      </c>
      <c r="B594" s="35" t="inlineStr">
        <is>
          <t>Sun</t>
        </is>
      </c>
      <c r="C594" s="35" t="inlineStr">
        <is>
          <t>Cardio + Pull</t>
        </is>
      </c>
      <c r="D594" s="35" t="inlineStr">
        <is>
          <t>Single Arm Lat Pulldown</t>
        </is>
      </c>
      <c r="E594" s="35" t="inlineStr">
        <is>
          <t>Cable</t>
        </is>
      </c>
      <c r="F594" s="35" t="inlineStr">
        <is>
          <t>kg</t>
        </is>
      </c>
      <c r="G594" s="35" t="n">
        <v>1</v>
      </c>
      <c r="H594" s="35" t="n">
        <v>12.5</v>
      </c>
      <c r="I594" s="35" t="n">
        <v>8</v>
      </c>
      <c r="J594" s="35" t="inlineStr">
        <is>
          <t>Y</t>
        </is>
      </c>
      <c r="K594" s="35">
        <f>IF($J594="Y","",IF($F594="BW",$I594,$H594*$I594))</f>
        <v/>
      </c>
      <c r="L594" s="35">
        <f>$D594&amp;"|"&amp;$H594</f>
        <v/>
      </c>
      <c r="M594" s="35" t="n"/>
    </row>
    <row r="595" ht="15" customHeight="1" s="22">
      <c r="A595" s="32" t="n">
        <v>46222</v>
      </c>
      <c r="B595" s="33" t="inlineStr">
        <is>
          <t>Sun</t>
        </is>
      </c>
      <c r="C595" s="33" t="inlineStr">
        <is>
          <t>Cardio + Pull</t>
        </is>
      </c>
      <c r="D595" s="33" t="inlineStr">
        <is>
          <t>Single Arm Lat Pulldown</t>
        </is>
      </c>
      <c r="E595" s="33" t="inlineStr">
        <is>
          <t>Cable</t>
        </is>
      </c>
      <c r="F595" s="33" t="inlineStr">
        <is>
          <t>kg</t>
        </is>
      </c>
      <c r="G595" s="33" t="n">
        <v>2</v>
      </c>
      <c r="H595" s="33" t="n">
        <v>20</v>
      </c>
      <c r="I595" s="33" t="n">
        <v>8</v>
      </c>
      <c r="J595" s="33" t="inlineStr">
        <is>
          <t>N</t>
        </is>
      </c>
      <c r="K595" s="33">
        <f>IF($J595="Y","",IF($F595="BW",$I595,$H595*$I595))</f>
        <v/>
      </c>
      <c r="L595" s="33">
        <f>$D595&amp;"|"&amp;$H595</f>
        <v/>
      </c>
      <c r="M595" s="33" t="n"/>
    </row>
    <row r="596" ht="15" customHeight="1" s="22">
      <c r="A596" s="32" t="n">
        <v>46222</v>
      </c>
      <c r="B596" s="33" t="inlineStr">
        <is>
          <t>Sun</t>
        </is>
      </c>
      <c r="C596" s="33" t="inlineStr">
        <is>
          <t>Cardio + Pull</t>
        </is>
      </c>
      <c r="D596" s="33" t="inlineStr">
        <is>
          <t>Single Arm Lat Pulldown</t>
        </is>
      </c>
      <c r="E596" s="33" t="inlineStr">
        <is>
          <t>Cable</t>
        </is>
      </c>
      <c r="F596" s="33" t="inlineStr">
        <is>
          <t>kg</t>
        </is>
      </c>
      <c r="G596" s="33" t="n">
        <v>3</v>
      </c>
      <c r="H596" s="33" t="n">
        <v>20</v>
      </c>
      <c r="I596" s="33" t="n">
        <v>8</v>
      </c>
      <c r="J596" s="33" t="inlineStr">
        <is>
          <t>N</t>
        </is>
      </c>
      <c r="K596" s="33">
        <f>IF($J596="Y","",IF($F596="BW",$I596,$H596*$I596))</f>
        <v/>
      </c>
      <c r="L596" s="33">
        <f>$D596&amp;"|"&amp;$H596</f>
        <v/>
      </c>
      <c r="M596" s="33" t="n"/>
    </row>
    <row r="597" ht="15" customHeight="1" s="22">
      <c r="A597" s="32" t="n">
        <v>46222</v>
      </c>
      <c r="B597" s="33" t="inlineStr">
        <is>
          <t>Sun</t>
        </is>
      </c>
      <c r="C597" s="33" t="inlineStr">
        <is>
          <t>Cardio + Pull</t>
        </is>
      </c>
      <c r="D597" s="33" t="inlineStr">
        <is>
          <t>Single Arm Lat Pulldown</t>
        </is>
      </c>
      <c r="E597" s="33" t="inlineStr">
        <is>
          <t>Cable</t>
        </is>
      </c>
      <c r="F597" s="33" t="inlineStr">
        <is>
          <t>kg</t>
        </is>
      </c>
      <c r="G597" s="33" t="n">
        <v>4</v>
      </c>
      <c r="H597" s="33" t="n">
        <v>20</v>
      </c>
      <c r="I597" s="33" t="n">
        <v>8</v>
      </c>
      <c r="J597" s="33" t="inlineStr">
        <is>
          <t>N</t>
        </is>
      </c>
      <c r="K597" s="33">
        <f>IF($J597="Y","",IF($F597="BW",$I597,$H597*$I597))</f>
        <v/>
      </c>
      <c r="L597" s="33">
        <f>$D597&amp;"|"&amp;$H597</f>
        <v/>
      </c>
      <c r="M597" s="33" t="n"/>
    </row>
    <row r="598" ht="15" customHeight="1" s="22">
      <c r="A598" s="34" t="n">
        <v>46222</v>
      </c>
      <c r="B598" s="35" t="inlineStr">
        <is>
          <t>Sun</t>
        </is>
      </c>
      <c r="C598" s="35" t="inlineStr">
        <is>
          <t>Cardio + Pull</t>
        </is>
      </c>
      <c r="D598" s="35" t="inlineStr">
        <is>
          <t>Smith Rows</t>
        </is>
      </c>
      <c r="E598" s="35" t="inlineStr">
        <is>
          <t>Smith</t>
        </is>
      </c>
      <c r="F598" s="35" t="inlineStr">
        <is>
          <t>lbs</t>
        </is>
      </c>
      <c r="G598" s="35" t="n">
        <v>1</v>
      </c>
      <c r="H598" s="35" t="n">
        <v>20</v>
      </c>
      <c r="I598" s="35" t="n">
        <v>8</v>
      </c>
      <c r="J598" s="35" t="inlineStr">
        <is>
          <t>Y</t>
        </is>
      </c>
      <c r="K598" s="35">
        <f>IF($J598="Y","",IF($F598="BW",$I598,$H598*$I598))</f>
        <v/>
      </c>
      <c r="L598" s="35">
        <f>$D598&amp;"|"&amp;$H598</f>
        <v/>
      </c>
      <c r="M598" s="35" t="n"/>
    </row>
    <row r="599" ht="15" customHeight="1" s="22">
      <c r="A599" s="32" t="n">
        <v>46222</v>
      </c>
      <c r="B599" s="33" t="inlineStr">
        <is>
          <t>Sun</t>
        </is>
      </c>
      <c r="C599" s="33" t="inlineStr">
        <is>
          <t>Cardio + Pull</t>
        </is>
      </c>
      <c r="D599" s="33" t="inlineStr">
        <is>
          <t>Smith Rows</t>
        </is>
      </c>
      <c r="E599" s="33" t="inlineStr">
        <is>
          <t>Smith</t>
        </is>
      </c>
      <c r="F599" s="33" t="inlineStr">
        <is>
          <t>lbs</t>
        </is>
      </c>
      <c r="G599" s="33" t="n">
        <v>2</v>
      </c>
      <c r="H599" s="33" t="n">
        <v>50</v>
      </c>
      <c r="I599" s="33" t="n">
        <v>8</v>
      </c>
      <c r="J599" s="33" t="inlineStr">
        <is>
          <t>N</t>
        </is>
      </c>
      <c r="K599" s="33">
        <f>IF($J599="Y","",IF($F599="BW",$I599,$H599*$I599))</f>
        <v/>
      </c>
      <c r="L599" s="33">
        <f>$D599&amp;"|"&amp;$H599</f>
        <v/>
      </c>
      <c r="M599" s="33" t="n"/>
    </row>
    <row r="600" ht="15" customHeight="1" s="22">
      <c r="A600" s="32" t="n">
        <v>46222</v>
      </c>
      <c r="B600" s="33" t="inlineStr">
        <is>
          <t>Sun</t>
        </is>
      </c>
      <c r="C600" s="33" t="inlineStr">
        <is>
          <t>Cardio + Pull</t>
        </is>
      </c>
      <c r="D600" s="33" t="inlineStr">
        <is>
          <t>Smith Rows</t>
        </is>
      </c>
      <c r="E600" s="33" t="inlineStr">
        <is>
          <t>Smith</t>
        </is>
      </c>
      <c r="F600" s="33" t="inlineStr">
        <is>
          <t>lbs</t>
        </is>
      </c>
      <c r="G600" s="33" t="n">
        <v>3</v>
      </c>
      <c r="H600" s="33" t="n">
        <v>60</v>
      </c>
      <c r="I600" s="33" t="n">
        <v>8</v>
      </c>
      <c r="J600" s="33" t="inlineStr">
        <is>
          <t>N</t>
        </is>
      </c>
      <c r="K600" s="33">
        <f>IF($J600="Y","",IF($F600="BW",$I600,$H600*$I600))</f>
        <v/>
      </c>
      <c r="L600" s="33">
        <f>$D600&amp;"|"&amp;$H600</f>
        <v/>
      </c>
      <c r="M600" s="33" t="n"/>
    </row>
    <row r="601" ht="15" customHeight="1" s="22">
      <c r="A601" s="32" t="n">
        <v>46222</v>
      </c>
      <c r="B601" s="33" t="inlineStr">
        <is>
          <t>Sun</t>
        </is>
      </c>
      <c r="C601" s="33" t="inlineStr">
        <is>
          <t>Cardio + Pull</t>
        </is>
      </c>
      <c r="D601" s="33" t="inlineStr">
        <is>
          <t>Smith Rows</t>
        </is>
      </c>
      <c r="E601" s="33" t="inlineStr">
        <is>
          <t>Smith</t>
        </is>
      </c>
      <c r="F601" s="33" t="inlineStr">
        <is>
          <t>lbs</t>
        </is>
      </c>
      <c r="G601" s="33" t="n">
        <v>4</v>
      </c>
      <c r="H601" s="33" t="n">
        <v>65</v>
      </c>
      <c r="I601" s="33" t="n">
        <v>8</v>
      </c>
      <c r="J601" s="33" t="inlineStr">
        <is>
          <t>N</t>
        </is>
      </c>
      <c r="K601" s="33">
        <f>IF($J601="Y","",IF($F601="BW",$I601,$H601*$I601))</f>
        <v/>
      </c>
      <c r="L601" s="33">
        <f>$D601&amp;"|"&amp;$H601</f>
        <v/>
      </c>
      <c r="M601" s="33" t="n"/>
    </row>
    <row r="602" ht="15" customHeight="1" s="22">
      <c r="A602" s="34" t="n">
        <v>46222</v>
      </c>
      <c r="B602" s="35" t="inlineStr">
        <is>
          <t>Sun</t>
        </is>
      </c>
      <c r="C602" s="35" t="inlineStr">
        <is>
          <t>Cardio + Pull</t>
        </is>
      </c>
      <c r="D602" s="35" t="inlineStr">
        <is>
          <t>Shrugs</t>
        </is>
      </c>
      <c r="E602" s="35" t="inlineStr">
        <is>
          <t>Dumbbell</t>
        </is>
      </c>
      <c r="F602" s="35" t="inlineStr">
        <is>
          <t>lbs</t>
        </is>
      </c>
      <c r="G602" s="35" t="n">
        <v>1</v>
      </c>
      <c r="H602" s="35" t="n">
        <v>25</v>
      </c>
      <c r="I602" s="35" t="n">
        <v>8</v>
      </c>
      <c r="J602" s="35" t="inlineStr">
        <is>
          <t>Y</t>
        </is>
      </c>
      <c r="K602" s="35">
        <f>IF($J602="Y","",IF($F602="BW",$I602,$H602*$I602))</f>
        <v/>
      </c>
      <c r="L602" s="35">
        <f>$D602&amp;"|"&amp;$H602</f>
        <v/>
      </c>
      <c r="M602" s="35" t="n"/>
    </row>
    <row r="603" ht="15" customHeight="1" s="22">
      <c r="A603" s="32" t="n">
        <v>46222</v>
      </c>
      <c r="B603" s="33" t="inlineStr">
        <is>
          <t>Sun</t>
        </is>
      </c>
      <c r="C603" s="33" t="inlineStr">
        <is>
          <t>Cardio + Pull</t>
        </is>
      </c>
      <c r="D603" s="33" t="inlineStr">
        <is>
          <t>Shrugs</t>
        </is>
      </c>
      <c r="E603" s="33" t="inlineStr">
        <is>
          <t>Dumbbell</t>
        </is>
      </c>
      <c r="F603" s="33" t="inlineStr">
        <is>
          <t>lbs</t>
        </is>
      </c>
      <c r="G603" s="33" t="n">
        <v>2</v>
      </c>
      <c r="H603" s="33" t="n">
        <v>50</v>
      </c>
      <c r="I603" s="33" t="n">
        <v>8</v>
      </c>
      <c r="J603" s="33" t="inlineStr">
        <is>
          <t>N</t>
        </is>
      </c>
      <c r="K603" s="33">
        <f>IF($J603="Y","",IF($F603="BW",$I603,$H603*$I603))</f>
        <v/>
      </c>
      <c r="L603" s="33">
        <f>$D603&amp;"|"&amp;$H603</f>
        <v/>
      </c>
      <c r="M603" s="33" t="n"/>
    </row>
    <row r="604" ht="15" customHeight="1" s="22">
      <c r="A604" s="32" t="n">
        <v>46222</v>
      </c>
      <c r="B604" s="33" t="inlineStr">
        <is>
          <t>Sun</t>
        </is>
      </c>
      <c r="C604" s="33" t="inlineStr">
        <is>
          <t>Cardio + Pull</t>
        </is>
      </c>
      <c r="D604" s="33" t="inlineStr">
        <is>
          <t>Shrugs</t>
        </is>
      </c>
      <c r="E604" s="33" t="inlineStr">
        <is>
          <t>Dumbbell</t>
        </is>
      </c>
      <c r="F604" s="33" t="inlineStr">
        <is>
          <t>lbs</t>
        </is>
      </c>
      <c r="G604" s="33" t="n">
        <v>3</v>
      </c>
      <c r="H604" s="33" t="n">
        <v>50</v>
      </c>
      <c r="I604" s="33" t="n">
        <v>8</v>
      </c>
      <c r="J604" s="33" t="inlineStr">
        <is>
          <t>N</t>
        </is>
      </c>
      <c r="K604" s="33">
        <f>IF($J604="Y","",IF($F604="BW",$I604,$H604*$I604))</f>
        <v/>
      </c>
      <c r="L604" s="33">
        <f>$D604&amp;"|"&amp;$H604</f>
        <v/>
      </c>
      <c r="M604" s="33" t="n"/>
    </row>
    <row r="605" ht="15" customHeight="1" s="22">
      <c r="A605" s="32" t="n">
        <v>46222</v>
      </c>
      <c r="B605" s="33" t="inlineStr">
        <is>
          <t>Sun</t>
        </is>
      </c>
      <c r="C605" s="33" t="inlineStr">
        <is>
          <t>Cardio + Pull</t>
        </is>
      </c>
      <c r="D605" s="33" t="inlineStr">
        <is>
          <t>Shrugs</t>
        </is>
      </c>
      <c r="E605" s="33" t="inlineStr">
        <is>
          <t>Dumbbell</t>
        </is>
      </c>
      <c r="F605" s="33" t="inlineStr">
        <is>
          <t>lbs</t>
        </is>
      </c>
      <c r="G605" s="33" t="n">
        <v>4</v>
      </c>
      <c r="H605" s="33" t="n">
        <v>50</v>
      </c>
      <c r="I605" s="33" t="n">
        <v>8</v>
      </c>
      <c r="J605" s="33" t="inlineStr">
        <is>
          <t>N</t>
        </is>
      </c>
      <c r="K605" s="33">
        <f>IF($J605="Y","",IF($F605="BW",$I605,$H605*$I605))</f>
        <v/>
      </c>
      <c r="L605" s="33">
        <f>$D605&amp;"|"&amp;$H605</f>
        <v/>
      </c>
      <c r="M605" s="33" t="n"/>
    </row>
    <row r="606" ht="15" customHeight="1" s="22">
      <c r="A606" s="34" t="n">
        <v>46224</v>
      </c>
      <c r="B606" s="35" t="inlineStr">
        <is>
          <t>Tue</t>
        </is>
      </c>
      <c r="C606" s="35" t="inlineStr">
        <is>
          <t>Push</t>
        </is>
      </c>
      <c r="D606" s="35" t="inlineStr">
        <is>
          <t>Bench Press (Smith)</t>
        </is>
      </c>
      <c r="E606" s="35" t="inlineStr">
        <is>
          <t>Smith</t>
        </is>
      </c>
      <c r="F606" s="35" t="inlineStr">
        <is>
          <t>lbs</t>
        </is>
      </c>
      <c r="G606" s="35" t="n">
        <v>1</v>
      </c>
      <c r="H606" s="35" t="n">
        <v>35</v>
      </c>
      <c r="I606" s="35" t="n">
        <v>8</v>
      </c>
      <c r="J606" s="35" t="inlineStr">
        <is>
          <t>Y</t>
        </is>
      </c>
      <c r="K606" s="35">
        <f>IF($J606="Y","",IF($F606="BW",$I606,$H606*$I606))</f>
        <v/>
      </c>
      <c r="L606" s="35">
        <f>$D606&amp;"|"&amp;$H606</f>
        <v/>
      </c>
      <c r="M606" s="35" t="n"/>
    </row>
    <row r="607" ht="15" customHeight="1" s="22">
      <c r="A607" s="32" t="n">
        <v>46224</v>
      </c>
      <c r="B607" s="33" t="inlineStr">
        <is>
          <t>Tue</t>
        </is>
      </c>
      <c r="C607" s="33" t="inlineStr">
        <is>
          <t>Push</t>
        </is>
      </c>
      <c r="D607" s="33" t="inlineStr">
        <is>
          <t>Bench Press (Smith)</t>
        </is>
      </c>
      <c r="E607" s="33" t="inlineStr">
        <is>
          <t>Smith</t>
        </is>
      </c>
      <c r="F607" s="33" t="inlineStr">
        <is>
          <t>lbs</t>
        </is>
      </c>
      <c r="G607" s="33" t="n">
        <v>2</v>
      </c>
      <c r="H607" s="33" t="n">
        <v>70</v>
      </c>
      <c r="I607" s="33" t="n">
        <v>8</v>
      </c>
      <c r="J607" s="33" t="inlineStr">
        <is>
          <t>N</t>
        </is>
      </c>
      <c r="K607" s="33">
        <f>IF($J607="Y","",IF($F607="BW",$I607,$H607*$I607))</f>
        <v/>
      </c>
      <c r="L607" s="33">
        <f>$D607&amp;"|"&amp;$H607</f>
        <v/>
      </c>
      <c r="M607" s="33" t="n"/>
    </row>
    <row r="608" ht="15" customHeight="1" s="22">
      <c r="A608" s="32" t="n">
        <v>46224</v>
      </c>
      <c r="B608" s="33" t="inlineStr">
        <is>
          <t>Tue</t>
        </is>
      </c>
      <c r="C608" s="33" t="inlineStr">
        <is>
          <t>Push</t>
        </is>
      </c>
      <c r="D608" s="33" t="inlineStr">
        <is>
          <t>Bench Press (Smith)</t>
        </is>
      </c>
      <c r="E608" s="33" t="inlineStr">
        <is>
          <t>Smith</t>
        </is>
      </c>
      <c r="F608" s="33" t="inlineStr">
        <is>
          <t>lbs</t>
        </is>
      </c>
      <c r="G608" s="33" t="n">
        <v>3</v>
      </c>
      <c r="H608" s="33" t="n">
        <v>100</v>
      </c>
      <c r="I608" s="33" t="n">
        <v>8</v>
      </c>
      <c r="J608" s="33" t="inlineStr">
        <is>
          <t>N</t>
        </is>
      </c>
      <c r="K608" s="33">
        <f>IF($J608="Y","",IF($F608="BW",$I608,$H608*$I608))</f>
        <v/>
      </c>
      <c r="L608" s="33">
        <f>$D608&amp;"|"&amp;$H608</f>
        <v/>
      </c>
      <c r="M608" s="33" t="n"/>
    </row>
    <row r="609" ht="15" customHeight="1" s="22">
      <c r="A609" s="32" t="n">
        <v>46224</v>
      </c>
      <c r="B609" s="33" t="inlineStr">
        <is>
          <t>Tue</t>
        </is>
      </c>
      <c r="C609" s="33" t="inlineStr">
        <is>
          <t>Push</t>
        </is>
      </c>
      <c r="D609" s="33" t="inlineStr">
        <is>
          <t>Bench Press (Smith)</t>
        </is>
      </c>
      <c r="E609" s="33" t="inlineStr">
        <is>
          <t>Smith</t>
        </is>
      </c>
      <c r="F609" s="33" t="inlineStr">
        <is>
          <t>lbs</t>
        </is>
      </c>
      <c r="G609" s="33" t="n">
        <v>4</v>
      </c>
      <c r="H609" s="33" t="n">
        <v>110</v>
      </c>
      <c r="I609" s="33" t="n">
        <v>8</v>
      </c>
      <c r="J609" s="33" t="inlineStr">
        <is>
          <t>N</t>
        </is>
      </c>
      <c r="K609" s="33">
        <f>IF($J609="Y","",IF($F609="BW",$I609,$H609*$I609))</f>
        <v/>
      </c>
      <c r="L609" s="33">
        <f>$D609&amp;"|"&amp;$H609</f>
        <v/>
      </c>
      <c r="M609" s="33" t="n"/>
    </row>
    <row r="610" ht="15" customHeight="1" s="22">
      <c r="A610" s="34" t="n">
        <v>46224</v>
      </c>
      <c r="B610" s="35" t="inlineStr">
        <is>
          <t>Tue</t>
        </is>
      </c>
      <c r="C610" s="35" t="inlineStr">
        <is>
          <t>Push</t>
        </is>
      </c>
      <c r="D610" s="35" t="inlineStr">
        <is>
          <t>Shoulder Press</t>
        </is>
      </c>
      <c r="E610" s="35" t="inlineStr">
        <is>
          <t>Dumbbell</t>
        </is>
      </c>
      <c r="F610" s="35" t="inlineStr">
        <is>
          <t>lbs</t>
        </is>
      </c>
      <c r="G610" s="35" t="n">
        <v>1</v>
      </c>
      <c r="H610" s="35" t="n">
        <v>15</v>
      </c>
      <c r="I610" s="35" t="n">
        <v>8</v>
      </c>
      <c r="J610" s="35" t="inlineStr">
        <is>
          <t>Y</t>
        </is>
      </c>
      <c r="K610" s="35">
        <f>IF($J610="Y","",IF($F610="BW",$I610,$H610*$I610))</f>
        <v/>
      </c>
      <c r="L610" s="35">
        <f>$D610&amp;"|"&amp;$H610</f>
        <v/>
      </c>
      <c r="M610" s="35" t="n"/>
    </row>
    <row r="611" ht="15" customHeight="1" s="22">
      <c r="A611" s="32" t="n">
        <v>46224</v>
      </c>
      <c r="B611" s="33" t="inlineStr">
        <is>
          <t>Tue</t>
        </is>
      </c>
      <c r="C611" s="33" t="inlineStr">
        <is>
          <t>Push</t>
        </is>
      </c>
      <c r="D611" s="33" t="inlineStr">
        <is>
          <t>Shoulder Press</t>
        </is>
      </c>
      <c r="E611" s="33" t="inlineStr">
        <is>
          <t>Dumbbell</t>
        </is>
      </c>
      <c r="F611" s="33" t="inlineStr">
        <is>
          <t>lbs</t>
        </is>
      </c>
      <c r="G611" s="33" t="n">
        <v>2</v>
      </c>
      <c r="H611" s="33" t="n">
        <v>30</v>
      </c>
      <c r="I611" s="33" t="n">
        <v>8</v>
      </c>
      <c r="J611" s="33" t="inlineStr">
        <is>
          <t>N</t>
        </is>
      </c>
      <c r="K611" s="33">
        <f>IF($J611="Y","",IF($F611="BW",$I611,$H611*$I611))</f>
        <v/>
      </c>
      <c r="L611" s="33">
        <f>$D611&amp;"|"&amp;$H611</f>
        <v/>
      </c>
      <c r="M611" s="33" t="n"/>
    </row>
    <row r="612" ht="15" customHeight="1" s="22">
      <c r="A612" s="32" t="n">
        <v>46224</v>
      </c>
      <c r="B612" s="33" t="inlineStr">
        <is>
          <t>Tue</t>
        </is>
      </c>
      <c r="C612" s="33" t="inlineStr">
        <is>
          <t>Push</t>
        </is>
      </c>
      <c r="D612" s="33" t="inlineStr">
        <is>
          <t>Shoulder Press</t>
        </is>
      </c>
      <c r="E612" s="33" t="inlineStr">
        <is>
          <t>Dumbbell</t>
        </is>
      </c>
      <c r="F612" s="33" t="inlineStr">
        <is>
          <t>lbs</t>
        </is>
      </c>
      <c r="G612" s="33" t="n">
        <v>3</v>
      </c>
      <c r="H612" s="33" t="n">
        <v>35</v>
      </c>
      <c r="I612" s="33" t="n">
        <v>8</v>
      </c>
      <c r="J612" s="33" t="inlineStr">
        <is>
          <t>N</t>
        </is>
      </c>
      <c r="K612" s="33">
        <f>IF($J612="Y","",IF($F612="BW",$I612,$H612*$I612))</f>
        <v/>
      </c>
      <c r="L612" s="33">
        <f>$D612&amp;"|"&amp;$H612</f>
        <v/>
      </c>
      <c r="M612" s="33" t="n"/>
    </row>
    <row r="613" ht="15" customHeight="1" s="22">
      <c r="A613" s="32" t="n">
        <v>46224</v>
      </c>
      <c r="B613" s="33" t="inlineStr">
        <is>
          <t>Tue</t>
        </is>
      </c>
      <c r="C613" s="33" t="inlineStr">
        <is>
          <t>Push</t>
        </is>
      </c>
      <c r="D613" s="33" t="inlineStr">
        <is>
          <t>Shoulder Press</t>
        </is>
      </c>
      <c r="E613" s="33" t="inlineStr">
        <is>
          <t>Dumbbell</t>
        </is>
      </c>
      <c r="F613" s="33" t="inlineStr">
        <is>
          <t>lbs</t>
        </is>
      </c>
      <c r="G613" s="33" t="n">
        <v>4</v>
      </c>
      <c r="H613" s="33" t="n">
        <v>35</v>
      </c>
      <c r="I613" s="33" t="n">
        <v>8</v>
      </c>
      <c r="J613" s="33" t="inlineStr">
        <is>
          <t>N</t>
        </is>
      </c>
      <c r="K613" s="33">
        <f>IF($J613="Y","",IF($F613="BW",$I613,$H613*$I613))</f>
        <v/>
      </c>
      <c r="L613" s="33">
        <f>$D613&amp;"|"&amp;$H613</f>
        <v/>
      </c>
      <c r="M613" s="33" t="n"/>
    </row>
    <row r="614" ht="15" customHeight="1" s="22">
      <c r="A614" s="34" t="n">
        <v>46224</v>
      </c>
      <c r="B614" s="35" t="inlineStr">
        <is>
          <t>Tue</t>
        </is>
      </c>
      <c r="C614" s="35" t="inlineStr">
        <is>
          <t>Push</t>
        </is>
      </c>
      <c r="D614" s="35" t="inlineStr">
        <is>
          <t>Tricep Pulldown</t>
        </is>
      </c>
      <c r="E614" s="35" t="inlineStr">
        <is>
          <t>Cable</t>
        </is>
      </c>
      <c r="F614" s="35" t="inlineStr">
        <is>
          <t>kg</t>
        </is>
      </c>
      <c r="G614" s="35" t="n">
        <v>1</v>
      </c>
      <c r="H614" s="35" t="n">
        <v>12.5</v>
      </c>
      <c r="I614" s="35" t="n">
        <v>8</v>
      </c>
      <c r="J614" s="35" t="inlineStr">
        <is>
          <t>Y</t>
        </is>
      </c>
      <c r="K614" s="35">
        <f>IF($J614="Y","",IF($F614="BW",$I614,$H614*$I614))</f>
        <v/>
      </c>
      <c r="L614" s="35">
        <f>$D614&amp;"|"&amp;$H614</f>
        <v/>
      </c>
      <c r="M614" s="35" t="n"/>
    </row>
    <row r="615" ht="15" customHeight="1" s="22">
      <c r="A615" s="32" t="n">
        <v>46224</v>
      </c>
      <c r="B615" s="33" t="inlineStr">
        <is>
          <t>Tue</t>
        </is>
      </c>
      <c r="C615" s="33" t="inlineStr">
        <is>
          <t>Push</t>
        </is>
      </c>
      <c r="D615" s="33" t="inlineStr">
        <is>
          <t>Tricep Pulldown</t>
        </is>
      </c>
      <c r="E615" s="33" t="inlineStr">
        <is>
          <t>Cable</t>
        </is>
      </c>
      <c r="F615" s="33" t="inlineStr">
        <is>
          <t>kg</t>
        </is>
      </c>
      <c r="G615" s="33" t="n">
        <v>2</v>
      </c>
      <c r="H615" s="33" t="n">
        <v>20</v>
      </c>
      <c r="I615" s="33" t="n">
        <v>8</v>
      </c>
      <c r="J615" s="33" t="inlineStr">
        <is>
          <t>N</t>
        </is>
      </c>
      <c r="K615" s="33">
        <f>IF($J615="Y","",IF($F615="BW",$I615,$H615*$I615))</f>
        <v/>
      </c>
      <c r="L615" s="33">
        <f>$D615&amp;"|"&amp;$H615</f>
        <v/>
      </c>
      <c r="M615" s="33" t="n"/>
    </row>
    <row r="616" ht="15" customHeight="1" s="22">
      <c r="A616" s="32" t="n">
        <v>46224</v>
      </c>
      <c r="B616" s="33" t="inlineStr">
        <is>
          <t>Tue</t>
        </is>
      </c>
      <c r="C616" s="33" t="inlineStr">
        <is>
          <t>Push</t>
        </is>
      </c>
      <c r="D616" s="33" t="inlineStr">
        <is>
          <t>Tricep Pulldown</t>
        </is>
      </c>
      <c r="E616" s="33" t="inlineStr">
        <is>
          <t>Cable</t>
        </is>
      </c>
      <c r="F616" s="33" t="inlineStr">
        <is>
          <t>kg</t>
        </is>
      </c>
      <c r="G616" s="33" t="n">
        <v>3</v>
      </c>
      <c r="H616" s="33" t="n">
        <v>22.5</v>
      </c>
      <c r="I616" s="33" t="n">
        <v>8</v>
      </c>
      <c r="J616" s="33" t="inlineStr">
        <is>
          <t>N</t>
        </is>
      </c>
      <c r="K616" s="33">
        <f>IF($J616="Y","",IF($F616="BW",$I616,$H616*$I616))</f>
        <v/>
      </c>
      <c r="L616" s="33">
        <f>$D616&amp;"|"&amp;$H616</f>
        <v/>
      </c>
      <c r="M616" s="33" t="n"/>
    </row>
    <row r="617" ht="15" customHeight="1" s="22">
      <c r="A617" s="32" t="n">
        <v>46224</v>
      </c>
      <c r="B617" s="33" t="inlineStr">
        <is>
          <t>Tue</t>
        </is>
      </c>
      <c r="C617" s="33" t="inlineStr">
        <is>
          <t>Push</t>
        </is>
      </c>
      <c r="D617" s="33" t="inlineStr">
        <is>
          <t>Tricep Pulldown</t>
        </is>
      </c>
      <c r="E617" s="33" t="inlineStr">
        <is>
          <t>Cable</t>
        </is>
      </c>
      <c r="F617" s="33" t="inlineStr">
        <is>
          <t>kg</t>
        </is>
      </c>
      <c r="G617" s="33" t="n">
        <v>4</v>
      </c>
      <c r="H617" s="33" t="n">
        <v>22.5</v>
      </c>
      <c r="I617" s="33" t="n">
        <v>8</v>
      </c>
      <c r="J617" s="33" t="inlineStr">
        <is>
          <t>N</t>
        </is>
      </c>
      <c r="K617" s="33">
        <f>IF($J617="Y","",IF($F617="BW",$I617,$H617*$I617))</f>
        <v/>
      </c>
      <c r="L617" s="33">
        <f>$D617&amp;"|"&amp;$H617</f>
        <v/>
      </c>
      <c r="M617" s="33" t="n"/>
    </row>
    <row r="618" ht="15" customHeight="1" s="22">
      <c r="A618" s="36" t="n">
        <v>46227</v>
      </c>
      <c r="B618" t="inlineStr">
        <is>
          <t>Fri</t>
        </is>
      </c>
      <c r="C618" t="inlineStr">
        <is>
          <t>Legs + Arms + Shoulders</t>
        </is>
      </c>
      <c r="D618" t="inlineStr">
        <is>
          <t>Bicep Curls (DB)</t>
        </is>
      </c>
      <c r="E618" t="inlineStr">
        <is>
          <t>Dumbbell</t>
        </is>
      </c>
      <c r="F618" t="inlineStr">
        <is>
          <t>lbs</t>
        </is>
      </c>
      <c r="G618" t="n">
        <v>1</v>
      </c>
      <c r="H618" t="n">
        <v>15</v>
      </c>
      <c r="I618" t="n">
        <v>8</v>
      </c>
      <c r="J618" t="inlineStr">
        <is>
          <t>Y</t>
        </is>
      </c>
      <c r="K618" s="26">
        <f>IF($J618="Y","",IF($F618="BW",$I618,$H618*$I618))</f>
        <v/>
      </c>
      <c r="L618" s="26">
        <f>$D618&amp;"|"&amp;$H618</f>
        <v/>
      </c>
    </row>
    <row r="619" ht="15" customHeight="1" s="22">
      <c r="A619" s="36" t="n">
        <v>46227</v>
      </c>
      <c r="B619" t="inlineStr">
        <is>
          <t>Fri</t>
        </is>
      </c>
      <c r="C619" t="inlineStr">
        <is>
          <t>Legs + Arms + Shoulders</t>
        </is>
      </c>
      <c r="D619" t="inlineStr">
        <is>
          <t>Bicep Curls (DB)</t>
        </is>
      </c>
      <c r="E619" t="inlineStr">
        <is>
          <t>Dumbbell</t>
        </is>
      </c>
      <c r="F619" t="inlineStr">
        <is>
          <t>lbs</t>
        </is>
      </c>
      <c r="G619" t="n">
        <v>2</v>
      </c>
      <c r="H619" t="n">
        <v>25</v>
      </c>
      <c r="I619" t="n">
        <v>8</v>
      </c>
      <c r="J619" t="inlineStr">
        <is>
          <t>N</t>
        </is>
      </c>
      <c r="K619" s="26">
        <f>IF($J619="Y","",IF($F619="BW",$I619,$H619*$I619))</f>
        <v/>
      </c>
      <c r="L619" s="26">
        <f>$D619&amp;"|"&amp;$H619</f>
        <v/>
      </c>
    </row>
    <row r="620" ht="15" customHeight="1" s="22">
      <c r="A620" s="36" t="n">
        <v>46227</v>
      </c>
      <c r="B620" t="inlineStr">
        <is>
          <t>Fri</t>
        </is>
      </c>
      <c r="C620" t="inlineStr">
        <is>
          <t>Legs + Arms + Shoulders</t>
        </is>
      </c>
      <c r="D620" t="inlineStr">
        <is>
          <t>Bicep Curls (DB)</t>
        </is>
      </c>
      <c r="E620" t="inlineStr">
        <is>
          <t>Dumbbell</t>
        </is>
      </c>
      <c r="F620" t="inlineStr">
        <is>
          <t>lbs</t>
        </is>
      </c>
      <c r="G620" t="n">
        <v>3</v>
      </c>
      <c r="H620" t="n">
        <v>30</v>
      </c>
      <c r="I620" t="n">
        <v>8</v>
      </c>
      <c r="J620" t="inlineStr">
        <is>
          <t>N</t>
        </is>
      </c>
      <c r="K620" s="26">
        <f>IF($J620="Y","",IF($F620="BW",$I620,$H620*$I620))</f>
        <v/>
      </c>
      <c r="L620" s="26">
        <f>$D620&amp;"|"&amp;$H620</f>
        <v/>
      </c>
    </row>
    <row r="621" ht="15" customHeight="1" s="22">
      <c r="A621" s="36" t="n">
        <v>46227</v>
      </c>
      <c r="B621" t="inlineStr">
        <is>
          <t>Fri</t>
        </is>
      </c>
      <c r="C621" t="inlineStr">
        <is>
          <t>Legs + Arms + Shoulders</t>
        </is>
      </c>
      <c r="D621" t="inlineStr">
        <is>
          <t>Bicep Curls (DB)</t>
        </is>
      </c>
      <c r="E621" t="inlineStr">
        <is>
          <t>Dumbbell</t>
        </is>
      </c>
      <c r="F621" t="inlineStr">
        <is>
          <t>lbs</t>
        </is>
      </c>
      <c r="G621" t="n">
        <v>4</v>
      </c>
      <c r="H621" t="n">
        <v>30</v>
      </c>
      <c r="I621" t="n">
        <v>8</v>
      </c>
      <c r="J621" t="inlineStr">
        <is>
          <t>N</t>
        </is>
      </c>
      <c r="K621" s="26">
        <f>IF($J621="Y","",IF($F621="BW",$I621,$H621*$I621))</f>
        <v/>
      </c>
      <c r="L621" s="26">
        <f>$D621&amp;"|"&amp;$H621</f>
        <v/>
      </c>
    </row>
    <row r="622" ht="15" customHeight="1" s="22">
      <c r="A622" s="36" t="n">
        <v>46227</v>
      </c>
      <c r="B622" t="inlineStr">
        <is>
          <t>Fri</t>
        </is>
      </c>
      <c r="C622" t="inlineStr">
        <is>
          <t>Legs + Arms + Shoulders</t>
        </is>
      </c>
      <c r="D622" t="inlineStr">
        <is>
          <t>Bodyweight Squats</t>
        </is>
      </c>
      <c r="E622" t="inlineStr">
        <is>
          <t>Bodyweight</t>
        </is>
      </c>
      <c r="F622" t="inlineStr">
        <is>
          <t>BW</t>
        </is>
      </c>
      <c r="G622" t="n">
        <v>1</v>
      </c>
      <c r="H622" t="n">
        <v>0</v>
      </c>
      <c r="I622" t="n">
        <v>8</v>
      </c>
      <c r="J622" t="inlineStr">
        <is>
          <t>N</t>
        </is>
      </c>
      <c r="K622" s="26">
        <f>IF($J622="Y","",IF($F622="BW",$I622,$H622*$I622))</f>
        <v/>
      </c>
      <c r="L622" s="26">
        <f>$D622&amp;"|"&amp;$H622</f>
        <v/>
      </c>
    </row>
    <row r="623" ht="15" customHeight="1" s="22">
      <c r="A623" s="36" t="n">
        <v>46227</v>
      </c>
      <c r="B623" t="inlineStr">
        <is>
          <t>Fri</t>
        </is>
      </c>
      <c r="C623" t="inlineStr">
        <is>
          <t>Legs + Arms + Shoulders</t>
        </is>
      </c>
      <c r="D623" t="inlineStr">
        <is>
          <t>Bodyweight Squats</t>
        </is>
      </c>
      <c r="E623" t="inlineStr">
        <is>
          <t>Bodyweight</t>
        </is>
      </c>
      <c r="F623" t="inlineStr">
        <is>
          <t>BW</t>
        </is>
      </c>
      <c r="G623" t="n">
        <v>2</v>
      </c>
      <c r="H623" t="n">
        <v>0</v>
      </c>
      <c r="I623" t="n">
        <v>8</v>
      </c>
      <c r="J623" t="inlineStr">
        <is>
          <t>N</t>
        </is>
      </c>
      <c r="K623" s="26">
        <f>IF($J623="Y","",IF($F623="BW",$I623,$H623*$I623))</f>
        <v/>
      </c>
      <c r="L623" s="26">
        <f>$D623&amp;"|"&amp;$H623</f>
        <v/>
      </c>
    </row>
    <row r="624" ht="15" customHeight="1" s="22">
      <c r="A624" s="36" t="n">
        <v>46227</v>
      </c>
      <c r="B624" t="inlineStr">
        <is>
          <t>Fri</t>
        </is>
      </c>
      <c r="C624" t="inlineStr">
        <is>
          <t>Legs + Arms + Shoulders</t>
        </is>
      </c>
      <c r="D624" t="inlineStr">
        <is>
          <t>RDLs (DB)</t>
        </is>
      </c>
      <c r="E624" t="inlineStr">
        <is>
          <t>Dumbbell</t>
        </is>
      </c>
      <c r="F624" t="inlineStr">
        <is>
          <t>lbs</t>
        </is>
      </c>
      <c r="G624" t="n">
        <v>1</v>
      </c>
      <c r="H624" t="n">
        <v>10</v>
      </c>
      <c r="I624" t="n">
        <v>8</v>
      </c>
      <c r="J624" t="inlineStr">
        <is>
          <t>Y</t>
        </is>
      </c>
      <c r="K624" s="26">
        <f>IF($J624="Y","",IF($F624="BW",$I624,$H624*$I624))</f>
        <v/>
      </c>
      <c r="L624" s="26">
        <f>$D624&amp;"|"&amp;$H624</f>
        <v/>
      </c>
    </row>
    <row r="625" ht="15" customHeight="1" s="22">
      <c r="A625" s="36" t="n">
        <v>46227</v>
      </c>
      <c r="B625" t="inlineStr">
        <is>
          <t>Fri</t>
        </is>
      </c>
      <c r="C625" t="inlineStr">
        <is>
          <t>Legs + Arms + Shoulders</t>
        </is>
      </c>
      <c r="D625" t="inlineStr">
        <is>
          <t>RDLs (DB)</t>
        </is>
      </c>
      <c r="E625" t="inlineStr">
        <is>
          <t>Dumbbell</t>
        </is>
      </c>
      <c r="F625" t="inlineStr">
        <is>
          <t>lbs</t>
        </is>
      </c>
      <c r="G625" t="n">
        <v>2</v>
      </c>
      <c r="H625" t="n">
        <v>20</v>
      </c>
      <c r="I625" t="n">
        <v>8</v>
      </c>
      <c r="J625" t="inlineStr">
        <is>
          <t>N</t>
        </is>
      </c>
      <c r="K625" s="26">
        <f>IF($J625="Y","",IF($F625="BW",$I625,$H625*$I625))</f>
        <v/>
      </c>
      <c r="L625" s="26">
        <f>$D625&amp;"|"&amp;$H625</f>
        <v/>
      </c>
    </row>
    <row r="626" ht="15" customHeight="1" s="22">
      <c r="A626" s="36" t="n">
        <v>46227</v>
      </c>
      <c r="B626" t="inlineStr">
        <is>
          <t>Fri</t>
        </is>
      </c>
      <c r="C626" t="inlineStr">
        <is>
          <t>Legs + Arms + Shoulders</t>
        </is>
      </c>
      <c r="D626" t="inlineStr">
        <is>
          <t>RDLs (DB)</t>
        </is>
      </c>
      <c r="E626" t="inlineStr">
        <is>
          <t>Dumbbell</t>
        </is>
      </c>
      <c r="F626" t="inlineStr">
        <is>
          <t>lbs</t>
        </is>
      </c>
      <c r="G626" t="n">
        <v>3</v>
      </c>
      <c r="H626" t="n">
        <v>25</v>
      </c>
      <c r="I626" t="n">
        <v>8</v>
      </c>
      <c r="J626" t="inlineStr">
        <is>
          <t>N</t>
        </is>
      </c>
      <c r="K626" s="26">
        <f>IF($J626="Y","",IF($F626="BW",$I626,$H626*$I626))</f>
        <v/>
      </c>
      <c r="L626" s="26">
        <f>$D626&amp;"|"&amp;$H626</f>
        <v/>
      </c>
    </row>
    <row r="627" ht="15" customHeight="1" s="22">
      <c r="A627" s="36" t="n">
        <v>46227</v>
      </c>
      <c r="B627" t="inlineStr">
        <is>
          <t>Fri</t>
        </is>
      </c>
      <c r="C627" t="inlineStr">
        <is>
          <t>Legs + Arms + Shoulders</t>
        </is>
      </c>
      <c r="D627" t="inlineStr">
        <is>
          <t>RDLs (DB)</t>
        </is>
      </c>
      <c r="E627" t="inlineStr">
        <is>
          <t>Dumbbell</t>
        </is>
      </c>
      <c r="F627" t="inlineStr">
        <is>
          <t>lbs</t>
        </is>
      </c>
      <c r="G627" t="n">
        <v>4</v>
      </c>
      <c r="H627" t="n">
        <v>30</v>
      </c>
      <c r="I627" t="n">
        <v>8</v>
      </c>
      <c r="J627" t="inlineStr">
        <is>
          <t>N</t>
        </is>
      </c>
      <c r="K627" s="26">
        <f>IF($J627="Y","",IF($F627="BW",$I627,$H627*$I627))</f>
        <v/>
      </c>
      <c r="L627" s="26">
        <f>$D627&amp;"|"&amp;$H627</f>
        <v/>
      </c>
    </row>
    <row r="628" ht="15" customHeight="1" s="22">
      <c r="A628" s="36" t="n">
        <v>46227</v>
      </c>
      <c r="B628" t="inlineStr">
        <is>
          <t>Fri</t>
        </is>
      </c>
      <c r="C628" t="inlineStr">
        <is>
          <t>Legs + Arms + Shoulders</t>
        </is>
      </c>
      <c r="D628" t="inlineStr">
        <is>
          <t>Lateral Raises</t>
        </is>
      </c>
      <c r="E628" t="inlineStr">
        <is>
          <t>Dumbbell</t>
        </is>
      </c>
      <c r="F628" t="inlineStr">
        <is>
          <t>lbs</t>
        </is>
      </c>
      <c r="G628" t="n">
        <v>1</v>
      </c>
      <c r="H628" t="n">
        <v>10</v>
      </c>
      <c r="I628" t="n">
        <v>8</v>
      </c>
      <c r="J628" t="inlineStr">
        <is>
          <t>N</t>
        </is>
      </c>
      <c r="K628" s="26">
        <f>IF($J628="Y","",IF($F628="BW",$I628,$H628*$I628))</f>
        <v/>
      </c>
      <c r="L628" s="26">
        <f>$D628&amp;"|"&amp;$H628</f>
        <v/>
      </c>
    </row>
    <row r="629" ht="15" customHeight="1" s="22">
      <c r="A629" s="36" t="n">
        <v>46227</v>
      </c>
      <c r="B629" t="inlineStr">
        <is>
          <t>Fri</t>
        </is>
      </c>
      <c r="C629" t="inlineStr">
        <is>
          <t>Legs + Arms + Shoulders</t>
        </is>
      </c>
      <c r="D629" t="inlineStr">
        <is>
          <t>Lateral Raises</t>
        </is>
      </c>
      <c r="E629" t="inlineStr">
        <is>
          <t>Dumbbell</t>
        </is>
      </c>
      <c r="F629" t="inlineStr">
        <is>
          <t>lbs</t>
        </is>
      </c>
      <c r="G629" t="n">
        <v>2</v>
      </c>
      <c r="H629" t="n">
        <v>15</v>
      </c>
      <c r="I629" t="n">
        <v>8</v>
      </c>
      <c r="J629" t="inlineStr">
        <is>
          <t>N</t>
        </is>
      </c>
      <c r="K629" s="26">
        <f>IF($J629="Y","",IF($F629="BW",$I629,$H629*$I629))</f>
        <v/>
      </c>
      <c r="L629" s="26">
        <f>$D629&amp;"|"&amp;$H629</f>
        <v/>
      </c>
    </row>
    <row r="630" ht="15" customHeight="1" s="22">
      <c r="A630" s="36" t="n">
        <v>46227</v>
      </c>
      <c r="B630" t="inlineStr">
        <is>
          <t>Fri</t>
        </is>
      </c>
      <c r="C630" t="inlineStr">
        <is>
          <t>Legs + Arms + Shoulders</t>
        </is>
      </c>
      <c r="D630" t="inlineStr">
        <is>
          <t>Lateral Raises</t>
        </is>
      </c>
      <c r="E630" t="inlineStr">
        <is>
          <t>Dumbbell</t>
        </is>
      </c>
      <c r="F630" t="inlineStr">
        <is>
          <t>lbs</t>
        </is>
      </c>
      <c r="G630" t="n">
        <v>3</v>
      </c>
      <c r="H630" t="n">
        <v>15</v>
      </c>
      <c r="I630" t="n">
        <v>8</v>
      </c>
      <c r="J630" t="inlineStr">
        <is>
          <t>N</t>
        </is>
      </c>
      <c r="K630" s="26">
        <f>IF($J630="Y","",IF($F630="BW",$I630,$H630*$I630))</f>
        <v/>
      </c>
      <c r="L630" s="26">
        <f>$D630&amp;"|"&amp;$H630</f>
        <v/>
      </c>
    </row>
    <row r="631" ht="15" customHeight="1" s="22">
      <c r="A631" s="36" t="n">
        <v>46227</v>
      </c>
      <c r="B631" t="inlineStr">
        <is>
          <t>Fri</t>
        </is>
      </c>
      <c r="C631" t="inlineStr">
        <is>
          <t>Legs + Arms + Shoulders</t>
        </is>
      </c>
      <c r="D631" t="inlineStr">
        <is>
          <t>Calf Raises (DB)</t>
        </is>
      </c>
      <c r="E631" t="inlineStr">
        <is>
          <t>Dumbbell</t>
        </is>
      </c>
      <c r="F631" t="inlineStr">
        <is>
          <t>lbs</t>
        </is>
      </c>
      <c r="G631" t="n">
        <v>1</v>
      </c>
      <c r="H631" t="n">
        <v>15</v>
      </c>
      <c r="I631" t="n">
        <v>8</v>
      </c>
      <c r="J631" t="inlineStr">
        <is>
          <t>Y</t>
        </is>
      </c>
      <c r="K631" s="26">
        <f>IF($J631="Y","",IF($F631="BW",$I631,$H631*$I631))</f>
        <v/>
      </c>
      <c r="L631" s="26">
        <f>$D631&amp;"|"&amp;$H631</f>
        <v/>
      </c>
    </row>
    <row r="632" ht="15" customHeight="1" s="22">
      <c r="A632" s="36" t="n">
        <v>46227</v>
      </c>
      <c r="B632" t="inlineStr">
        <is>
          <t>Fri</t>
        </is>
      </c>
      <c r="C632" t="inlineStr">
        <is>
          <t>Legs + Arms + Shoulders</t>
        </is>
      </c>
      <c r="D632" t="inlineStr">
        <is>
          <t>Calf Raises (DB)</t>
        </is>
      </c>
      <c r="E632" t="inlineStr">
        <is>
          <t>Dumbbell</t>
        </is>
      </c>
      <c r="F632" t="inlineStr">
        <is>
          <t>lbs</t>
        </is>
      </c>
      <c r="G632" t="n">
        <v>2</v>
      </c>
      <c r="H632" t="n">
        <v>25</v>
      </c>
      <c r="I632" t="n">
        <v>8</v>
      </c>
      <c r="J632" t="inlineStr">
        <is>
          <t>N</t>
        </is>
      </c>
      <c r="K632" s="26">
        <f>IF($J632="Y","",IF($F632="BW",$I632,$H632*$I632))</f>
        <v/>
      </c>
      <c r="L632" s="26">
        <f>$D632&amp;"|"&amp;$H632</f>
        <v/>
      </c>
    </row>
    <row r="633" ht="15" customHeight="1" s="22">
      <c r="A633" s="36" t="n">
        <v>46227</v>
      </c>
      <c r="B633" t="inlineStr">
        <is>
          <t>Fri</t>
        </is>
      </c>
      <c r="C633" t="inlineStr">
        <is>
          <t>Legs + Arms + Shoulders</t>
        </is>
      </c>
      <c r="D633" t="inlineStr">
        <is>
          <t>Calf Raises (DB)</t>
        </is>
      </c>
      <c r="E633" t="inlineStr">
        <is>
          <t>Dumbbell</t>
        </is>
      </c>
      <c r="F633" t="inlineStr">
        <is>
          <t>lbs</t>
        </is>
      </c>
      <c r="G633" t="n">
        <v>3</v>
      </c>
      <c r="H633" t="n">
        <v>25</v>
      </c>
      <c r="I633" t="n">
        <v>8</v>
      </c>
      <c r="J633" t="inlineStr">
        <is>
          <t>N</t>
        </is>
      </c>
      <c r="K633" s="26">
        <f>IF($J633="Y","",IF($F633="BW",$I633,$H633*$I633))</f>
        <v/>
      </c>
      <c r="L633" s="26">
        <f>$D633&amp;"|"&amp;$H633</f>
        <v/>
      </c>
    </row>
    <row r="634" ht="15" customHeight="1" s="22">
      <c r="A634" s="36" t="n">
        <v>46227</v>
      </c>
      <c r="B634" t="inlineStr">
        <is>
          <t>Fri</t>
        </is>
      </c>
      <c r="C634" t="inlineStr">
        <is>
          <t>Legs + Arms + Shoulders</t>
        </is>
      </c>
      <c r="D634" t="inlineStr">
        <is>
          <t>Calf Raises (DB)</t>
        </is>
      </c>
      <c r="E634" t="inlineStr">
        <is>
          <t>Dumbbell</t>
        </is>
      </c>
      <c r="F634" t="inlineStr">
        <is>
          <t>lbs</t>
        </is>
      </c>
      <c r="G634" t="n">
        <v>4</v>
      </c>
      <c r="H634" t="n">
        <v>25</v>
      </c>
      <c r="I634" t="n">
        <v>8</v>
      </c>
      <c r="J634" t="inlineStr">
        <is>
          <t>N</t>
        </is>
      </c>
      <c r="K634" s="26">
        <f>IF($J634="Y","",IF($F634="BW",$I634,$H634*$I634))</f>
        <v/>
      </c>
      <c r="L634" s="26">
        <f>$D634&amp;"|"&amp;$H634</f>
        <v/>
      </c>
    </row>
    <row r="635" ht="15" customHeight="1" s="22">
      <c r="A635" s="36" t="n">
        <v>46229</v>
      </c>
      <c r="B635" t="inlineStr">
        <is>
          <t>Sun</t>
        </is>
      </c>
      <c r="C635" t="inlineStr">
        <is>
          <t>Cardio + Push</t>
        </is>
      </c>
      <c r="D635" t="inlineStr">
        <is>
          <t>Bench Press (Smith)</t>
        </is>
      </c>
      <c r="E635" t="inlineStr">
        <is>
          <t>Smith</t>
        </is>
      </c>
      <c r="F635" t="inlineStr">
        <is>
          <t>lbs</t>
        </is>
      </c>
      <c r="G635" t="n">
        <v>1</v>
      </c>
      <c r="H635" t="n">
        <v>30</v>
      </c>
      <c r="I635" t="n">
        <v>8</v>
      </c>
      <c r="J635" t="inlineStr">
        <is>
          <t>Y</t>
        </is>
      </c>
      <c r="K635" s="26">
        <f>IF($J635="Y","",IF($F635="BW",$I635,$H635*$I635))</f>
        <v/>
      </c>
      <c r="L635" s="26">
        <f>$D635&amp;"|"&amp;$H635</f>
        <v/>
      </c>
    </row>
    <row r="636" ht="15" customHeight="1" s="22">
      <c r="A636" s="36" t="n">
        <v>46229</v>
      </c>
      <c r="B636" t="inlineStr">
        <is>
          <t>Sun</t>
        </is>
      </c>
      <c r="C636" t="inlineStr">
        <is>
          <t>Cardio + Push</t>
        </is>
      </c>
      <c r="D636" t="inlineStr">
        <is>
          <t>Bench Press (Smith)</t>
        </is>
      </c>
      <c r="E636" t="inlineStr">
        <is>
          <t>Smith</t>
        </is>
      </c>
      <c r="F636" t="inlineStr">
        <is>
          <t>lbs</t>
        </is>
      </c>
      <c r="G636" t="n">
        <v>2</v>
      </c>
      <c r="H636" t="n">
        <v>70</v>
      </c>
      <c r="I636" t="n">
        <v>8</v>
      </c>
      <c r="J636" t="inlineStr">
        <is>
          <t>N</t>
        </is>
      </c>
      <c r="K636" s="26">
        <f>IF($J636="Y","",IF($F636="BW",$I636,$H636*$I636))</f>
        <v/>
      </c>
      <c r="L636" s="26">
        <f>$D636&amp;"|"&amp;$H636</f>
        <v/>
      </c>
    </row>
    <row r="637" ht="15" customHeight="1" s="22">
      <c r="A637" s="36" t="n">
        <v>46229</v>
      </c>
      <c r="B637" t="inlineStr">
        <is>
          <t>Sun</t>
        </is>
      </c>
      <c r="C637" t="inlineStr">
        <is>
          <t>Cardio + Push</t>
        </is>
      </c>
      <c r="D637" t="inlineStr">
        <is>
          <t>Bench Press (Smith)</t>
        </is>
      </c>
      <c r="E637" t="inlineStr">
        <is>
          <t>Smith</t>
        </is>
      </c>
      <c r="F637" t="inlineStr">
        <is>
          <t>lbs</t>
        </is>
      </c>
      <c r="G637" t="n">
        <v>3</v>
      </c>
      <c r="H637" t="n">
        <v>80</v>
      </c>
      <c r="I637" t="n">
        <v>8</v>
      </c>
      <c r="J637" t="inlineStr">
        <is>
          <t>N</t>
        </is>
      </c>
      <c r="K637" s="26">
        <f>IF($J637="Y","",IF($F637="BW",$I637,$H637*$I637))</f>
        <v/>
      </c>
      <c r="L637" s="26">
        <f>$D637&amp;"|"&amp;$H637</f>
        <v/>
      </c>
    </row>
    <row r="638" ht="15" customHeight="1" s="22">
      <c r="A638" s="36" t="n">
        <v>46229</v>
      </c>
      <c r="B638" t="inlineStr">
        <is>
          <t>Sun</t>
        </is>
      </c>
      <c r="C638" t="inlineStr">
        <is>
          <t>Cardio + Push</t>
        </is>
      </c>
      <c r="D638" t="inlineStr">
        <is>
          <t>Bench Press (Smith)</t>
        </is>
      </c>
      <c r="E638" t="inlineStr">
        <is>
          <t>Smith</t>
        </is>
      </c>
      <c r="F638" t="inlineStr">
        <is>
          <t>lbs</t>
        </is>
      </c>
      <c r="G638" t="n">
        <v>4</v>
      </c>
      <c r="H638" t="n">
        <v>80</v>
      </c>
      <c r="I638" t="n">
        <v>8</v>
      </c>
      <c r="J638" t="inlineStr">
        <is>
          <t>N</t>
        </is>
      </c>
      <c r="K638" s="26">
        <f>IF($J638="Y","",IF($F638="BW",$I638,$H638*$I638))</f>
        <v/>
      </c>
      <c r="L638" s="26">
        <f>$D638&amp;"|"&amp;$H638</f>
        <v/>
      </c>
    </row>
    <row r="639" ht="15" customHeight="1" s="22">
      <c r="A639" s="36" t="n">
        <v>46229</v>
      </c>
      <c r="B639" t="inlineStr">
        <is>
          <t>Sun</t>
        </is>
      </c>
      <c r="C639" t="inlineStr">
        <is>
          <t>Cardio + Push</t>
        </is>
      </c>
      <c r="D639" t="inlineStr">
        <is>
          <t>Shoulder Press</t>
        </is>
      </c>
      <c r="E639" t="inlineStr">
        <is>
          <t>Dumbbell</t>
        </is>
      </c>
      <c r="F639" t="inlineStr">
        <is>
          <t>lbs</t>
        </is>
      </c>
      <c r="G639" t="n">
        <v>1</v>
      </c>
      <c r="H639" t="n">
        <v>15</v>
      </c>
      <c r="I639" t="n">
        <v>8</v>
      </c>
      <c r="J639" t="inlineStr">
        <is>
          <t>Y</t>
        </is>
      </c>
      <c r="K639" s="26">
        <f>IF($J639="Y","",IF($F639="BW",$I639,$H639*$I639))</f>
        <v/>
      </c>
      <c r="L639" s="26">
        <f>$D639&amp;"|"&amp;$H639</f>
        <v/>
      </c>
    </row>
    <row r="640" ht="15" customHeight="1" s="22">
      <c r="A640" s="36" t="n">
        <v>46229</v>
      </c>
      <c r="B640" t="inlineStr">
        <is>
          <t>Sun</t>
        </is>
      </c>
      <c r="C640" t="inlineStr">
        <is>
          <t>Cardio + Push</t>
        </is>
      </c>
      <c r="D640" t="inlineStr">
        <is>
          <t>Shoulder Press</t>
        </is>
      </c>
      <c r="E640" t="inlineStr">
        <is>
          <t>Dumbbell</t>
        </is>
      </c>
      <c r="F640" t="inlineStr">
        <is>
          <t>lbs</t>
        </is>
      </c>
      <c r="G640" t="n">
        <v>2</v>
      </c>
      <c r="H640" t="n">
        <v>25</v>
      </c>
      <c r="I640" t="n">
        <v>8</v>
      </c>
      <c r="J640" t="inlineStr">
        <is>
          <t>N</t>
        </is>
      </c>
      <c r="K640" s="26">
        <f>IF($J640="Y","",IF($F640="BW",$I640,$H640*$I640))</f>
        <v/>
      </c>
      <c r="L640" s="26">
        <f>$D640&amp;"|"&amp;$H640</f>
        <v/>
      </c>
    </row>
    <row r="641" ht="15" customHeight="1" s="22">
      <c r="A641" s="36" t="n">
        <v>46229</v>
      </c>
      <c r="B641" t="inlineStr">
        <is>
          <t>Sun</t>
        </is>
      </c>
      <c r="C641" t="inlineStr">
        <is>
          <t>Cardio + Push</t>
        </is>
      </c>
      <c r="D641" t="inlineStr">
        <is>
          <t>Shoulder Press</t>
        </is>
      </c>
      <c r="E641" t="inlineStr">
        <is>
          <t>Dumbbell</t>
        </is>
      </c>
      <c r="F641" t="inlineStr">
        <is>
          <t>lbs</t>
        </is>
      </c>
      <c r="G641" t="n">
        <v>3</v>
      </c>
      <c r="H641" t="n">
        <v>30</v>
      </c>
      <c r="I641" t="n">
        <v>8</v>
      </c>
      <c r="J641" t="inlineStr">
        <is>
          <t>N</t>
        </is>
      </c>
      <c r="K641" s="26">
        <f>IF($J641="Y","",IF($F641="BW",$I641,$H641*$I641))</f>
        <v/>
      </c>
      <c r="L641" s="26">
        <f>$D641&amp;"|"&amp;$H641</f>
        <v/>
      </c>
    </row>
    <row r="642" ht="15" customHeight="1" s="22">
      <c r="A642" s="36" t="n">
        <v>46229</v>
      </c>
      <c r="B642" t="inlineStr">
        <is>
          <t>Sun</t>
        </is>
      </c>
      <c r="C642" t="inlineStr">
        <is>
          <t>Cardio + Push</t>
        </is>
      </c>
      <c r="D642" t="inlineStr">
        <is>
          <t>Shoulder Press</t>
        </is>
      </c>
      <c r="E642" t="inlineStr">
        <is>
          <t>Dumbbell</t>
        </is>
      </c>
      <c r="F642" t="inlineStr">
        <is>
          <t>lbs</t>
        </is>
      </c>
      <c r="G642" t="n">
        <v>4</v>
      </c>
      <c r="H642" t="n">
        <v>30</v>
      </c>
      <c r="I642" t="n">
        <v>8</v>
      </c>
      <c r="J642" t="inlineStr">
        <is>
          <t>N</t>
        </is>
      </c>
      <c r="K642" s="26">
        <f>IF($J642="Y","",IF($F642="BW",$I642,$H642*$I642))</f>
        <v/>
      </c>
      <c r="L642" s="26">
        <f>$D642&amp;"|"&amp;$H642</f>
        <v/>
      </c>
    </row>
    <row r="643" ht="15" customHeight="1" s="22">
      <c r="A643" s="36" t="n">
        <v>46229</v>
      </c>
      <c r="B643" t="inlineStr">
        <is>
          <t>Sun</t>
        </is>
      </c>
      <c r="C643" t="inlineStr">
        <is>
          <t>Cardio + Push</t>
        </is>
      </c>
      <c r="D643" t="inlineStr">
        <is>
          <t>Incline Bench (DB)</t>
        </is>
      </c>
      <c r="E643" t="inlineStr">
        <is>
          <t>Dumbbell</t>
        </is>
      </c>
      <c r="F643" t="inlineStr">
        <is>
          <t>lbs</t>
        </is>
      </c>
      <c r="G643" t="n">
        <v>1</v>
      </c>
      <c r="H643" t="n">
        <v>25</v>
      </c>
      <c r="I643" t="n">
        <v>8</v>
      </c>
      <c r="J643" t="inlineStr">
        <is>
          <t>Y</t>
        </is>
      </c>
      <c r="K643" s="26">
        <f>IF($J643="Y","",IF($F643="BW",$I643,$H643*$I643))</f>
        <v/>
      </c>
      <c r="L643" s="26">
        <f>$D643&amp;"|"&amp;$H643</f>
        <v/>
      </c>
    </row>
    <row r="644" ht="15" customHeight="1" s="22">
      <c r="A644" s="36" t="n">
        <v>46229</v>
      </c>
      <c r="B644" t="inlineStr">
        <is>
          <t>Sun</t>
        </is>
      </c>
      <c r="C644" t="inlineStr">
        <is>
          <t>Cardio + Push</t>
        </is>
      </c>
      <c r="D644" t="inlineStr">
        <is>
          <t>Incline Bench (DB)</t>
        </is>
      </c>
      <c r="E644" t="inlineStr">
        <is>
          <t>Dumbbell</t>
        </is>
      </c>
      <c r="F644" t="inlineStr">
        <is>
          <t>lbs</t>
        </is>
      </c>
      <c r="G644" t="n">
        <v>2</v>
      </c>
      <c r="H644" t="n">
        <v>40</v>
      </c>
      <c r="I644" t="n">
        <v>8</v>
      </c>
      <c r="J644" t="inlineStr">
        <is>
          <t>N</t>
        </is>
      </c>
      <c r="K644" s="26">
        <f>IF($J644="Y","",IF($F644="BW",$I644,$H644*$I644))</f>
        <v/>
      </c>
      <c r="L644" s="26">
        <f>$D644&amp;"|"&amp;$H644</f>
        <v/>
      </c>
    </row>
    <row r="645" ht="15" customHeight="1" s="22">
      <c r="A645" s="36" t="n">
        <v>46229</v>
      </c>
      <c r="B645" t="inlineStr">
        <is>
          <t>Sun</t>
        </is>
      </c>
      <c r="C645" t="inlineStr">
        <is>
          <t>Cardio + Push</t>
        </is>
      </c>
      <c r="D645" t="inlineStr">
        <is>
          <t>Incline Bench (DB)</t>
        </is>
      </c>
      <c r="E645" t="inlineStr">
        <is>
          <t>Dumbbell</t>
        </is>
      </c>
      <c r="F645" t="inlineStr">
        <is>
          <t>lbs</t>
        </is>
      </c>
      <c r="G645" t="n">
        <v>3</v>
      </c>
      <c r="H645" t="n">
        <v>40</v>
      </c>
      <c r="I645" t="n">
        <v>8</v>
      </c>
      <c r="J645" t="inlineStr">
        <is>
          <t>N</t>
        </is>
      </c>
      <c r="K645" s="26">
        <f>IF($J645="Y","",IF($F645="BW",$I645,$H645*$I645))</f>
        <v/>
      </c>
      <c r="L645" s="26">
        <f>$D645&amp;"|"&amp;$H645</f>
        <v/>
      </c>
    </row>
    <row r="646" ht="15" customHeight="1" s="22">
      <c r="A646" s="36" t="n">
        <v>46229</v>
      </c>
      <c r="B646" t="inlineStr">
        <is>
          <t>Sun</t>
        </is>
      </c>
      <c r="C646" t="inlineStr">
        <is>
          <t>Cardio + Push</t>
        </is>
      </c>
      <c r="D646" t="inlineStr">
        <is>
          <t>Incline Bench (DB)</t>
        </is>
      </c>
      <c r="E646" t="inlineStr">
        <is>
          <t>Dumbbell</t>
        </is>
      </c>
      <c r="F646" t="inlineStr">
        <is>
          <t>lbs</t>
        </is>
      </c>
      <c r="G646" t="n">
        <v>4</v>
      </c>
      <c r="H646" t="n">
        <v>40</v>
      </c>
      <c r="I646" t="n">
        <v>8</v>
      </c>
      <c r="J646" t="inlineStr">
        <is>
          <t>N</t>
        </is>
      </c>
      <c r="K646" s="26">
        <f>IF($J646="Y","",IF($F646="BW",$I646,$H646*$I646))</f>
        <v/>
      </c>
      <c r="L646" s="26">
        <f>$D646&amp;"|"&amp;$H646</f>
        <v/>
      </c>
    </row>
    <row r="647" ht="15" customHeight="1" s="22">
      <c r="A647" s="36" t="n">
        <v>46230</v>
      </c>
      <c r="B647" t="inlineStr">
        <is>
          <t>Mon</t>
        </is>
      </c>
      <c r="C647" t="inlineStr">
        <is>
          <t>Upper (travel)</t>
        </is>
      </c>
      <c r="D647" t="inlineStr">
        <is>
          <t>Assisted Pull-ups</t>
        </is>
      </c>
      <c r="E647" t="inlineStr">
        <is>
          <t>Machine</t>
        </is>
      </c>
      <c r="F647" t="inlineStr">
        <is>
          <t>lbs</t>
        </is>
      </c>
      <c r="G647" t="n">
        <v>1</v>
      </c>
      <c r="H647" t="n">
        <v>55</v>
      </c>
      <c r="I647" t="n">
        <v>5</v>
      </c>
      <c r="J647" t="inlineStr">
        <is>
          <t>N</t>
        </is>
      </c>
      <c r="K647" s="26">
        <f>IF($J647="Y","",IF($F647="BW",$I647,$H647*$I647))</f>
        <v/>
      </c>
      <c r="L647" s="26">
        <f>$D647&amp;"|"&amp;$H647</f>
        <v/>
      </c>
    </row>
    <row r="648" ht="15" customHeight="1" s="22">
      <c r="A648" s="36" t="n">
        <v>46230</v>
      </c>
      <c r="B648" t="inlineStr">
        <is>
          <t>Mon</t>
        </is>
      </c>
      <c r="C648" t="inlineStr">
        <is>
          <t>Upper (travel)</t>
        </is>
      </c>
      <c r="D648" t="inlineStr">
        <is>
          <t>Assisted Pull-ups</t>
        </is>
      </c>
      <c r="E648" t="inlineStr">
        <is>
          <t>Machine</t>
        </is>
      </c>
      <c r="F648" t="inlineStr">
        <is>
          <t>lbs</t>
        </is>
      </c>
      <c r="G648" t="n">
        <v>2</v>
      </c>
      <c r="H648" t="n">
        <v>55</v>
      </c>
      <c r="I648" t="n">
        <v>5</v>
      </c>
      <c r="J648" t="inlineStr">
        <is>
          <t>N</t>
        </is>
      </c>
      <c r="K648" s="26">
        <f>IF($J648="Y","",IF($F648="BW",$I648,$H648*$I648))</f>
        <v/>
      </c>
      <c r="L648" s="26">
        <f>$D648&amp;"|"&amp;$H648</f>
        <v/>
      </c>
    </row>
    <row r="649" ht="15" customHeight="1" s="22">
      <c r="A649" s="36" t="n">
        <v>46230</v>
      </c>
      <c r="B649" t="inlineStr">
        <is>
          <t>Mon</t>
        </is>
      </c>
      <c r="C649" t="inlineStr">
        <is>
          <t>Upper (travel)</t>
        </is>
      </c>
      <c r="D649" t="inlineStr">
        <is>
          <t>Assisted Neutral Grip Pull-ups</t>
        </is>
      </c>
      <c r="E649" t="inlineStr">
        <is>
          <t>Machine</t>
        </is>
      </c>
      <c r="F649" t="inlineStr">
        <is>
          <t>lbs</t>
        </is>
      </c>
      <c r="G649" t="n">
        <v>1</v>
      </c>
      <c r="H649" t="n">
        <v>55</v>
      </c>
      <c r="I649" t="n">
        <v>5</v>
      </c>
      <c r="J649" t="inlineStr">
        <is>
          <t>N</t>
        </is>
      </c>
      <c r="K649" s="26">
        <f>IF($J649="Y","",IF($F649="BW",$I649,$H649*$I649))</f>
        <v/>
      </c>
      <c r="L649" s="26">
        <f>$D649&amp;"|"&amp;$H649</f>
        <v/>
      </c>
    </row>
    <row r="650" ht="15" customHeight="1" s="22">
      <c r="A650" s="36" t="n">
        <v>46230</v>
      </c>
      <c r="B650" t="inlineStr">
        <is>
          <t>Mon</t>
        </is>
      </c>
      <c r="C650" t="inlineStr">
        <is>
          <t>Upper (travel)</t>
        </is>
      </c>
      <c r="D650" t="inlineStr">
        <is>
          <t>Assisted Neutral Grip Pull-ups</t>
        </is>
      </c>
      <c r="E650" t="inlineStr">
        <is>
          <t>Machine</t>
        </is>
      </c>
      <c r="F650" t="inlineStr">
        <is>
          <t>lbs</t>
        </is>
      </c>
      <c r="G650" t="n">
        <v>2</v>
      </c>
      <c r="H650" t="n">
        <v>55</v>
      </c>
      <c r="I650" t="n">
        <v>5</v>
      </c>
      <c r="J650" t="inlineStr">
        <is>
          <t>N</t>
        </is>
      </c>
      <c r="K650" s="26">
        <f>IF($J650="Y","",IF($F650="BW",$I650,$H650*$I650))</f>
        <v/>
      </c>
      <c r="L650" s="26">
        <f>$D650&amp;"|"&amp;$H650</f>
        <v/>
      </c>
    </row>
    <row r="651" ht="15" customHeight="1" s="22">
      <c r="A651" s="36" t="n">
        <v>46230</v>
      </c>
      <c r="B651" t="inlineStr">
        <is>
          <t>Mon</t>
        </is>
      </c>
      <c r="C651" t="inlineStr">
        <is>
          <t>Upper (travel)</t>
        </is>
      </c>
      <c r="D651" t="inlineStr">
        <is>
          <t>Assisted Chin-ups</t>
        </is>
      </c>
      <c r="E651" t="inlineStr">
        <is>
          <t>Machine</t>
        </is>
      </c>
      <c r="F651" t="inlineStr">
        <is>
          <t>lbs</t>
        </is>
      </c>
      <c r="G651" t="n">
        <v>1</v>
      </c>
      <c r="H651" t="n">
        <v>55</v>
      </c>
      <c r="I651" t="n">
        <v>5</v>
      </c>
      <c r="J651" t="inlineStr">
        <is>
          <t>N</t>
        </is>
      </c>
      <c r="K651" s="26">
        <f>IF($J651="Y","",IF($F651="BW",$I651,$H651*$I651))</f>
        <v/>
      </c>
      <c r="L651" s="26">
        <f>$D651&amp;"|"&amp;$H651</f>
        <v/>
      </c>
    </row>
    <row r="652" ht="15" customHeight="1" s="22">
      <c r="A652" s="36" t="n">
        <v>46230</v>
      </c>
      <c r="B652" t="inlineStr">
        <is>
          <t>Mon</t>
        </is>
      </c>
      <c r="C652" t="inlineStr">
        <is>
          <t>Upper (travel)</t>
        </is>
      </c>
      <c r="D652" t="inlineStr">
        <is>
          <t>Assisted Chin-ups</t>
        </is>
      </c>
      <c r="E652" t="inlineStr">
        <is>
          <t>Machine</t>
        </is>
      </c>
      <c r="F652" t="inlineStr">
        <is>
          <t>lbs</t>
        </is>
      </c>
      <c r="G652" t="n">
        <v>2</v>
      </c>
      <c r="H652" t="n">
        <v>55</v>
      </c>
      <c r="I652" t="n">
        <v>5</v>
      </c>
      <c r="J652" t="inlineStr">
        <is>
          <t>N</t>
        </is>
      </c>
      <c r="K652" s="26">
        <f>IF($J652="Y","",IF($F652="BW",$I652,$H652*$I652))</f>
        <v/>
      </c>
      <c r="L652" s="26">
        <f>$D652&amp;"|"&amp;$H652</f>
        <v/>
      </c>
    </row>
    <row r="653" ht="15" customHeight="1" s="22">
      <c r="A653" s="36" t="n">
        <v>46230</v>
      </c>
      <c r="B653" t="inlineStr">
        <is>
          <t>Mon</t>
        </is>
      </c>
      <c r="C653" t="inlineStr">
        <is>
          <t>Upper (travel)</t>
        </is>
      </c>
      <c r="D653" t="inlineStr">
        <is>
          <t>Dips</t>
        </is>
      </c>
      <c r="E653" t="inlineStr">
        <is>
          <t>Machine</t>
        </is>
      </c>
      <c r="F653" t="inlineStr">
        <is>
          <t>lbs</t>
        </is>
      </c>
      <c r="G653" t="n">
        <v>1</v>
      </c>
      <c r="H653" t="n">
        <v>55</v>
      </c>
      <c r="I653" t="n">
        <v>8</v>
      </c>
      <c r="J653" t="inlineStr">
        <is>
          <t>N</t>
        </is>
      </c>
      <c r="K653" s="26">
        <f>IF($J653="Y","",IF($F653="BW",$I653,$H653*$I653))</f>
        <v/>
      </c>
      <c r="L653" s="26">
        <f>$D653&amp;"|"&amp;$H653</f>
        <v/>
      </c>
    </row>
    <row r="654" ht="15" customHeight="1" s="22">
      <c r="A654" s="36" t="n">
        <v>46230</v>
      </c>
      <c r="B654" t="inlineStr">
        <is>
          <t>Mon</t>
        </is>
      </c>
      <c r="C654" t="inlineStr">
        <is>
          <t>Upper (travel)</t>
        </is>
      </c>
      <c r="D654" t="inlineStr">
        <is>
          <t>Dips</t>
        </is>
      </c>
      <c r="E654" t="inlineStr">
        <is>
          <t>Machine</t>
        </is>
      </c>
      <c r="F654" t="inlineStr">
        <is>
          <t>lbs</t>
        </is>
      </c>
      <c r="G654" t="n">
        <v>2</v>
      </c>
      <c r="H654" t="n">
        <v>55</v>
      </c>
      <c r="I654" t="n">
        <v>8</v>
      </c>
      <c r="J654" t="inlineStr">
        <is>
          <t>N</t>
        </is>
      </c>
      <c r="K654" s="26">
        <f>IF($J654="Y","",IF($F654="BW",$I654,$H654*$I654))</f>
        <v/>
      </c>
      <c r="L654" s="26">
        <f>$D654&amp;"|"&amp;$H654</f>
        <v/>
      </c>
    </row>
    <row r="655" ht="15" customHeight="1" s="22">
      <c r="A655" s="36" t="n">
        <v>46230</v>
      </c>
      <c r="B655" t="inlineStr">
        <is>
          <t>Mon</t>
        </is>
      </c>
      <c r="C655" t="inlineStr">
        <is>
          <t>Upper (travel)</t>
        </is>
      </c>
      <c r="D655" t="inlineStr">
        <is>
          <t>DB Rows</t>
        </is>
      </c>
      <c r="E655" t="inlineStr">
        <is>
          <t>Dumbbell</t>
        </is>
      </c>
      <c r="F655" t="inlineStr">
        <is>
          <t>lbs</t>
        </is>
      </c>
      <c r="G655" t="n">
        <v>1</v>
      </c>
      <c r="H655" t="n">
        <v>17.5</v>
      </c>
      <c r="I655" t="n">
        <v>8</v>
      </c>
      <c r="J655" t="inlineStr">
        <is>
          <t>Y</t>
        </is>
      </c>
      <c r="K655" s="26">
        <f>IF($J655="Y","",IF($F655="BW",$I655,$H655*$I655))</f>
        <v/>
      </c>
      <c r="L655" s="26">
        <f>$D655&amp;"|"&amp;$H655</f>
        <v/>
      </c>
    </row>
    <row r="656" ht="15" customHeight="1" s="22">
      <c r="A656" s="36" t="n">
        <v>46230</v>
      </c>
      <c r="B656" t="inlineStr">
        <is>
          <t>Mon</t>
        </is>
      </c>
      <c r="C656" t="inlineStr">
        <is>
          <t>Upper (travel)</t>
        </is>
      </c>
      <c r="D656" t="inlineStr">
        <is>
          <t>DB Rows</t>
        </is>
      </c>
      <c r="E656" t="inlineStr">
        <is>
          <t>Dumbbell</t>
        </is>
      </c>
      <c r="F656" t="inlineStr">
        <is>
          <t>lbs</t>
        </is>
      </c>
      <c r="G656" t="n">
        <v>2</v>
      </c>
      <c r="H656" t="n">
        <v>25</v>
      </c>
      <c r="I656" t="n">
        <v>8</v>
      </c>
      <c r="J656" t="inlineStr">
        <is>
          <t>N</t>
        </is>
      </c>
      <c r="K656" s="26">
        <f>IF($J656="Y","",IF($F656="BW",$I656,$H656*$I656))</f>
        <v/>
      </c>
      <c r="L656" s="26">
        <f>$D656&amp;"|"&amp;$H656</f>
        <v/>
      </c>
    </row>
    <row r="657" ht="15" customHeight="1" s="22">
      <c r="A657" s="36" t="n">
        <v>46230</v>
      </c>
      <c r="B657" t="inlineStr">
        <is>
          <t>Mon</t>
        </is>
      </c>
      <c r="C657" t="inlineStr">
        <is>
          <t>Upper (travel)</t>
        </is>
      </c>
      <c r="D657" t="inlineStr">
        <is>
          <t>DB Rows</t>
        </is>
      </c>
      <c r="E657" t="inlineStr">
        <is>
          <t>Dumbbell</t>
        </is>
      </c>
      <c r="F657" t="inlineStr">
        <is>
          <t>lbs</t>
        </is>
      </c>
      <c r="G657" t="n">
        <v>3</v>
      </c>
      <c r="H657" t="n">
        <v>27.5</v>
      </c>
      <c r="I657" t="n">
        <v>8</v>
      </c>
      <c r="J657" t="inlineStr">
        <is>
          <t>N</t>
        </is>
      </c>
      <c r="K657" s="26">
        <f>IF($J657="Y","",IF($F657="BW",$I657,$H657*$I657))</f>
        <v/>
      </c>
      <c r="L657" s="26">
        <f>$D657&amp;"|"&amp;$H657</f>
        <v/>
      </c>
    </row>
    <row r="658" ht="15" customHeight="1" s="22">
      <c r="A658" s="36" t="n">
        <v>46233</v>
      </c>
      <c r="B658" t="inlineStr">
        <is>
          <t>Thu</t>
        </is>
      </c>
      <c r="C658" t="inlineStr">
        <is>
          <t>Cardio + Legs</t>
        </is>
      </c>
      <c r="D658" t="inlineStr">
        <is>
          <t>RDLs</t>
        </is>
      </c>
      <c r="E658" t="inlineStr">
        <is>
          <t>Smith</t>
        </is>
      </c>
      <c r="F658" t="inlineStr">
        <is>
          <t>lbs</t>
        </is>
      </c>
      <c r="G658" t="n">
        <v>1</v>
      </c>
      <c r="H658" t="n">
        <v>20</v>
      </c>
      <c r="I658" t="n">
        <v>8</v>
      </c>
      <c r="J658" t="inlineStr">
        <is>
          <t>Y</t>
        </is>
      </c>
      <c r="K658" s="26">
        <f>IF($J658="Y","",IF($F658="BW",$I658,$H658*$I658))</f>
        <v/>
      </c>
      <c r="L658" s="26">
        <f>$D658&amp;"|"&amp;$H658</f>
        <v/>
      </c>
    </row>
    <row r="659" ht="15" customHeight="1" s="22">
      <c r="A659" s="36" t="n">
        <v>46233</v>
      </c>
      <c r="B659" t="inlineStr">
        <is>
          <t>Thu</t>
        </is>
      </c>
      <c r="C659" t="inlineStr">
        <is>
          <t>Cardio + Legs</t>
        </is>
      </c>
      <c r="D659" t="inlineStr">
        <is>
          <t>RDLs</t>
        </is>
      </c>
      <c r="E659" t="inlineStr">
        <is>
          <t>Smith</t>
        </is>
      </c>
      <c r="F659" t="inlineStr">
        <is>
          <t>lbs</t>
        </is>
      </c>
      <c r="G659" t="n">
        <v>2</v>
      </c>
      <c r="H659" t="n">
        <v>40</v>
      </c>
      <c r="I659" t="n">
        <v>8</v>
      </c>
      <c r="J659" t="inlineStr">
        <is>
          <t>N</t>
        </is>
      </c>
      <c r="K659" s="26">
        <f>IF($J659="Y","",IF($F659="BW",$I659,$H659*$I659))</f>
        <v/>
      </c>
      <c r="L659" s="26">
        <f>$D659&amp;"|"&amp;$H659</f>
        <v/>
      </c>
    </row>
    <row r="660" ht="15" customHeight="1" s="22">
      <c r="A660" s="36" t="n">
        <v>46233</v>
      </c>
      <c r="B660" t="inlineStr">
        <is>
          <t>Thu</t>
        </is>
      </c>
      <c r="C660" t="inlineStr">
        <is>
          <t>Cardio + Legs</t>
        </is>
      </c>
      <c r="D660" t="inlineStr">
        <is>
          <t>RDLs</t>
        </is>
      </c>
      <c r="E660" t="inlineStr">
        <is>
          <t>Smith</t>
        </is>
      </c>
      <c r="F660" t="inlineStr">
        <is>
          <t>lbs</t>
        </is>
      </c>
      <c r="G660" t="n">
        <v>3</v>
      </c>
      <c r="H660" t="n">
        <v>55</v>
      </c>
      <c r="I660" t="n">
        <v>8</v>
      </c>
      <c r="J660" t="inlineStr">
        <is>
          <t>N</t>
        </is>
      </c>
      <c r="K660" s="26">
        <f>IF($J660="Y","",IF($F660="BW",$I660,$H660*$I660))</f>
        <v/>
      </c>
      <c r="L660" s="26">
        <f>$D660&amp;"|"&amp;$H660</f>
        <v/>
      </c>
    </row>
    <row r="661" ht="15" customHeight="1" s="22">
      <c r="A661" s="36" t="n">
        <v>46233</v>
      </c>
      <c r="B661" t="inlineStr">
        <is>
          <t>Thu</t>
        </is>
      </c>
      <c r="C661" t="inlineStr">
        <is>
          <t>Cardio + Legs</t>
        </is>
      </c>
      <c r="D661" t="inlineStr">
        <is>
          <t>RDLs</t>
        </is>
      </c>
      <c r="E661" t="inlineStr">
        <is>
          <t>Smith</t>
        </is>
      </c>
      <c r="F661" t="inlineStr">
        <is>
          <t>lbs</t>
        </is>
      </c>
      <c r="G661" t="n">
        <v>4</v>
      </c>
      <c r="H661" t="n">
        <v>55</v>
      </c>
      <c r="I661" t="n">
        <v>8</v>
      </c>
      <c r="J661" t="inlineStr">
        <is>
          <t>N</t>
        </is>
      </c>
      <c r="K661" s="26">
        <f>IF($J661="Y","",IF($F661="BW",$I661,$H661*$I661))</f>
        <v/>
      </c>
      <c r="L661" s="26">
        <f>$D661&amp;"|"&amp;$H661</f>
        <v/>
      </c>
    </row>
    <row r="662" ht="15" customHeight="1" s="22">
      <c r="A662" s="36" t="n">
        <v>46233</v>
      </c>
      <c r="B662" t="inlineStr">
        <is>
          <t>Thu</t>
        </is>
      </c>
      <c r="C662" t="inlineStr">
        <is>
          <t>Cardio + Legs</t>
        </is>
      </c>
      <c r="D662" t="inlineStr">
        <is>
          <t>Bodyweight Squats</t>
        </is>
      </c>
      <c r="E662" t="inlineStr">
        <is>
          <t>Bodyweight</t>
        </is>
      </c>
      <c r="F662" t="inlineStr">
        <is>
          <t>BW</t>
        </is>
      </c>
      <c r="G662" t="n">
        <v>1</v>
      </c>
      <c r="H662" t="n">
        <v>0</v>
      </c>
      <c r="I662" t="n">
        <v>8</v>
      </c>
      <c r="J662" t="inlineStr">
        <is>
          <t>N</t>
        </is>
      </c>
      <c r="K662" s="26">
        <f>IF($J662="Y","",IF($F662="BW",$I662,$H662*$I662))</f>
        <v/>
      </c>
      <c r="L662" s="26">
        <f>$D662&amp;"|"&amp;$H662</f>
        <v/>
      </c>
    </row>
    <row r="663" ht="15" customHeight="1" s="22">
      <c r="A663" s="36" t="n">
        <v>46233</v>
      </c>
      <c r="B663" t="inlineStr">
        <is>
          <t>Thu</t>
        </is>
      </c>
      <c r="C663" t="inlineStr">
        <is>
          <t>Cardio + Legs</t>
        </is>
      </c>
      <c r="D663" t="inlineStr">
        <is>
          <t>Bodyweight Squats</t>
        </is>
      </c>
      <c r="E663" t="inlineStr">
        <is>
          <t>Bodyweight</t>
        </is>
      </c>
      <c r="F663" t="inlineStr">
        <is>
          <t>BW</t>
        </is>
      </c>
      <c r="G663" t="n">
        <v>2</v>
      </c>
      <c r="H663" t="n">
        <v>0</v>
      </c>
      <c r="I663" t="n">
        <v>10</v>
      </c>
      <c r="J663" t="inlineStr">
        <is>
          <t>N</t>
        </is>
      </c>
      <c r="K663" s="26">
        <f>IF($J663="Y","",IF($F663="BW",$I663,$H663*$I663))</f>
        <v/>
      </c>
      <c r="L663" s="26">
        <f>$D663&amp;"|"&amp;$H663</f>
        <v/>
      </c>
    </row>
    <row r="664" ht="15" customHeight="1" s="22">
      <c r="A664" s="36" t="n">
        <v>46233</v>
      </c>
      <c r="B664" t="inlineStr">
        <is>
          <t>Thu</t>
        </is>
      </c>
      <c r="C664" t="inlineStr">
        <is>
          <t>Cardio + Legs</t>
        </is>
      </c>
      <c r="D664" t="inlineStr">
        <is>
          <t>Bodyweight Squats</t>
        </is>
      </c>
      <c r="E664" t="inlineStr">
        <is>
          <t>Bodyweight</t>
        </is>
      </c>
      <c r="F664" t="inlineStr">
        <is>
          <t>BW</t>
        </is>
      </c>
      <c r="G664" t="n">
        <v>3</v>
      </c>
      <c r="H664" t="n">
        <v>0</v>
      </c>
      <c r="I664" t="n">
        <v>10</v>
      </c>
      <c r="J664" t="inlineStr">
        <is>
          <t>N</t>
        </is>
      </c>
      <c r="K664" s="26">
        <f>IF($J664="Y","",IF($F664="BW",$I664,$H664*$I664))</f>
        <v/>
      </c>
      <c r="L664" s="26">
        <f>$D664&amp;"|"&amp;$H664</f>
        <v/>
      </c>
    </row>
    <row r="665" ht="15" customHeight="1" s="22">
      <c r="A665" s="36" t="n">
        <v>46233</v>
      </c>
      <c r="B665" t="inlineStr">
        <is>
          <t>Thu</t>
        </is>
      </c>
      <c r="C665" t="inlineStr">
        <is>
          <t>Cardio + Legs</t>
        </is>
      </c>
      <c r="D665" t="inlineStr">
        <is>
          <t>Calf Raises (DB)</t>
        </is>
      </c>
      <c r="E665" t="inlineStr">
        <is>
          <t>Dumbbell</t>
        </is>
      </c>
      <c r="F665" t="inlineStr">
        <is>
          <t>lbs</t>
        </is>
      </c>
      <c r="G665" t="n">
        <v>1</v>
      </c>
      <c r="H665" t="n">
        <v>25</v>
      </c>
      <c r="I665" t="n">
        <v>15</v>
      </c>
      <c r="J665" t="inlineStr">
        <is>
          <t>N</t>
        </is>
      </c>
      <c r="K665" s="26">
        <f>IF($J665="Y","",IF($F665="BW",$I665,$H665*$I665))</f>
        <v/>
      </c>
      <c r="L665" s="26">
        <f>$D665&amp;"|"&amp;$H665</f>
        <v/>
      </c>
    </row>
    <row r="666" ht="15" customHeight="1" s="22">
      <c r="A666" s="36" t="n">
        <v>46233</v>
      </c>
      <c r="B666" t="inlineStr">
        <is>
          <t>Thu</t>
        </is>
      </c>
      <c r="C666" t="inlineStr">
        <is>
          <t>Cardio + Legs</t>
        </is>
      </c>
      <c r="D666" t="inlineStr">
        <is>
          <t>Calf Raises (DB)</t>
        </is>
      </c>
      <c r="E666" t="inlineStr">
        <is>
          <t>Dumbbell</t>
        </is>
      </c>
      <c r="F666" t="inlineStr">
        <is>
          <t>lbs</t>
        </is>
      </c>
      <c r="G666" t="n">
        <v>2</v>
      </c>
      <c r="H666" t="n">
        <v>25</v>
      </c>
      <c r="I666" t="n">
        <v>15</v>
      </c>
      <c r="J666" t="inlineStr">
        <is>
          <t>N</t>
        </is>
      </c>
      <c r="K666" s="26">
        <f>IF($J666="Y","",IF($F666="BW",$I666,$H666*$I666))</f>
        <v/>
      </c>
      <c r="L666" s="26">
        <f>$D666&amp;"|"&amp;$H666</f>
        <v/>
      </c>
    </row>
    <row r="667" ht="15" customHeight="1" s="22">
      <c r="A667" s="36" t="n">
        <v>46233</v>
      </c>
      <c r="B667" t="inlineStr">
        <is>
          <t>Thu</t>
        </is>
      </c>
      <c r="C667" t="inlineStr">
        <is>
          <t>Cardio + Legs</t>
        </is>
      </c>
      <c r="D667" t="inlineStr">
        <is>
          <t>Calf Raises (DB)</t>
        </is>
      </c>
      <c r="E667" t="inlineStr">
        <is>
          <t>Dumbbell</t>
        </is>
      </c>
      <c r="F667" t="inlineStr">
        <is>
          <t>lbs</t>
        </is>
      </c>
      <c r="G667" t="n">
        <v>3</v>
      </c>
      <c r="H667" t="n">
        <v>25</v>
      </c>
      <c r="I667" t="n">
        <v>15</v>
      </c>
      <c r="J667" t="inlineStr">
        <is>
          <t>N</t>
        </is>
      </c>
      <c r="K667" s="26">
        <f>IF($J667="Y","",IF($F667="BW",$I667,$H667*$I667))</f>
        <v/>
      </c>
      <c r="L667" s="26">
        <f>$D667&amp;"|"&amp;$H667</f>
        <v/>
      </c>
    </row>
    <row r="668" ht="15" customHeight="1" s="22">
      <c r="A668" s="36" t="n">
        <v>46234</v>
      </c>
      <c r="B668" t="inlineStr">
        <is>
          <t>Fri</t>
        </is>
      </c>
      <c r="C668" t="inlineStr">
        <is>
          <t>Cardio + Push</t>
        </is>
      </c>
      <c r="D668" t="inlineStr">
        <is>
          <t>Bench Press (Smith)</t>
        </is>
      </c>
      <c r="E668" t="inlineStr">
        <is>
          <t>Smith</t>
        </is>
      </c>
      <c r="F668" t="inlineStr">
        <is>
          <t>lbs</t>
        </is>
      </c>
      <c r="G668" t="n">
        <v>1</v>
      </c>
      <c r="H668" t="n">
        <v>30</v>
      </c>
      <c r="I668" t="n">
        <v>8</v>
      </c>
      <c r="J668" t="inlineStr">
        <is>
          <t>Y</t>
        </is>
      </c>
      <c r="K668" s="26">
        <f>IF($J668="Y","",IF($F668="BW",$I668,$H668*$I668))</f>
        <v/>
      </c>
      <c r="L668" s="26">
        <f>$D668&amp;"|"&amp;$H668</f>
        <v/>
      </c>
    </row>
    <row r="669" ht="15" customHeight="1" s="22">
      <c r="A669" s="36" t="n">
        <v>46234</v>
      </c>
      <c r="B669" t="inlineStr">
        <is>
          <t>Fri</t>
        </is>
      </c>
      <c r="C669" t="inlineStr">
        <is>
          <t>Cardio + Push</t>
        </is>
      </c>
      <c r="D669" t="inlineStr">
        <is>
          <t>Bench Press (Smith)</t>
        </is>
      </c>
      <c r="E669" t="inlineStr">
        <is>
          <t>Smith</t>
        </is>
      </c>
      <c r="F669" t="inlineStr">
        <is>
          <t>lbs</t>
        </is>
      </c>
      <c r="G669" t="n">
        <v>2</v>
      </c>
      <c r="H669" t="n">
        <v>70</v>
      </c>
      <c r="I669" t="n">
        <v>8</v>
      </c>
      <c r="J669" t="inlineStr">
        <is>
          <t>N</t>
        </is>
      </c>
      <c r="K669" s="26">
        <f>IF($J669="Y","",IF($F669="BW",$I669,$H669*$I669))</f>
        <v/>
      </c>
      <c r="L669" s="26">
        <f>$D669&amp;"|"&amp;$H669</f>
        <v/>
      </c>
    </row>
    <row r="670" ht="15" customHeight="1" s="22">
      <c r="A670" s="36" t="n">
        <v>46234</v>
      </c>
      <c r="B670" t="inlineStr">
        <is>
          <t>Fri</t>
        </is>
      </c>
      <c r="C670" t="inlineStr">
        <is>
          <t>Cardio + Push</t>
        </is>
      </c>
      <c r="D670" t="inlineStr">
        <is>
          <t>Bench Press (Smith)</t>
        </is>
      </c>
      <c r="E670" t="inlineStr">
        <is>
          <t>Smith</t>
        </is>
      </c>
      <c r="F670" t="inlineStr">
        <is>
          <t>lbs</t>
        </is>
      </c>
      <c r="G670" t="n">
        <v>3</v>
      </c>
      <c r="H670" t="n">
        <v>110</v>
      </c>
      <c r="I670" t="n">
        <v>8</v>
      </c>
      <c r="J670" t="inlineStr">
        <is>
          <t>N</t>
        </is>
      </c>
      <c r="K670" s="26">
        <f>IF($J670="Y","",IF($F670="BW",$I670,$H670*$I670))</f>
        <v/>
      </c>
      <c r="L670" s="26">
        <f>$D670&amp;"|"&amp;$H670</f>
        <v/>
      </c>
    </row>
    <row r="671" ht="15" customHeight="1" s="22">
      <c r="A671" s="36" t="n">
        <v>46234</v>
      </c>
      <c r="B671" t="inlineStr">
        <is>
          <t>Fri</t>
        </is>
      </c>
      <c r="C671" t="inlineStr">
        <is>
          <t>Cardio + Push</t>
        </is>
      </c>
      <c r="D671" t="inlineStr">
        <is>
          <t>Bench Press (Smith)</t>
        </is>
      </c>
      <c r="E671" t="inlineStr">
        <is>
          <t>Smith</t>
        </is>
      </c>
      <c r="F671" t="inlineStr">
        <is>
          <t>lbs</t>
        </is>
      </c>
      <c r="G671" t="n">
        <v>4</v>
      </c>
      <c r="H671" t="n">
        <v>100</v>
      </c>
      <c r="I671" t="n">
        <v>8</v>
      </c>
      <c r="J671" t="inlineStr">
        <is>
          <t>N</t>
        </is>
      </c>
      <c r="K671" s="26">
        <f>IF($J671="Y","",IF($F671="BW",$I671,$H671*$I671))</f>
        <v/>
      </c>
      <c r="L671" s="26">
        <f>$D671&amp;"|"&amp;$H671</f>
        <v/>
      </c>
    </row>
    <row r="672" ht="15" customHeight="1" s="22">
      <c r="A672" s="36" t="n">
        <v>46234</v>
      </c>
      <c r="B672" t="inlineStr">
        <is>
          <t>Fri</t>
        </is>
      </c>
      <c r="C672" t="inlineStr">
        <is>
          <t>Cardio + Push</t>
        </is>
      </c>
      <c r="D672" t="inlineStr">
        <is>
          <t>Bench Press (Smith)</t>
        </is>
      </c>
      <c r="E672" t="inlineStr">
        <is>
          <t>Smith</t>
        </is>
      </c>
      <c r="F672" t="inlineStr">
        <is>
          <t>lbs</t>
        </is>
      </c>
      <c r="G672" t="n">
        <v>5</v>
      </c>
      <c r="H672" t="n">
        <v>100</v>
      </c>
      <c r="I672" t="n">
        <v>8</v>
      </c>
      <c r="J672" t="inlineStr">
        <is>
          <t>N</t>
        </is>
      </c>
      <c r="K672" s="26">
        <f>IF($J672="Y","",IF($F672="BW",$I672,$H672*$I672))</f>
        <v/>
      </c>
      <c r="L672" s="26">
        <f>$D672&amp;"|"&amp;$H672</f>
        <v/>
      </c>
    </row>
    <row r="673" ht="15" customHeight="1" s="22">
      <c r="A673" s="36" t="n">
        <v>46234</v>
      </c>
      <c r="B673" t="inlineStr">
        <is>
          <t>Fri</t>
        </is>
      </c>
      <c r="C673" t="inlineStr">
        <is>
          <t>Cardio + Push</t>
        </is>
      </c>
      <c r="D673" t="inlineStr">
        <is>
          <t>Shoulder Press</t>
        </is>
      </c>
      <c r="E673" t="inlineStr">
        <is>
          <t>Dumbbell</t>
        </is>
      </c>
      <c r="F673" t="inlineStr">
        <is>
          <t>lbs</t>
        </is>
      </c>
      <c r="G673" t="n">
        <v>1</v>
      </c>
      <c r="H673" t="n">
        <v>15</v>
      </c>
      <c r="I673" t="n">
        <v>8</v>
      </c>
      <c r="J673" t="inlineStr">
        <is>
          <t>Y</t>
        </is>
      </c>
      <c r="K673" s="26">
        <f>IF($J673="Y","",IF($F673="BW",$I673,$H673*$I673))</f>
        <v/>
      </c>
      <c r="L673" s="26">
        <f>$D673&amp;"|"&amp;$H673</f>
        <v/>
      </c>
    </row>
    <row r="674" ht="15" customHeight="1" s="22">
      <c r="A674" s="36" t="n">
        <v>46234</v>
      </c>
      <c r="B674" t="inlineStr">
        <is>
          <t>Fri</t>
        </is>
      </c>
      <c r="C674" t="inlineStr">
        <is>
          <t>Cardio + Push</t>
        </is>
      </c>
      <c r="D674" t="inlineStr">
        <is>
          <t>Shoulder Press</t>
        </is>
      </c>
      <c r="E674" t="inlineStr">
        <is>
          <t>Dumbbell</t>
        </is>
      </c>
      <c r="F674" t="inlineStr">
        <is>
          <t>lbs</t>
        </is>
      </c>
      <c r="G674" t="n">
        <v>2</v>
      </c>
      <c r="H674" t="n">
        <v>30</v>
      </c>
      <c r="I674" t="n">
        <v>8</v>
      </c>
      <c r="J674" t="inlineStr">
        <is>
          <t>N</t>
        </is>
      </c>
      <c r="K674" s="26">
        <f>IF($J674="Y","",IF($F674="BW",$I674,$H674*$I674))</f>
        <v/>
      </c>
      <c r="L674" s="26">
        <f>$D674&amp;"|"&amp;$H674</f>
        <v/>
      </c>
    </row>
    <row r="675" ht="15" customHeight="1" s="22">
      <c r="A675" s="36" t="n">
        <v>46234</v>
      </c>
      <c r="B675" t="inlineStr">
        <is>
          <t>Fri</t>
        </is>
      </c>
      <c r="C675" t="inlineStr">
        <is>
          <t>Cardio + Push</t>
        </is>
      </c>
      <c r="D675" t="inlineStr">
        <is>
          <t>Shoulder Press</t>
        </is>
      </c>
      <c r="E675" t="inlineStr">
        <is>
          <t>Dumbbell</t>
        </is>
      </c>
      <c r="F675" t="inlineStr">
        <is>
          <t>lbs</t>
        </is>
      </c>
      <c r="G675" t="n">
        <v>3</v>
      </c>
      <c r="H675" t="n">
        <v>30</v>
      </c>
      <c r="I675" t="n">
        <v>8</v>
      </c>
      <c r="J675" t="inlineStr">
        <is>
          <t>N</t>
        </is>
      </c>
      <c r="K675" s="26">
        <f>IF($J675="Y","",IF($F675="BW",$I675,$H675*$I675))</f>
        <v/>
      </c>
      <c r="L675" s="26">
        <f>$D675&amp;"|"&amp;$H675</f>
        <v/>
      </c>
    </row>
    <row r="676" ht="15" customHeight="1" s="22">
      <c r="A676" s="36" t="n">
        <v>46234</v>
      </c>
      <c r="B676" t="inlineStr">
        <is>
          <t>Fri</t>
        </is>
      </c>
      <c r="C676" t="inlineStr">
        <is>
          <t>Cardio + Push</t>
        </is>
      </c>
      <c r="D676" t="inlineStr">
        <is>
          <t>Shoulder Press</t>
        </is>
      </c>
      <c r="E676" t="inlineStr">
        <is>
          <t>Dumbbell</t>
        </is>
      </c>
      <c r="F676" t="inlineStr">
        <is>
          <t>lbs</t>
        </is>
      </c>
      <c r="G676" t="n">
        <v>4</v>
      </c>
      <c r="H676" t="n">
        <v>30</v>
      </c>
      <c r="I676" t="n">
        <v>8</v>
      </c>
      <c r="J676" t="inlineStr">
        <is>
          <t>N</t>
        </is>
      </c>
      <c r="K676" s="26">
        <f>IF($J676="Y","",IF($F676="BW",$I676,$H676*$I676))</f>
        <v/>
      </c>
      <c r="L676" s="26">
        <f>$D676&amp;"|"&amp;$H676</f>
        <v/>
      </c>
    </row>
    <row r="677" ht="15" customHeight="1" s="22">
      <c r="A677" s="36" t="n">
        <v>46234</v>
      </c>
      <c r="B677" t="inlineStr">
        <is>
          <t>Fri</t>
        </is>
      </c>
      <c r="C677" t="inlineStr">
        <is>
          <t>Cardio + Push</t>
        </is>
      </c>
      <c r="D677" t="inlineStr">
        <is>
          <t>Tricep Pulldown</t>
        </is>
      </c>
      <c r="E677" t="inlineStr">
        <is>
          <t>Cable</t>
        </is>
      </c>
      <c r="F677" t="inlineStr">
        <is>
          <t>kg</t>
        </is>
      </c>
      <c r="G677" t="n">
        <v>1</v>
      </c>
      <c r="H677" t="n">
        <v>20</v>
      </c>
      <c r="I677" t="n">
        <v>8</v>
      </c>
      <c r="J677" t="inlineStr">
        <is>
          <t>N</t>
        </is>
      </c>
      <c r="K677" s="26">
        <f>IF($J677="Y","",IF($F677="BW",$I677,$H677*$I677))</f>
        <v/>
      </c>
      <c r="L677" s="26">
        <f>$D677&amp;"|"&amp;$H677</f>
        <v/>
      </c>
    </row>
    <row r="678" ht="15" customHeight="1" s="22">
      <c r="A678" s="36" t="n">
        <v>46234</v>
      </c>
      <c r="B678" t="inlineStr">
        <is>
          <t>Fri</t>
        </is>
      </c>
      <c r="C678" t="inlineStr">
        <is>
          <t>Cardio + Push</t>
        </is>
      </c>
      <c r="D678" t="inlineStr">
        <is>
          <t>Tricep Pulldown</t>
        </is>
      </c>
      <c r="E678" t="inlineStr">
        <is>
          <t>Cable</t>
        </is>
      </c>
      <c r="F678" t="inlineStr">
        <is>
          <t>kg</t>
        </is>
      </c>
      <c r="G678" t="n">
        <v>2</v>
      </c>
      <c r="H678" t="n">
        <v>20</v>
      </c>
      <c r="I678" t="n">
        <v>8</v>
      </c>
      <c r="J678" t="inlineStr">
        <is>
          <t>N</t>
        </is>
      </c>
      <c r="K678" s="26">
        <f>IF($J678="Y","",IF($F678="BW",$I678,$H678*$I678))</f>
        <v/>
      </c>
      <c r="L678" s="26">
        <f>$D678&amp;"|"&amp;$H678</f>
        <v/>
      </c>
    </row>
    <row r="679" ht="15" customHeight="1" s="22">
      <c r="A679" s="36" t="n">
        <v>46234</v>
      </c>
      <c r="B679" t="inlineStr">
        <is>
          <t>Fri</t>
        </is>
      </c>
      <c r="C679" t="inlineStr">
        <is>
          <t>Cardio + Push</t>
        </is>
      </c>
      <c r="D679" t="inlineStr">
        <is>
          <t>Tricep Pulldown</t>
        </is>
      </c>
      <c r="E679" t="inlineStr">
        <is>
          <t>Cable</t>
        </is>
      </c>
      <c r="F679" t="inlineStr">
        <is>
          <t>kg</t>
        </is>
      </c>
      <c r="G679" t="n">
        <v>3</v>
      </c>
      <c r="H679" t="n">
        <v>22.5</v>
      </c>
      <c r="I679" t="n">
        <v>8</v>
      </c>
      <c r="J679" t="inlineStr">
        <is>
          <t>N</t>
        </is>
      </c>
      <c r="K679" s="26">
        <f>IF($J679="Y","",IF($F679="BW",$I679,$H679*$I679))</f>
        <v/>
      </c>
      <c r="L679" s="26">
        <f>$D679&amp;"|"&amp;$H679</f>
        <v/>
      </c>
    </row>
    <row r="680" ht="15" customHeight="1" s="22">
      <c r="A680" s="36" t="n">
        <v>46234</v>
      </c>
      <c r="B680" t="inlineStr">
        <is>
          <t>Fri</t>
        </is>
      </c>
      <c r="C680" t="inlineStr">
        <is>
          <t>Cardio + Push</t>
        </is>
      </c>
      <c r="D680" t="inlineStr">
        <is>
          <t>Incline Bench (Smith)</t>
        </is>
      </c>
      <c r="E680" t="inlineStr">
        <is>
          <t>Smith</t>
        </is>
      </c>
      <c r="F680" t="inlineStr">
        <is>
          <t>lbs</t>
        </is>
      </c>
      <c r="G680" t="n">
        <v>1</v>
      </c>
      <c r="H680" t="n">
        <v>80</v>
      </c>
      <c r="I680" t="n">
        <v>8</v>
      </c>
      <c r="J680" t="inlineStr">
        <is>
          <t>N</t>
        </is>
      </c>
      <c r="K680" s="26">
        <f>IF($J680="Y","",IF($F680="BW",$I680,$H680*$I680))</f>
        <v/>
      </c>
      <c r="L680" s="26">
        <f>$D680&amp;"|"&amp;$H680</f>
        <v/>
      </c>
    </row>
    <row r="681" ht="15" customHeight="1" s="22">
      <c r="A681" s="36" t="n">
        <v>46234</v>
      </c>
      <c r="B681" t="inlineStr">
        <is>
          <t>Fri</t>
        </is>
      </c>
      <c r="C681" t="inlineStr">
        <is>
          <t>Cardio + Push</t>
        </is>
      </c>
      <c r="D681" t="inlineStr">
        <is>
          <t>Incline Bench (Smith)</t>
        </is>
      </c>
      <c r="E681" t="inlineStr">
        <is>
          <t>Smith</t>
        </is>
      </c>
      <c r="F681" t="inlineStr">
        <is>
          <t>lbs</t>
        </is>
      </c>
      <c r="G681" t="n">
        <v>2</v>
      </c>
      <c r="H681" t="n">
        <v>80</v>
      </c>
      <c r="I681" t="n">
        <v>8</v>
      </c>
      <c r="J681" t="inlineStr">
        <is>
          <t>N</t>
        </is>
      </c>
      <c r="K681" s="26">
        <f>IF($J681="Y","",IF($F681="BW",$I681,$H681*$I681))</f>
        <v/>
      </c>
      <c r="L681" s="26">
        <f>$D681&amp;"|"&amp;$H681</f>
        <v/>
      </c>
    </row>
    <row r="682" ht="15" customHeight="1" s="22">
      <c r="A682" s="36" t="n">
        <v>46234</v>
      </c>
      <c r="B682" t="inlineStr">
        <is>
          <t>Fri</t>
        </is>
      </c>
      <c r="C682" t="inlineStr">
        <is>
          <t>Cardio + Push</t>
        </is>
      </c>
      <c r="D682" t="inlineStr">
        <is>
          <t>Incline Bench (Smith)</t>
        </is>
      </c>
      <c r="E682" t="inlineStr">
        <is>
          <t>Smith</t>
        </is>
      </c>
      <c r="F682" t="inlineStr">
        <is>
          <t>lbs</t>
        </is>
      </c>
      <c r="G682" t="n">
        <v>3</v>
      </c>
      <c r="H682" t="n">
        <v>70</v>
      </c>
      <c r="I682" t="n">
        <v>8</v>
      </c>
      <c r="J682" t="inlineStr">
        <is>
          <t>N</t>
        </is>
      </c>
      <c r="K682" s="26">
        <f>IF($J682="Y","",IF($F682="BW",$I682,$H682*$I682))</f>
        <v/>
      </c>
      <c r="L682" s="26">
        <f>$D682&amp;"|"&amp;$H682</f>
        <v/>
      </c>
    </row>
    <row r="683" ht="15" customHeight="1" s="22">
      <c r="A683" s="36" t="n">
        <v>46235</v>
      </c>
      <c r="B683" t="inlineStr">
        <is>
          <t>Sat</t>
        </is>
      </c>
      <c r="C683" t="inlineStr">
        <is>
          <t>Cardio + Pull</t>
        </is>
      </c>
      <c r="D683" t="inlineStr">
        <is>
          <t>Single Arm Lat Pulldown</t>
        </is>
      </c>
      <c r="E683" t="inlineStr">
        <is>
          <t>Cable</t>
        </is>
      </c>
      <c r="F683" t="inlineStr">
        <is>
          <t>kg</t>
        </is>
      </c>
      <c r="G683" t="n">
        <v>1</v>
      </c>
      <c r="H683" t="n">
        <v>12.5</v>
      </c>
      <c r="I683" t="n">
        <v>8</v>
      </c>
      <c r="J683" t="inlineStr">
        <is>
          <t>Y</t>
        </is>
      </c>
      <c r="K683" s="26">
        <f>IF($J683="Y","",IF($F683="BW",$I683,$H683*$I683))</f>
        <v/>
      </c>
      <c r="L683" s="26">
        <f>$D683&amp;"|"&amp;$H683</f>
        <v/>
      </c>
    </row>
    <row r="684" ht="15" customHeight="1" s="22">
      <c r="A684" s="36" t="n">
        <v>46235</v>
      </c>
      <c r="B684" t="inlineStr">
        <is>
          <t>Sat</t>
        </is>
      </c>
      <c r="C684" t="inlineStr">
        <is>
          <t>Cardio + Pull</t>
        </is>
      </c>
      <c r="D684" t="inlineStr">
        <is>
          <t>Single Arm Lat Pulldown</t>
        </is>
      </c>
      <c r="E684" t="inlineStr">
        <is>
          <t>Cable</t>
        </is>
      </c>
      <c r="F684" t="inlineStr">
        <is>
          <t>kg</t>
        </is>
      </c>
      <c r="G684" t="n">
        <v>2</v>
      </c>
      <c r="H684" t="n">
        <v>20</v>
      </c>
      <c r="I684" t="n">
        <v>8</v>
      </c>
      <c r="J684" t="inlineStr">
        <is>
          <t>N</t>
        </is>
      </c>
      <c r="K684" s="26">
        <f>IF($J684="Y","",IF($F684="BW",$I684,$H684*$I684))</f>
        <v/>
      </c>
      <c r="L684" s="26">
        <f>$D684&amp;"|"&amp;$H684</f>
        <v/>
      </c>
    </row>
    <row r="685" ht="15" customHeight="1" s="22">
      <c r="A685" s="36" t="n">
        <v>46235</v>
      </c>
      <c r="B685" t="inlineStr">
        <is>
          <t>Sat</t>
        </is>
      </c>
      <c r="C685" t="inlineStr">
        <is>
          <t>Cardio + Pull</t>
        </is>
      </c>
      <c r="D685" t="inlineStr">
        <is>
          <t>Single Arm Lat Pulldown</t>
        </is>
      </c>
      <c r="E685" t="inlineStr">
        <is>
          <t>Cable</t>
        </is>
      </c>
      <c r="F685" t="inlineStr">
        <is>
          <t>kg</t>
        </is>
      </c>
      <c r="G685" t="n">
        <v>3</v>
      </c>
      <c r="H685" t="n">
        <v>22.5</v>
      </c>
      <c r="I685" t="n">
        <v>8</v>
      </c>
      <c r="J685" t="inlineStr">
        <is>
          <t>N</t>
        </is>
      </c>
      <c r="K685" s="26">
        <f>IF($J685="Y","",IF($F685="BW",$I685,$H685*$I685))</f>
        <v/>
      </c>
      <c r="L685" s="26">
        <f>$D685&amp;"|"&amp;$H685</f>
        <v/>
      </c>
    </row>
    <row r="686" ht="15" customHeight="1" s="22">
      <c r="A686" s="36" t="n">
        <v>46235</v>
      </c>
      <c r="B686" t="inlineStr">
        <is>
          <t>Sat</t>
        </is>
      </c>
      <c r="C686" t="inlineStr">
        <is>
          <t>Cardio + Pull</t>
        </is>
      </c>
      <c r="D686" t="inlineStr">
        <is>
          <t>Single Arm Lat Pulldown</t>
        </is>
      </c>
      <c r="E686" t="inlineStr">
        <is>
          <t>Cable</t>
        </is>
      </c>
      <c r="F686" t="inlineStr">
        <is>
          <t>kg</t>
        </is>
      </c>
      <c r="G686" t="n">
        <v>4</v>
      </c>
      <c r="H686" t="n">
        <v>20</v>
      </c>
      <c r="I686" t="n">
        <v>8</v>
      </c>
      <c r="J686" t="inlineStr">
        <is>
          <t>N</t>
        </is>
      </c>
      <c r="K686" s="26">
        <f>IF($J686="Y","",IF($F686="BW",$I686,$H686*$I686))</f>
        <v/>
      </c>
      <c r="L686" s="26">
        <f>$D686&amp;"|"&amp;$H686</f>
        <v/>
      </c>
    </row>
    <row r="687" ht="15" customHeight="1" s="22">
      <c r="A687" s="36" t="n">
        <v>46235</v>
      </c>
      <c r="B687" t="inlineStr">
        <is>
          <t>Sat</t>
        </is>
      </c>
      <c r="C687" t="inlineStr">
        <is>
          <t>Cardio + Pull</t>
        </is>
      </c>
      <c r="D687" t="inlineStr">
        <is>
          <t>Bicep Curls (DB)</t>
        </is>
      </c>
      <c r="E687" t="inlineStr">
        <is>
          <t>Dumbbell</t>
        </is>
      </c>
      <c r="F687" t="inlineStr">
        <is>
          <t>lbs</t>
        </is>
      </c>
      <c r="G687" t="n">
        <v>1</v>
      </c>
      <c r="H687" t="n">
        <v>20</v>
      </c>
      <c r="I687" t="n">
        <v>8</v>
      </c>
      <c r="J687" t="inlineStr">
        <is>
          <t>Y</t>
        </is>
      </c>
      <c r="K687" s="26">
        <f>IF($J687="Y","",IF($F687="BW",$I687,$H687*$I687))</f>
        <v/>
      </c>
      <c r="L687" s="26">
        <f>$D687&amp;"|"&amp;$H687</f>
        <v/>
      </c>
    </row>
    <row r="688" ht="15" customHeight="1" s="22">
      <c r="A688" s="36" t="n">
        <v>46235</v>
      </c>
      <c r="B688" t="inlineStr">
        <is>
          <t>Sat</t>
        </is>
      </c>
      <c r="C688" t="inlineStr">
        <is>
          <t>Cardio + Pull</t>
        </is>
      </c>
      <c r="D688" t="inlineStr">
        <is>
          <t>Bicep Curls (DB)</t>
        </is>
      </c>
      <c r="E688" t="inlineStr">
        <is>
          <t>Dumbbell</t>
        </is>
      </c>
      <c r="F688" t="inlineStr">
        <is>
          <t>lbs</t>
        </is>
      </c>
      <c r="G688" t="n">
        <v>2</v>
      </c>
      <c r="H688" t="n">
        <v>30</v>
      </c>
      <c r="I688" t="n">
        <v>8</v>
      </c>
      <c r="J688" t="inlineStr">
        <is>
          <t>N</t>
        </is>
      </c>
      <c r="K688" s="26">
        <f>IF($J688="Y","",IF($F688="BW",$I688,$H688*$I688))</f>
        <v/>
      </c>
      <c r="L688" s="26">
        <f>$D688&amp;"|"&amp;$H688</f>
        <v/>
      </c>
    </row>
    <row r="689" ht="15" customHeight="1" s="22">
      <c r="A689" s="36" t="n">
        <v>46235</v>
      </c>
      <c r="B689" t="inlineStr">
        <is>
          <t>Sat</t>
        </is>
      </c>
      <c r="C689" t="inlineStr">
        <is>
          <t>Cardio + Pull</t>
        </is>
      </c>
      <c r="D689" t="inlineStr">
        <is>
          <t>Bicep Curls (DB)</t>
        </is>
      </c>
      <c r="E689" t="inlineStr">
        <is>
          <t>Dumbbell</t>
        </is>
      </c>
      <c r="F689" t="inlineStr">
        <is>
          <t>lbs</t>
        </is>
      </c>
      <c r="G689" t="n">
        <v>3</v>
      </c>
      <c r="H689" t="n">
        <v>30</v>
      </c>
      <c r="I689" t="n">
        <v>8</v>
      </c>
      <c r="J689" t="inlineStr">
        <is>
          <t>N</t>
        </is>
      </c>
      <c r="K689" s="26">
        <f>IF($J689="Y","",IF($F689="BW",$I689,$H689*$I689))</f>
        <v/>
      </c>
      <c r="L689" s="26">
        <f>$D689&amp;"|"&amp;$H689</f>
        <v/>
      </c>
    </row>
    <row r="690" ht="15" customHeight="1" s="22">
      <c r="A690" s="36" t="n">
        <v>46235</v>
      </c>
      <c r="B690" t="inlineStr">
        <is>
          <t>Sat</t>
        </is>
      </c>
      <c r="C690" t="inlineStr">
        <is>
          <t>Cardio + Pull</t>
        </is>
      </c>
      <c r="D690" t="inlineStr">
        <is>
          <t>Bicep Curls (DB)</t>
        </is>
      </c>
      <c r="E690" t="inlineStr">
        <is>
          <t>Dumbbell</t>
        </is>
      </c>
      <c r="F690" t="inlineStr">
        <is>
          <t>lbs</t>
        </is>
      </c>
      <c r="G690" t="n">
        <v>4</v>
      </c>
      <c r="H690" t="n">
        <v>25</v>
      </c>
      <c r="I690" t="n">
        <v>8</v>
      </c>
      <c r="J690" t="inlineStr">
        <is>
          <t>N</t>
        </is>
      </c>
      <c r="K690" s="26">
        <f>IF($J690="Y","",IF($F690="BW",$I690,$H690*$I690))</f>
        <v/>
      </c>
      <c r="L690" s="26">
        <f>$D690&amp;"|"&amp;$H690</f>
        <v/>
      </c>
    </row>
    <row r="691" ht="15" customHeight="1" s="22">
      <c r="A691" s="36" t="n">
        <v>46235</v>
      </c>
      <c r="B691" t="inlineStr">
        <is>
          <t>Sat</t>
        </is>
      </c>
      <c r="C691" t="inlineStr">
        <is>
          <t>Cardio + Pull</t>
        </is>
      </c>
      <c r="D691" t="inlineStr">
        <is>
          <t>Smith Rows</t>
        </is>
      </c>
      <c r="E691" t="inlineStr">
        <is>
          <t>Smith</t>
        </is>
      </c>
      <c r="F691" t="inlineStr">
        <is>
          <t>lbs</t>
        </is>
      </c>
      <c r="G691" t="n">
        <v>1</v>
      </c>
      <c r="H691" t="n">
        <v>25</v>
      </c>
      <c r="I691" t="n">
        <v>8</v>
      </c>
      <c r="J691" t="inlineStr">
        <is>
          <t>Y</t>
        </is>
      </c>
      <c r="K691" s="26">
        <f>IF($J691="Y","",IF($F691="BW",$I691,$H691*$I691))</f>
        <v/>
      </c>
      <c r="L691" s="26">
        <f>$D691&amp;"|"&amp;$H691</f>
        <v/>
      </c>
    </row>
    <row r="692" ht="15" customHeight="1" s="22">
      <c r="A692" s="36" t="n">
        <v>46235</v>
      </c>
      <c r="B692" t="inlineStr">
        <is>
          <t>Sat</t>
        </is>
      </c>
      <c r="C692" t="inlineStr">
        <is>
          <t>Cardio + Pull</t>
        </is>
      </c>
      <c r="D692" t="inlineStr">
        <is>
          <t>Smith Rows</t>
        </is>
      </c>
      <c r="E692" t="inlineStr">
        <is>
          <t>Smith</t>
        </is>
      </c>
      <c r="F692" t="inlineStr">
        <is>
          <t>lbs</t>
        </is>
      </c>
      <c r="G692" t="n">
        <v>2</v>
      </c>
      <c r="H692" t="n">
        <v>50</v>
      </c>
      <c r="I692" t="n">
        <v>8</v>
      </c>
      <c r="J692" t="inlineStr">
        <is>
          <t>N</t>
        </is>
      </c>
      <c r="K692" s="26">
        <f>IF($J692="Y","",IF($F692="BW",$I692,$H692*$I692))</f>
        <v/>
      </c>
      <c r="L692" s="26">
        <f>$D692&amp;"|"&amp;$H692</f>
        <v/>
      </c>
    </row>
    <row r="693" ht="15" customHeight="1" s="22">
      <c r="A693" s="36" t="n">
        <v>46235</v>
      </c>
      <c r="B693" t="inlineStr">
        <is>
          <t>Sat</t>
        </is>
      </c>
      <c r="C693" t="inlineStr">
        <is>
          <t>Cardio + Pull</t>
        </is>
      </c>
      <c r="D693" t="inlineStr">
        <is>
          <t>Smith Rows</t>
        </is>
      </c>
      <c r="E693" t="inlineStr">
        <is>
          <t>Smith</t>
        </is>
      </c>
      <c r="F693" t="inlineStr">
        <is>
          <t>lbs</t>
        </is>
      </c>
      <c r="G693" t="n">
        <v>3</v>
      </c>
      <c r="H693" t="n">
        <v>60</v>
      </c>
      <c r="I693" t="n">
        <v>8</v>
      </c>
      <c r="J693" t="inlineStr">
        <is>
          <t>N</t>
        </is>
      </c>
      <c r="K693" s="26">
        <f>IF($J693="Y","",IF($F693="BW",$I693,$H693*$I693))</f>
        <v/>
      </c>
      <c r="L693" s="26">
        <f>$D693&amp;"|"&amp;$H693</f>
        <v/>
      </c>
    </row>
    <row r="694" ht="15" customHeight="1" s="22">
      <c r="A694" s="36" t="n">
        <v>46235</v>
      </c>
      <c r="B694" t="inlineStr">
        <is>
          <t>Sat</t>
        </is>
      </c>
      <c r="C694" t="inlineStr">
        <is>
          <t>Cardio + Pull</t>
        </is>
      </c>
      <c r="D694" t="inlineStr">
        <is>
          <t>Smith Rows</t>
        </is>
      </c>
      <c r="E694" t="inlineStr">
        <is>
          <t>Smith</t>
        </is>
      </c>
      <c r="F694" t="inlineStr">
        <is>
          <t>lbs</t>
        </is>
      </c>
      <c r="G694" t="n">
        <v>4</v>
      </c>
      <c r="H694" t="n">
        <v>60</v>
      </c>
      <c r="I694" t="n">
        <v>8</v>
      </c>
      <c r="J694" t="inlineStr">
        <is>
          <t>N</t>
        </is>
      </c>
      <c r="K694" s="26">
        <f>IF($J694="Y","",IF($F694="BW",$I694,$H694*$I694))</f>
        <v/>
      </c>
      <c r="L694" s="26">
        <f>$D694&amp;"|"&amp;$H694</f>
        <v/>
      </c>
    </row>
    <row r="695" ht="15" customHeight="1" s="22">
      <c r="A695" s="36" t="n">
        <v>46235</v>
      </c>
      <c r="B695" t="inlineStr">
        <is>
          <t>Sat</t>
        </is>
      </c>
      <c r="C695" t="inlineStr">
        <is>
          <t>Cardio + Pull</t>
        </is>
      </c>
      <c r="D695" t="inlineStr">
        <is>
          <t>Shrugs</t>
        </is>
      </c>
      <c r="E695" t="inlineStr">
        <is>
          <t>Dumbbell</t>
        </is>
      </c>
      <c r="F695" t="inlineStr">
        <is>
          <t>lbs</t>
        </is>
      </c>
      <c r="G695" t="n">
        <v>1</v>
      </c>
      <c r="H695" t="n">
        <v>25</v>
      </c>
      <c r="I695" t="n">
        <v>8</v>
      </c>
      <c r="J695" t="inlineStr">
        <is>
          <t>Y</t>
        </is>
      </c>
      <c r="K695" s="26">
        <f>IF($J695="Y","",IF($F695="BW",$I695,$H695*$I695))</f>
        <v/>
      </c>
      <c r="L695" s="26">
        <f>$D695&amp;"|"&amp;$H695</f>
        <v/>
      </c>
    </row>
    <row r="696" ht="15" customHeight="1" s="22">
      <c r="A696" s="36" t="n">
        <v>46235</v>
      </c>
      <c r="B696" t="inlineStr">
        <is>
          <t>Sat</t>
        </is>
      </c>
      <c r="C696" t="inlineStr">
        <is>
          <t>Cardio + Pull</t>
        </is>
      </c>
      <c r="D696" t="inlineStr">
        <is>
          <t>Shrugs</t>
        </is>
      </c>
      <c r="E696" t="inlineStr">
        <is>
          <t>Dumbbell</t>
        </is>
      </c>
      <c r="F696" t="inlineStr">
        <is>
          <t>lbs</t>
        </is>
      </c>
      <c r="G696" t="n">
        <v>2</v>
      </c>
      <c r="H696" t="n">
        <v>50</v>
      </c>
      <c r="I696" t="n">
        <v>8</v>
      </c>
      <c r="J696" t="inlineStr">
        <is>
          <t>N</t>
        </is>
      </c>
      <c r="K696" s="26">
        <f>IF($J696="Y","",IF($F696="BW",$I696,$H696*$I696))</f>
        <v/>
      </c>
      <c r="L696" s="26">
        <f>$D696&amp;"|"&amp;$H696</f>
        <v/>
      </c>
    </row>
    <row r="697" ht="15" customHeight="1" s="22">
      <c r="A697" s="36" t="n">
        <v>46235</v>
      </c>
      <c r="B697" t="inlineStr">
        <is>
          <t>Sat</t>
        </is>
      </c>
      <c r="C697" t="inlineStr">
        <is>
          <t>Cardio + Pull</t>
        </is>
      </c>
      <c r="D697" t="inlineStr">
        <is>
          <t>Shrugs</t>
        </is>
      </c>
      <c r="E697" t="inlineStr">
        <is>
          <t>Dumbbell</t>
        </is>
      </c>
      <c r="F697" t="inlineStr">
        <is>
          <t>lbs</t>
        </is>
      </c>
      <c r="G697" t="n">
        <v>3</v>
      </c>
      <c r="H697" t="n">
        <v>50</v>
      </c>
      <c r="I697" t="n">
        <v>8</v>
      </c>
      <c r="J697" t="inlineStr">
        <is>
          <t>N</t>
        </is>
      </c>
      <c r="K697" s="26">
        <f>IF($J697="Y","",IF($F697="BW",$I697,$H697*$I697))</f>
        <v/>
      </c>
      <c r="L697" s="26">
        <f>$D697&amp;"|"&amp;$H697</f>
        <v/>
      </c>
    </row>
    <row r="698" ht="15" customHeight="1" s="22">
      <c r="A698" s="36" t="n">
        <v>46235</v>
      </c>
      <c r="B698" t="inlineStr">
        <is>
          <t>Sat</t>
        </is>
      </c>
      <c r="C698" t="inlineStr">
        <is>
          <t>Cardio + Pull</t>
        </is>
      </c>
      <c r="D698" t="inlineStr">
        <is>
          <t>Shrugs</t>
        </is>
      </c>
      <c r="E698" t="inlineStr">
        <is>
          <t>Dumbbell</t>
        </is>
      </c>
      <c r="F698" t="inlineStr">
        <is>
          <t>lbs</t>
        </is>
      </c>
      <c r="G698" t="n">
        <v>4</v>
      </c>
      <c r="H698" t="n">
        <v>50</v>
      </c>
      <c r="I698" t="n">
        <v>8</v>
      </c>
      <c r="J698" t="inlineStr">
        <is>
          <t>N</t>
        </is>
      </c>
      <c r="K698" s="26">
        <f>IF($J698="Y","",IF($F698="BW",$I698,$H698*$I698))</f>
        <v/>
      </c>
      <c r="L698" s="26">
        <f>$D698&amp;"|"&amp;$H698</f>
        <v/>
      </c>
    </row>
    <row r="699" ht="15" customHeight="1" s="22">
      <c r="A699" s="36" t="n">
        <v>46238</v>
      </c>
      <c r="B699" t="inlineStr">
        <is>
          <t>Tue</t>
        </is>
      </c>
      <c r="C699" t="inlineStr">
        <is>
          <t>Cardio + Legs</t>
        </is>
      </c>
      <c r="D699" t="inlineStr">
        <is>
          <t>RDLs</t>
        </is>
      </c>
      <c r="E699" t="inlineStr">
        <is>
          <t>Smith</t>
        </is>
      </c>
      <c r="F699" t="inlineStr">
        <is>
          <t>lbs</t>
        </is>
      </c>
      <c r="G699" t="n">
        <v>1</v>
      </c>
      <c r="H699" t="n">
        <v>20</v>
      </c>
      <c r="I699" t="n">
        <v>8</v>
      </c>
      <c r="J699" t="inlineStr">
        <is>
          <t>Y</t>
        </is>
      </c>
      <c r="K699" s="26">
        <f>IF($J699="Y","",IF($F699="BW",$I699,$H699*$I699))</f>
        <v/>
      </c>
      <c r="L699" s="26">
        <f>$D699&amp;"|"&amp;$H699</f>
        <v/>
      </c>
    </row>
    <row r="700" ht="15" customHeight="1" s="22">
      <c r="A700" s="36" t="n">
        <v>46238</v>
      </c>
      <c r="B700" t="inlineStr">
        <is>
          <t>Tue</t>
        </is>
      </c>
      <c r="C700" t="inlineStr">
        <is>
          <t>Cardio + Legs</t>
        </is>
      </c>
      <c r="D700" t="inlineStr">
        <is>
          <t>RDLs</t>
        </is>
      </c>
      <c r="E700" t="inlineStr">
        <is>
          <t>Smith</t>
        </is>
      </c>
      <c r="F700" t="inlineStr">
        <is>
          <t>lbs</t>
        </is>
      </c>
      <c r="G700" t="n">
        <v>2</v>
      </c>
      <c r="H700" t="n">
        <v>50</v>
      </c>
      <c r="I700" t="n">
        <v>8</v>
      </c>
      <c r="J700" t="inlineStr">
        <is>
          <t>N</t>
        </is>
      </c>
      <c r="K700" s="26">
        <f>IF($J700="Y","",IF($F700="BW",$I700,$H700*$I700))</f>
        <v/>
      </c>
      <c r="L700" s="26">
        <f>$D700&amp;"|"&amp;$H700</f>
        <v/>
      </c>
    </row>
    <row r="701" ht="15" customHeight="1" s="22">
      <c r="A701" s="36" t="n">
        <v>46238</v>
      </c>
      <c r="B701" t="inlineStr">
        <is>
          <t>Tue</t>
        </is>
      </c>
      <c r="C701" t="inlineStr">
        <is>
          <t>Cardio + Legs</t>
        </is>
      </c>
      <c r="D701" t="inlineStr">
        <is>
          <t>RDLs</t>
        </is>
      </c>
      <c r="E701" t="inlineStr">
        <is>
          <t>Smith</t>
        </is>
      </c>
      <c r="F701" t="inlineStr">
        <is>
          <t>lbs</t>
        </is>
      </c>
      <c r="G701" t="n">
        <v>3</v>
      </c>
      <c r="H701" t="n">
        <v>60</v>
      </c>
      <c r="I701" t="n">
        <v>8</v>
      </c>
      <c r="J701" t="inlineStr">
        <is>
          <t>N</t>
        </is>
      </c>
      <c r="K701" s="26">
        <f>IF($J701="Y","",IF($F701="BW",$I701,$H701*$I701))</f>
        <v/>
      </c>
      <c r="L701" s="26">
        <f>$D701&amp;"|"&amp;$H701</f>
        <v/>
      </c>
    </row>
    <row r="702" ht="15" customHeight="1" s="22">
      <c r="A702" s="36" t="n">
        <v>46238</v>
      </c>
      <c r="B702" t="inlineStr">
        <is>
          <t>Tue</t>
        </is>
      </c>
      <c r="C702" t="inlineStr">
        <is>
          <t>Cardio + Legs</t>
        </is>
      </c>
      <c r="D702" t="inlineStr">
        <is>
          <t>RDLs</t>
        </is>
      </c>
      <c r="E702" t="inlineStr">
        <is>
          <t>Smith</t>
        </is>
      </c>
      <c r="F702" t="inlineStr">
        <is>
          <t>lbs</t>
        </is>
      </c>
      <c r="G702" t="n">
        <v>4</v>
      </c>
      <c r="H702" t="n">
        <v>65</v>
      </c>
      <c r="I702" t="n">
        <v>8</v>
      </c>
      <c r="J702" t="inlineStr">
        <is>
          <t>N</t>
        </is>
      </c>
      <c r="K702" s="26">
        <f>IF($J702="Y","",IF($F702="BW",$I702,$H702*$I702))</f>
        <v/>
      </c>
      <c r="L702" s="26">
        <f>$D702&amp;"|"&amp;$H702</f>
        <v/>
      </c>
    </row>
    <row r="703" ht="15" customHeight="1" s="22">
      <c r="A703" s="36" t="n">
        <v>46238</v>
      </c>
      <c r="B703" t="inlineStr">
        <is>
          <t>Tue</t>
        </is>
      </c>
      <c r="C703" t="inlineStr">
        <is>
          <t>Cardio + Legs</t>
        </is>
      </c>
      <c r="D703" t="inlineStr">
        <is>
          <t>RDLs</t>
        </is>
      </c>
      <c r="E703" t="inlineStr">
        <is>
          <t>Smith</t>
        </is>
      </c>
      <c r="F703" t="inlineStr">
        <is>
          <t>lbs</t>
        </is>
      </c>
      <c r="G703" t="n">
        <v>5</v>
      </c>
      <c r="H703" t="n">
        <v>70</v>
      </c>
      <c r="I703" t="n">
        <v>8</v>
      </c>
      <c r="J703" t="inlineStr">
        <is>
          <t>N</t>
        </is>
      </c>
      <c r="K703" s="26">
        <f>IF($J703="Y","",IF($F703="BW",$I703,$H703*$I703))</f>
        <v/>
      </c>
      <c r="L703" s="26">
        <f>$D703&amp;"|"&amp;$H703</f>
        <v/>
      </c>
    </row>
    <row r="704" ht="15" customHeight="1" s="22">
      <c r="A704" s="36" t="n">
        <v>46238</v>
      </c>
      <c r="B704" t="inlineStr">
        <is>
          <t>Tue</t>
        </is>
      </c>
      <c r="C704" t="inlineStr">
        <is>
          <t>Cardio + Legs</t>
        </is>
      </c>
      <c r="D704" t="inlineStr">
        <is>
          <t>Goblet Squats</t>
        </is>
      </c>
      <c r="E704" t="inlineStr">
        <is>
          <t>Dumbbell</t>
        </is>
      </c>
      <c r="F704" t="inlineStr">
        <is>
          <t>lbs</t>
        </is>
      </c>
      <c r="G704" t="n">
        <v>1</v>
      </c>
      <c r="H704" t="n">
        <v>20</v>
      </c>
      <c r="I704" t="n">
        <v>8</v>
      </c>
      <c r="J704" t="inlineStr">
        <is>
          <t>N</t>
        </is>
      </c>
      <c r="K704" s="26">
        <f>IF($J704="Y","",IF($F704="BW",$I704,$H704*$I704))</f>
        <v/>
      </c>
      <c r="L704" s="26">
        <f>$D704&amp;"|"&amp;$H704</f>
        <v/>
      </c>
    </row>
    <row r="705" ht="15" customHeight="1" s="22">
      <c r="A705" s="36" t="n">
        <v>46238</v>
      </c>
      <c r="B705" t="inlineStr">
        <is>
          <t>Tue</t>
        </is>
      </c>
      <c r="C705" t="inlineStr">
        <is>
          <t>Cardio + Legs</t>
        </is>
      </c>
      <c r="D705" t="inlineStr">
        <is>
          <t>Goblet Squats</t>
        </is>
      </c>
      <c r="E705" t="inlineStr">
        <is>
          <t>Dumbbell</t>
        </is>
      </c>
      <c r="F705" t="inlineStr">
        <is>
          <t>lbs</t>
        </is>
      </c>
      <c r="G705" t="n">
        <v>2</v>
      </c>
      <c r="H705" t="n">
        <v>20</v>
      </c>
      <c r="I705" t="n">
        <v>8</v>
      </c>
      <c r="J705" t="inlineStr">
        <is>
          <t>N</t>
        </is>
      </c>
      <c r="K705" s="26">
        <f>IF($J705="Y","",IF($F705="BW",$I705,$H705*$I705))</f>
        <v/>
      </c>
      <c r="L705" s="26">
        <f>$D705&amp;"|"&amp;$H705</f>
        <v/>
      </c>
    </row>
    <row r="706" ht="15" customHeight="1" s="22">
      <c r="A706" s="36" t="n">
        <v>46238</v>
      </c>
      <c r="B706" t="inlineStr">
        <is>
          <t>Tue</t>
        </is>
      </c>
      <c r="C706" t="inlineStr">
        <is>
          <t>Cardio + Legs</t>
        </is>
      </c>
      <c r="D706" t="inlineStr">
        <is>
          <t>Goblet Squats</t>
        </is>
      </c>
      <c r="E706" t="inlineStr">
        <is>
          <t>Dumbbell</t>
        </is>
      </c>
      <c r="F706" t="inlineStr">
        <is>
          <t>lbs</t>
        </is>
      </c>
      <c r="G706" t="n">
        <v>3</v>
      </c>
      <c r="H706" t="n">
        <v>25</v>
      </c>
      <c r="I706" t="n">
        <v>8</v>
      </c>
      <c r="J706" t="inlineStr">
        <is>
          <t>N</t>
        </is>
      </c>
      <c r="K706" s="26">
        <f>IF($J706="Y","",IF($F706="BW",$I706,$H706*$I706))</f>
        <v/>
      </c>
      <c r="L706" s="26">
        <f>$D706&amp;"|"&amp;$H706</f>
        <v/>
      </c>
    </row>
    <row r="707" ht="15" customHeight="1" s="22">
      <c r="A707" s="36" t="n">
        <v>46238</v>
      </c>
      <c r="B707" t="inlineStr">
        <is>
          <t>Tue</t>
        </is>
      </c>
      <c r="C707" t="inlineStr">
        <is>
          <t>Cardio + Legs</t>
        </is>
      </c>
      <c r="D707" t="inlineStr">
        <is>
          <t>Calf Raises (DB)</t>
        </is>
      </c>
      <c r="E707" t="inlineStr">
        <is>
          <t>Dumbbell</t>
        </is>
      </c>
      <c r="F707" t="inlineStr">
        <is>
          <t>lbs</t>
        </is>
      </c>
      <c r="G707" t="n">
        <v>1</v>
      </c>
      <c r="H707" t="n">
        <v>15</v>
      </c>
      <c r="I707" t="n">
        <v>15</v>
      </c>
      <c r="J707" t="inlineStr">
        <is>
          <t>Y</t>
        </is>
      </c>
      <c r="K707" s="26">
        <f>IF($J707="Y","",IF($F707="BW",$I707,$H707*$I707))</f>
        <v/>
      </c>
      <c r="L707" s="26">
        <f>$D707&amp;"|"&amp;$H707</f>
        <v/>
      </c>
    </row>
    <row r="708" ht="15" customHeight="1" s="22">
      <c r="A708" s="36" t="n">
        <v>46238</v>
      </c>
      <c r="B708" t="inlineStr">
        <is>
          <t>Tue</t>
        </is>
      </c>
      <c r="C708" t="inlineStr">
        <is>
          <t>Cardio + Legs</t>
        </is>
      </c>
      <c r="D708" t="inlineStr">
        <is>
          <t>Calf Raises (DB)</t>
        </is>
      </c>
      <c r="E708" t="inlineStr">
        <is>
          <t>Dumbbell</t>
        </is>
      </c>
      <c r="F708" t="inlineStr">
        <is>
          <t>lbs</t>
        </is>
      </c>
      <c r="G708" t="n">
        <v>2</v>
      </c>
      <c r="H708" t="n">
        <v>25</v>
      </c>
      <c r="I708" t="n">
        <v>15</v>
      </c>
      <c r="J708" t="inlineStr">
        <is>
          <t>N</t>
        </is>
      </c>
      <c r="K708" s="26">
        <f>IF($J708="Y","",IF($F708="BW",$I708,$H708*$I708))</f>
        <v/>
      </c>
      <c r="L708" s="26">
        <f>$D708&amp;"|"&amp;$H708</f>
        <v/>
      </c>
    </row>
    <row r="709" ht="15" customHeight="1" s="22">
      <c r="A709" s="36" t="n">
        <v>46238</v>
      </c>
      <c r="B709" t="inlineStr">
        <is>
          <t>Tue</t>
        </is>
      </c>
      <c r="C709" t="inlineStr">
        <is>
          <t>Cardio + Legs</t>
        </is>
      </c>
      <c r="D709" t="inlineStr">
        <is>
          <t>Calf Raises (DB)</t>
        </is>
      </c>
      <c r="E709" t="inlineStr">
        <is>
          <t>Dumbbell</t>
        </is>
      </c>
      <c r="F709" t="inlineStr">
        <is>
          <t>lbs</t>
        </is>
      </c>
      <c r="G709" t="n">
        <v>3</v>
      </c>
      <c r="H709" t="n">
        <v>25</v>
      </c>
      <c r="I709" t="n">
        <v>15</v>
      </c>
      <c r="J709" t="inlineStr">
        <is>
          <t>N</t>
        </is>
      </c>
      <c r="K709" s="26">
        <f>IF($J709="Y","",IF($F709="BW",$I709,$H709*$I709))</f>
        <v/>
      </c>
      <c r="L709" s="26">
        <f>$D709&amp;"|"&amp;$H709</f>
        <v/>
      </c>
    </row>
    <row r="710" ht="15" customHeight="1" s="22">
      <c r="A710" s="36" t="n">
        <v>46238</v>
      </c>
      <c r="B710" t="inlineStr">
        <is>
          <t>Tue</t>
        </is>
      </c>
      <c r="C710" t="inlineStr">
        <is>
          <t>Cardio + Legs</t>
        </is>
      </c>
      <c r="D710" t="inlineStr">
        <is>
          <t>Calf Raises (DB)</t>
        </is>
      </c>
      <c r="E710" t="inlineStr">
        <is>
          <t>Dumbbell</t>
        </is>
      </c>
      <c r="F710" t="inlineStr">
        <is>
          <t>lbs</t>
        </is>
      </c>
      <c r="G710" t="n">
        <v>4</v>
      </c>
      <c r="H710" t="n">
        <v>25</v>
      </c>
      <c r="I710" t="n">
        <v>15</v>
      </c>
      <c r="J710" t="inlineStr">
        <is>
          <t>N</t>
        </is>
      </c>
      <c r="K710" s="26">
        <f>IF($J710="Y","",IF($F710="BW",$I710,$H710*$I710))</f>
        <v/>
      </c>
      <c r="L710" s="26">
        <f>$D710&amp;"|"&amp;$H710</f>
        <v/>
      </c>
    </row>
    <row r="711" ht="15" customHeight="1" s="22">
      <c r="A711" s="36" t="n">
        <v>46240</v>
      </c>
      <c r="B711" t="inlineStr">
        <is>
          <t>Thu</t>
        </is>
      </c>
      <c r="C711" t="inlineStr">
        <is>
          <t>Cardio + Push</t>
        </is>
      </c>
      <c r="D711" t="inlineStr">
        <is>
          <t>Bench Press (Smith)</t>
        </is>
      </c>
      <c r="E711" t="inlineStr">
        <is>
          <t>Smith</t>
        </is>
      </c>
      <c r="F711" t="inlineStr">
        <is>
          <t>lbs</t>
        </is>
      </c>
      <c r="G711" t="n">
        <v>1</v>
      </c>
      <c r="H711" t="n">
        <v>35</v>
      </c>
      <c r="I711" t="n">
        <v>8</v>
      </c>
      <c r="J711" t="inlineStr">
        <is>
          <t>Y</t>
        </is>
      </c>
      <c r="K711" s="26">
        <f>IF($J711="Y","",IF($F711="BW",$I711,$H711*$I711))</f>
        <v/>
      </c>
      <c r="L711" s="26">
        <f>$D711&amp;"|"&amp;$H711</f>
        <v/>
      </c>
    </row>
    <row r="712" ht="15" customHeight="1" s="22">
      <c r="A712" s="36" t="n">
        <v>46240</v>
      </c>
      <c r="B712" t="inlineStr">
        <is>
          <t>Thu</t>
        </is>
      </c>
      <c r="C712" t="inlineStr">
        <is>
          <t>Cardio + Push</t>
        </is>
      </c>
      <c r="D712" t="inlineStr">
        <is>
          <t>Bench Press (Smith)</t>
        </is>
      </c>
      <c r="E712" t="inlineStr">
        <is>
          <t>Smith</t>
        </is>
      </c>
      <c r="F712" t="inlineStr">
        <is>
          <t>lbs</t>
        </is>
      </c>
      <c r="G712" t="n">
        <v>2</v>
      </c>
      <c r="H712" t="n">
        <v>70</v>
      </c>
      <c r="I712" t="n">
        <v>8</v>
      </c>
      <c r="J712" t="inlineStr">
        <is>
          <t>N</t>
        </is>
      </c>
      <c r="K712" s="26">
        <f>IF($J712="Y","",IF($F712="BW",$I712,$H712*$I712))</f>
        <v/>
      </c>
      <c r="L712" s="26">
        <f>$D712&amp;"|"&amp;$H712</f>
        <v/>
      </c>
    </row>
    <row r="713" ht="15" customHeight="1" s="22">
      <c r="A713" s="36" t="n">
        <v>46240</v>
      </c>
      <c r="B713" t="inlineStr">
        <is>
          <t>Thu</t>
        </is>
      </c>
      <c r="C713" t="inlineStr">
        <is>
          <t>Cardio + Push</t>
        </is>
      </c>
      <c r="D713" t="inlineStr">
        <is>
          <t>Bench Press (Smith)</t>
        </is>
      </c>
      <c r="E713" t="inlineStr">
        <is>
          <t>Smith</t>
        </is>
      </c>
      <c r="F713" t="inlineStr">
        <is>
          <t>lbs</t>
        </is>
      </c>
      <c r="G713" t="n">
        <v>3</v>
      </c>
      <c r="H713" t="n">
        <v>110</v>
      </c>
      <c r="I713" t="n">
        <v>8</v>
      </c>
      <c r="J713" t="inlineStr">
        <is>
          <t>N</t>
        </is>
      </c>
      <c r="K713" s="26">
        <f>IF($J713="Y","",IF($F713="BW",$I713,$H713*$I713))</f>
        <v/>
      </c>
      <c r="L713" s="26">
        <f>$D713&amp;"|"&amp;$H713</f>
        <v/>
      </c>
    </row>
    <row r="714" ht="15" customHeight="1" s="22">
      <c r="A714" s="36" t="n">
        <v>46240</v>
      </c>
      <c r="B714" t="inlineStr">
        <is>
          <t>Thu</t>
        </is>
      </c>
      <c r="C714" t="inlineStr">
        <is>
          <t>Cardio + Push</t>
        </is>
      </c>
      <c r="D714" t="inlineStr">
        <is>
          <t>Bench Press (Smith)</t>
        </is>
      </c>
      <c r="E714" t="inlineStr">
        <is>
          <t>Smith</t>
        </is>
      </c>
      <c r="F714" t="inlineStr">
        <is>
          <t>lbs</t>
        </is>
      </c>
      <c r="G714" t="n">
        <v>4</v>
      </c>
      <c r="H714" t="n">
        <v>100</v>
      </c>
      <c r="I714" t="n">
        <v>8</v>
      </c>
      <c r="J714" t="inlineStr">
        <is>
          <t>N</t>
        </is>
      </c>
      <c r="K714" s="26">
        <f>IF($J714="Y","",IF($F714="BW",$I714,$H714*$I714))</f>
        <v/>
      </c>
      <c r="L714" s="26">
        <f>$D714&amp;"|"&amp;$H714</f>
        <v/>
      </c>
    </row>
    <row r="715" ht="15" customHeight="1" s="22">
      <c r="A715" s="36" t="n">
        <v>46240</v>
      </c>
      <c r="B715" t="inlineStr">
        <is>
          <t>Thu</t>
        </is>
      </c>
      <c r="C715" t="inlineStr">
        <is>
          <t>Cardio + Push</t>
        </is>
      </c>
      <c r="D715" t="inlineStr">
        <is>
          <t>Bench Press (Smith)</t>
        </is>
      </c>
      <c r="E715" t="inlineStr">
        <is>
          <t>Smith</t>
        </is>
      </c>
      <c r="F715" t="inlineStr">
        <is>
          <t>lbs</t>
        </is>
      </c>
      <c r="G715" t="n">
        <v>5</v>
      </c>
      <c r="H715" t="n">
        <v>100</v>
      </c>
      <c r="I715" t="n">
        <v>8</v>
      </c>
      <c r="J715" t="inlineStr">
        <is>
          <t>N</t>
        </is>
      </c>
      <c r="K715" s="26">
        <f>IF($J715="Y","",IF($F715="BW",$I715,$H715*$I715))</f>
        <v/>
      </c>
      <c r="L715" s="26">
        <f>$D715&amp;"|"&amp;$H715</f>
        <v/>
      </c>
    </row>
    <row r="716" ht="15" customHeight="1" s="22">
      <c r="A716" s="36" t="n">
        <v>46240</v>
      </c>
      <c r="B716" t="inlineStr">
        <is>
          <t>Thu</t>
        </is>
      </c>
      <c r="C716" t="inlineStr">
        <is>
          <t>Cardio + Push</t>
        </is>
      </c>
      <c r="D716" t="inlineStr">
        <is>
          <t>Shoulder Press</t>
        </is>
      </c>
      <c r="E716" t="inlineStr">
        <is>
          <t>Dumbbell</t>
        </is>
      </c>
      <c r="F716" t="inlineStr">
        <is>
          <t>lbs</t>
        </is>
      </c>
      <c r="G716" t="n">
        <v>1</v>
      </c>
      <c r="H716" t="n">
        <v>15</v>
      </c>
      <c r="I716" t="n">
        <v>8</v>
      </c>
      <c r="J716" t="inlineStr">
        <is>
          <t>Y</t>
        </is>
      </c>
      <c r="K716" s="26">
        <f>IF($J716="Y","",IF($F716="BW",$I716,$H716*$I716))</f>
        <v/>
      </c>
      <c r="L716" s="26">
        <f>$D716&amp;"|"&amp;$H716</f>
        <v/>
      </c>
    </row>
    <row r="717" ht="15" customHeight="1" s="22">
      <c r="A717" s="36" t="n">
        <v>46240</v>
      </c>
      <c r="B717" t="inlineStr">
        <is>
          <t>Thu</t>
        </is>
      </c>
      <c r="C717" t="inlineStr">
        <is>
          <t>Cardio + Push</t>
        </is>
      </c>
      <c r="D717" t="inlineStr">
        <is>
          <t>Shoulder Press</t>
        </is>
      </c>
      <c r="E717" t="inlineStr">
        <is>
          <t>Dumbbell</t>
        </is>
      </c>
      <c r="F717" t="inlineStr">
        <is>
          <t>lbs</t>
        </is>
      </c>
      <c r="G717" t="n">
        <v>2</v>
      </c>
      <c r="H717" t="n">
        <v>35</v>
      </c>
      <c r="I717" t="n">
        <v>8</v>
      </c>
      <c r="J717" t="inlineStr">
        <is>
          <t>N</t>
        </is>
      </c>
      <c r="K717" s="26">
        <f>IF($J717="Y","",IF($F717="BW",$I717,$H717*$I717))</f>
        <v/>
      </c>
      <c r="L717" s="26">
        <f>$D717&amp;"|"&amp;$H717</f>
        <v/>
      </c>
    </row>
    <row r="718" ht="15" customHeight="1" s="22">
      <c r="A718" s="36" t="n">
        <v>46240</v>
      </c>
      <c r="B718" t="inlineStr">
        <is>
          <t>Thu</t>
        </is>
      </c>
      <c r="C718" t="inlineStr">
        <is>
          <t>Cardio + Push</t>
        </is>
      </c>
      <c r="D718" t="inlineStr">
        <is>
          <t>Shoulder Press</t>
        </is>
      </c>
      <c r="E718" t="inlineStr">
        <is>
          <t>Dumbbell</t>
        </is>
      </c>
      <c r="F718" t="inlineStr">
        <is>
          <t>lbs</t>
        </is>
      </c>
      <c r="G718" t="n">
        <v>3</v>
      </c>
      <c r="H718" t="n">
        <v>35</v>
      </c>
      <c r="I718" t="n">
        <v>5</v>
      </c>
      <c r="J718" t="inlineStr">
        <is>
          <t>N</t>
        </is>
      </c>
      <c r="K718" s="26">
        <f>IF($J718="Y","",IF($F718="BW",$I718,$H718*$I718))</f>
        <v/>
      </c>
      <c r="L718" s="26">
        <f>$D718&amp;"|"&amp;$H718</f>
        <v/>
      </c>
    </row>
    <row r="719" ht="15" customHeight="1" s="22">
      <c r="A719" s="36" t="n">
        <v>46240</v>
      </c>
      <c r="B719" t="inlineStr">
        <is>
          <t>Thu</t>
        </is>
      </c>
      <c r="C719" t="inlineStr">
        <is>
          <t>Cardio + Push</t>
        </is>
      </c>
      <c r="D719" t="inlineStr">
        <is>
          <t>Shoulder Press</t>
        </is>
      </c>
      <c r="E719" t="inlineStr">
        <is>
          <t>Dumbbell</t>
        </is>
      </c>
      <c r="F719" t="inlineStr">
        <is>
          <t>lbs</t>
        </is>
      </c>
      <c r="G719" t="n">
        <v>4</v>
      </c>
      <c r="H719" t="n">
        <v>30</v>
      </c>
      <c r="I719" t="n">
        <v>8</v>
      </c>
      <c r="J719" t="inlineStr">
        <is>
          <t>N</t>
        </is>
      </c>
      <c r="K719" s="26">
        <f>IF($J719="Y","",IF($F719="BW",$I719,$H719*$I719))</f>
        <v/>
      </c>
      <c r="L719" s="26">
        <f>$D719&amp;"|"&amp;$H719</f>
        <v/>
      </c>
    </row>
    <row r="720" ht="15" customHeight="1" s="22">
      <c r="A720" s="36" t="n">
        <v>46240</v>
      </c>
      <c r="B720" t="inlineStr">
        <is>
          <t>Thu</t>
        </is>
      </c>
      <c r="C720" t="inlineStr">
        <is>
          <t>Cardio + Push</t>
        </is>
      </c>
      <c r="D720" t="inlineStr">
        <is>
          <t>Tricep Pulldown</t>
        </is>
      </c>
      <c r="E720" t="inlineStr">
        <is>
          <t>Cable</t>
        </is>
      </c>
      <c r="F720" t="inlineStr">
        <is>
          <t>kg</t>
        </is>
      </c>
      <c r="G720" t="n">
        <v>1</v>
      </c>
      <c r="H720" t="n">
        <v>12.5</v>
      </c>
      <c r="I720" t="n">
        <v>8</v>
      </c>
      <c r="J720" t="inlineStr">
        <is>
          <t>Y</t>
        </is>
      </c>
      <c r="K720" s="26">
        <f>IF($J720="Y","",IF($F720="BW",$I720,$H720*$I720))</f>
        <v/>
      </c>
      <c r="L720" s="26">
        <f>$D720&amp;"|"&amp;$H720</f>
        <v/>
      </c>
    </row>
    <row r="721" ht="15" customHeight="1" s="22">
      <c r="A721" s="36" t="n">
        <v>46240</v>
      </c>
      <c r="B721" t="inlineStr">
        <is>
          <t>Thu</t>
        </is>
      </c>
      <c r="C721" t="inlineStr">
        <is>
          <t>Cardio + Push</t>
        </is>
      </c>
      <c r="D721" t="inlineStr">
        <is>
          <t>Tricep Pulldown</t>
        </is>
      </c>
      <c r="E721" t="inlineStr">
        <is>
          <t>Cable</t>
        </is>
      </c>
      <c r="F721" t="inlineStr">
        <is>
          <t>kg</t>
        </is>
      </c>
      <c r="G721" t="n">
        <v>2</v>
      </c>
      <c r="H721" t="n">
        <v>22.5</v>
      </c>
      <c r="I721" t="n">
        <v>8</v>
      </c>
      <c r="J721" t="inlineStr">
        <is>
          <t>N</t>
        </is>
      </c>
      <c r="K721" s="26">
        <f>IF($J721="Y","",IF($F721="BW",$I721,$H721*$I721))</f>
        <v/>
      </c>
      <c r="L721" s="26">
        <f>$D721&amp;"|"&amp;$H721</f>
        <v/>
      </c>
    </row>
    <row r="722" ht="15" customHeight="1" s="22">
      <c r="A722" s="36" t="n">
        <v>46240</v>
      </c>
      <c r="B722" t="inlineStr">
        <is>
          <t>Thu</t>
        </is>
      </c>
      <c r="C722" t="inlineStr">
        <is>
          <t>Cardio + Push</t>
        </is>
      </c>
      <c r="D722" t="inlineStr">
        <is>
          <t>Tricep Pulldown</t>
        </is>
      </c>
      <c r="E722" t="inlineStr">
        <is>
          <t>Cable</t>
        </is>
      </c>
      <c r="F722" t="inlineStr">
        <is>
          <t>kg</t>
        </is>
      </c>
      <c r="G722" t="n">
        <v>3</v>
      </c>
      <c r="H722" t="n">
        <v>22.5</v>
      </c>
      <c r="I722" t="n">
        <v>8</v>
      </c>
      <c r="J722" t="inlineStr">
        <is>
          <t>N</t>
        </is>
      </c>
      <c r="K722" s="26">
        <f>IF($J722="Y","",IF($F722="BW",$I722,$H722*$I722))</f>
        <v/>
      </c>
      <c r="L722" s="26">
        <f>$D722&amp;"|"&amp;$H722</f>
        <v/>
      </c>
    </row>
    <row r="723" ht="15" customHeight="1" s="22">
      <c r="A723" s="36" t="n">
        <v>46240</v>
      </c>
      <c r="B723" t="inlineStr">
        <is>
          <t>Thu</t>
        </is>
      </c>
      <c r="C723" t="inlineStr">
        <is>
          <t>Cardio + Push</t>
        </is>
      </c>
      <c r="D723" t="inlineStr">
        <is>
          <t>Tricep Pulldown</t>
        </is>
      </c>
      <c r="E723" t="inlineStr">
        <is>
          <t>Cable</t>
        </is>
      </c>
      <c r="F723" t="inlineStr">
        <is>
          <t>kg</t>
        </is>
      </c>
      <c r="G723" t="n">
        <v>4</v>
      </c>
      <c r="H723" t="n">
        <v>22.5</v>
      </c>
      <c r="I723" t="n">
        <v>8</v>
      </c>
      <c r="J723" t="inlineStr">
        <is>
          <t>N</t>
        </is>
      </c>
      <c r="K723" s="26">
        <f>IF($J723="Y","",IF($F723="BW",$I723,$H723*$I723))</f>
        <v/>
      </c>
      <c r="L723" s="26">
        <f>$D723&amp;"|"&amp;$H723</f>
        <v/>
      </c>
    </row>
    <row r="724" ht="15" customHeight="1" s="22">
      <c r="A724" s="36" t="n">
        <v>46242</v>
      </c>
      <c r="B724" t="inlineStr">
        <is>
          <t>Sat</t>
        </is>
      </c>
      <c r="C724" t="inlineStr">
        <is>
          <t>Push + Pull (hotel)</t>
        </is>
      </c>
      <c r="D724" t="inlineStr">
        <is>
          <t>Bicep Curls (DB)</t>
        </is>
      </c>
      <c r="E724" t="inlineStr">
        <is>
          <t>Dumbbell</t>
        </is>
      </c>
      <c r="F724" t="inlineStr">
        <is>
          <t>lbs</t>
        </is>
      </c>
      <c r="G724" t="n">
        <v>1</v>
      </c>
      <c r="H724" t="n">
        <v>10</v>
      </c>
      <c r="I724" t="n">
        <v>8</v>
      </c>
      <c r="J724" t="inlineStr">
        <is>
          <t>Y</t>
        </is>
      </c>
      <c r="K724" s="26">
        <f>IF($J724="Y","",IF($F724="BW",$I724,$H724*$I724))</f>
        <v/>
      </c>
      <c r="L724" s="26">
        <f>$D724&amp;"|"&amp;$H724</f>
        <v/>
      </c>
    </row>
    <row r="725" ht="15" customHeight="1" s="22">
      <c r="A725" s="36" t="n">
        <v>46242</v>
      </c>
      <c r="B725" t="inlineStr">
        <is>
          <t>Sat</t>
        </is>
      </c>
      <c r="C725" t="inlineStr">
        <is>
          <t>Push + Pull (hotel)</t>
        </is>
      </c>
      <c r="D725" t="inlineStr">
        <is>
          <t>Bicep Curls (DB)</t>
        </is>
      </c>
      <c r="E725" t="inlineStr">
        <is>
          <t>Dumbbell</t>
        </is>
      </c>
      <c r="F725" t="inlineStr">
        <is>
          <t>lbs</t>
        </is>
      </c>
      <c r="G725" t="n">
        <v>2</v>
      </c>
      <c r="H725" t="n">
        <v>25</v>
      </c>
      <c r="I725" t="n">
        <v>8</v>
      </c>
      <c r="J725" t="inlineStr">
        <is>
          <t>N</t>
        </is>
      </c>
      <c r="K725" s="26">
        <f>IF($J725="Y","",IF($F725="BW",$I725,$H725*$I725))</f>
        <v/>
      </c>
      <c r="L725" s="26">
        <f>$D725&amp;"|"&amp;$H725</f>
        <v/>
      </c>
    </row>
    <row r="726" ht="15" customHeight="1" s="22">
      <c r="A726" s="36" t="n">
        <v>46242</v>
      </c>
      <c r="B726" t="inlineStr">
        <is>
          <t>Sat</t>
        </is>
      </c>
      <c r="C726" t="inlineStr">
        <is>
          <t>Push + Pull (hotel)</t>
        </is>
      </c>
      <c r="D726" t="inlineStr">
        <is>
          <t>Bicep Curls (DB)</t>
        </is>
      </c>
      <c r="E726" t="inlineStr">
        <is>
          <t>Dumbbell</t>
        </is>
      </c>
      <c r="F726" t="inlineStr">
        <is>
          <t>lbs</t>
        </is>
      </c>
      <c r="G726" t="n">
        <v>3</v>
      </c>
      <c r="H726" t="n">
        <v>30</v>
      </c>
      <c r="I726" t="n">
        <v>8</v>
      </c>
      <c r="J726" t="inlineStr">
        <is>
          <t>N</t>
        </is>
      </c>
      <c r="K726" s="26">
        <f>IF($J726="Y","",IF($F726="BW",$I726,$H726*$I726))</f>
        <v/>
      </c>
      <c r="L726" s="26">
        <f>$D726&amp;"|"&amp;$H726</f>
        <v/>
      </c>
    </row>
    <row r="727" ht="15" customHeight="1" s="22">
      <c r="A727" s="36" t="n">
        <v>46242</v>
      </c>
      <c r="B727" t="inlineStr">
        <is>
          <t>Sat</t>
        </is>
      </c>
      <c r="C727" t="inlineStr">
        <is>
          <t>Push + Pull (hotel)</t>
        </is>
      </c>
      <c r="D727" t="inlineStr">
        <is>
          <t>Bicep Curls (DB)</t>
        </is>
      </c>
      <c r="E727" t="inlineStr">
        <is>
          <t>Dumbbell</t>
        </is>
      </c>
      <c r="F727" t="inlineStr">
        <is>
          <t>lbs</t>
        </is>
      </c>
      <c r="G727" t="n">
        <v>4</v>
      </c>
      <c r="H727" t="n">
        <v>30</v>
      </c>
      <c r="I727" t="n">
        <v>8</v>
      </c>
      <c r="J727" t="inlineStr">
        <is>
          <t>N</t>
        </is>
      </c>
      <c r="K727" s="26">
        <f>IF($J727="Y","",IF($F727="BW",$I727,$H727*$I727))</f>
        <v/>
      </c>
      <c r="L727" s="26">
        <f>$D727&amp;"|"&amp;$H727</f>
        <v/>
      </c>
    </row>
    <row r="728" ht="15" customHeight="1" s="22">
      <c r="A728" s="36" t="n">
        <v>46242</v>
      </c>
      <c r="B728" t="inlineStr">
        <is>
          <t>Sat</t>
        </is>
      </c>
      <c r="C728" t="inlineStr">
        <is>
          <t>Push + Pull (hotel)</t>
        </is>
      </c>
      <c r="D728" t="inlineStr">
        <is>
          <t>Incline Bench (DB)</t>
        </is>
      </c>
      <c r="E728" t="inlineStr">
        <is>
          <t>Dumbbell</t>
        </is>
      </c>
      <c r="F728" t="inlineStr">
        <is>
          <t>lbs</t>
        </is>
      </c>
      <c r="G728" t="n">
        <v>1</v>
      </c>
      <c r="H728" t="n">
        <v>25</v>
      </c>
      <c r="I728" t="n">
        <v>8</v>
      </c>
      <c r="J728" t="inlineStr">
        <is>
          <t>Y</t>
        </is>
      </c>
      <c r="K728" s="26">
        <f>IF($J728="Y","",IF($F728="BW",$I728,$H728*$I728))</f>
        <v/>
      </c>
      <c r="L728" s="26">
        <f>$D728&amp;"|"&amp;$H728</f>
        <v/>
      </c>
    </row>
    <row r="729" ht="15" customHeight="1" s="22">
      <c r="A729" s="36" t="n">
        <v>46242</v>
      </c>
      <c r="B729" t="inlineStr">
        <is>
          <t>Sat</t>
        </is>
      </c>
      <c r="C729" t="inlineStr">
        <is>
          <t>Push + Pull (hotel)</t>
        </is>
      </c>
      <c r="D729" t="inlineStr">
        <is>
          <t>Incline Bench (DB)</t>
        </is>
      </c>
      <c r="E729" t="inlineStr">
        <is>
          <t>Dumbbell</t>
        </is>
      </c>
      <c r="F729" t="inlineStr">
        <is>
          <t>lbs</t>
        </is>
      </c>
      <c r="G729" t="n">
        <v>2</v>
      </c>
      <c r="H729" t="n">
        <v>35</v>
      </c>
      <c r="I729" t="n">
        <v>8</v>
      </c>
      <c r="J729" t="inlineStr">
        <is>
          <t>N</t>
        </is>
      </c>
      <c r="K729" s="26">
        <f>IF($J729="Y","",IF($F729="BW",$I729,$H729*$I729))</f>
        <v/>
      </c>
      <c r="L729" s="26">
        <f>$D729&amp;"|"&amp;$H729</f>
        <v/>
      </c>
    </row>
    <row r="730" ht="15" customHeight="1" s="22">
      <c r="A730" s="36" t="n">
        <v>46242</v>
      </c>
      <c r="B730" t="inlineStr">
        <is>
          <t>Sat</t>
        </is>
      </c>
      <c r="C730" t="inlineStr">
        <is>
          <t>Push + Pull (hotel)</t>
        </is>
      </c>
      <c r="D730" t="inlineStr">
        <is>
          <t>Incline Bench (DB)</t>
        </is>
      </c>
      <c r="E730" t="inlineStr">
        <is>
          <t>Dumbbell</t>
        </is>
      </c>
      <c r="F730" t="inlineStr">
        <is>
          <t>lbs</t>
        </is>
      </c>
      <c r="G730" t="n">
        <v>3</v>
      </c>
      <c r="H730" t="n">
        <v>40</v>
      </c>
      <c r="I730" t="n">
        <v>8</v>
      </c>
      <c r="J730" t="inlineStr">
        <is>
          <t>N</t>
        </is>
      </c>
      <c r="K730" s="26">
        <f>IF($J730="Y","",IF($F730="BW",$I730,$H730*$I730))</f>
        <v/>
      </c>
      <c r="L730" s="26">
        <f>$D730&amp;"|"&amp;$H730</f>
        <v/>
      </c>
    </row>
    <row r="731" ht="15" customHeight="1" s="22">
      <c r="A731" s="36" t="n">
        <v>46242</v>
      </c>
      <c r="B731" t="inlineStr">
        <is>
          <t>Sat</t>
        </is>
      </c>
      <c r="C731" t="inlineStr">
        <is>
          <t>Push + Pull (hotel)</t>
        </is>
      </c>
      <c r="D731" t="inlineStr">
        <is>
          <t>Incline Bench (DB)</t>
        </is>
      </c>
      <c r="E731" t="inlineStr">
        <is>
          <t>Dumbbell</t>
        </is>
      </c>
      <c r="F731" t="inlineStr">
        <is>
          <t>lbs</t>
        </is>
      </c>
      <c r="G731" t="n">
        <v>4</v>
      </c>
      <c r="H731" t="n">
        <v>40</v>
      </c>
      <c r="I731" t="n">
        <v>8</v>
      </c>
      <c r="J731" t="inlineStr">
        <is>
          <t>N</t>
        </is>
      </c>
      <c r="K731" s="26">
        <f>IF($J731="Y","",IF($F731="BW",$I731,$H731*$I731))</f>
        <v/>
      </c>
      <c r="L731" s="26">
        <f>$D731&amp;"|"&amp;$H731</f>
        <v/>
      </c>
    </row>
    <row r="732" ht="15" customHeight="1" s="22">
      <c r="A732" s="36" t="n">
        <v>46242</v>
      </c>
      <c r="B732" t="inlineStr">
        <is>
          <t>Sat</t>
        </is>
      </c>
      <c r="C732" t="inlineStr">
        <is>
          <t>Push + Pull (hotel)</t>
        </is>
      </c>
      <c r="D732" t="inlineStr">
        <is>
          <t>Bench Press (DB)</t>
        </is>
      </c>
      <c r="E732" t="inlineStr">
        <is>
          <t>Dumbbell</t>
        </is>
      </c>
      <c r="F732" t="inlineStr">
        <is>
          <t>lbs</t>
        </is>
      </c>
      <c r="G732" t="n">
        <v>1</v>
      </c>
      <c r="H732" t="n">
        <v>25</v>
      </c>
      <c r="I732" t="n">
        <v>8</v>
      </c>
      <c r="J732" t="inlineStr">
        <is>
          <t>Y</t>
        </is>
      </c>
      <c r="K732" s="26">
        <f>IF($J732="Y","",IF($F732="BW",$I732,$H732*$I732))</f>
        <v/>
      </c>
      <c r="L732" s="26">
        <f>$D732&amp;"|"&amp;$H732</f>
        <v/>
      </c>
    </row>
    <row r="733" ht="15" customHeight="1" s="22">
      <c r="A733" s="36" t="n">
        <v>46242</v>
      </c>
      <c r="B733" t="inlineStr">
        <is>
          <t>Sat</t>
        </is>
      </c>
      <c r="C733" t="inlineStr">
        <is>
          <t>Push + Pull (hotel)</t>
        </is>
      </c>
      <c r="D733" t="inlineStr">
        <is>
          <t>Bench Press (DB)</t>
        </is>
      </c>
      <c r="E733" t="inlineStr">
        <is>
          <t>Dumbbell</t>
        </is>
      </c>
      <c r="F733" t="inlineStr">
        <is>
          <t>lbs</t>
        </is>
      </c>
      <c r="G733" t="n">
        <v>2</v>
      </c>
      <c r="H733" t="n">
        <v>40</v>
      </c>
      <c r="I733" t="n">
        <v>8</v>
      </c>
      <c r="J733" t="inlineStr">
        <is>
          <t>N</t>
        </is>
      </c>
      <c r="K733" s="26">
        <f>IF($J733="Y","",IF($F733="BW",$I733,$H733*$I733))</f>
        <v/>
      </c>
      <c r="L733" s="26">
        <f>$D733&amp;"|"&amp;$H733</f>
        <v/>
      </c>
    </row>
    <row r="734" ht="15" customHeight="1" s="22">
      <c r="A734" s="36" t="n">
        <v>46242</v>
      </c>
      <c r="B734" t="inlineStr">
        <is>
          <t>Sat</t>
        </is>
      </c>
      <c r="C734" t="inlineStr">
        <is>
          <t>Push + Pull (hotel)</t>
        </is>
      </c>
      <c r="D734" t="inlineStr">
        <is>
          <t>Bench Press (DB)</t>
        </is>
      </c>
      <c r="E734" t="inlineStr">
        <is>
          <t>Dumbbell</t>
        </is>
      </c>
      <c r="F734" t="inlineStr">
        <is>
          <t>lbs</t>
        </is>
      </c>
      <c r="G734" t="n">
        <v>3</v>
      </c>
      <c r="H734" t="n">
        <v>40</v>
      </c>
      <c r="I734" t="n">
        <v>8</v>
      </c>
      <c r="J734" t="inlineStr">
        <is>
          <t>N</t>
        </is>
      </c>
      <c r="K734" s="26">
        <f>IF($J734="Y","",IF($F734="BW",$I734,$H734*$I734))</f>
        <v/>
      </c>
      <c r="L734" s="26">
        <f>$D734&amp;"|"&amp;$H734</f>
        <v/>
      </c>
    </row>
    <row r="735" ht="15" customHeight="1" s="22">
      <c r="A735" s="36" t="n">
        <v>46242</v>
      </c>
      <c r="B735" t="inlineStr">
        <is>
          <t>Sat</t>
        </is>
      </c>
      <c r="C735" t="inlineStr">
        <is>
          <t>Push + Pull (hotel)</t>
        </is>
      </c>
      <c r="D735" t="inlineStr">
        <is>
          <t>Bench Press (DB)</t>
        </is>
      </c>
      <c r="E735" t="inlineStr">
        <is>
          <t>Dumbbell</t>
        </is>
      </c>
      <c r="F735" t="inlineStr">
        <is>
          <t>lbs</t>
        </is>
      </c>
      <c r="G735" t="n">
        <v>4</v>
      </c>
      <c r="H735" t="n">
        <v>40</v>
      </c>
      <c r="I735" t="n">
        <v>8</v>
      </c>
      <c r="J735" t="inlineStr">
        <is>
          <t>N</t>
        </is>
      </c>
      <c r="K735" s="26">
        <f>IF($J735="Y","",IF($F735="BW",$I735,$H735*$I735))</f>
        <v/>
      </c>
      <c r="L735" s="26">
        <f>$D735&amp;"|"&amp;$H735</f>
        <v/>
      </c>
    </row>
    <row r="736" ht="15" customHeight="1" s="22">
      <c r="A736" s="36" t="n">
        <v>46242</v>
      </c>
      <c r="B736" t="inlineStr">
        <is>
          <t>Sat</t>
        </is>
      </c>
      <c r="C736" t="inlineStr">
        <is>
          <t>Push + Pull (hotel)</t>
        </is>
      </c>
      <c r="D736" t="inlineStr">
        <is>
          <t>DB Rows</t>
        </is>
      </c>
      <c r="E736" t="inlineStr">
        <is>
          <t>Dumbbell</t>
        </is>
      </c>
      <c r="F736" t="inlineStr">
        <is>
          <t>lbs</t>
        </is>
      </c>
      <c r="G736" t="n">
        <v>1</v>
      </c>
      <c r="H736" t="n">
        <v>10</v>
      </c>
      <c r="I736" t="n">
        <v>8</v>
      </c>
      <c r="J736" t="inlineStr">
        <is>
          <t>Y</t>
        </is>
      </c>
      <c r="K736" s="26">
        <f>IF($J736="Y","",IF($F736="BW",$I736,$H736*$I736))</f>
        <v/>
      </c>
      <c r="L736" s="26">
        <f>$D736&amp;"|"&amp;$H736</f>
        <v/>
      </c>
    </row>
    <row r="737" ht="15" customHeight="1" s="22">
      <c r="A737" s="36" t="n">
        <v>46242</v>
      </c>
      <c r="B737" t="inlineStr">
        <is>
          <t>Sat</t>
        </is>
      </c>
      <c r="C737" t="inlineStr">
        <is>
          <t>Push + Pull (hotel)</t>
        </is>
      </c>
      <c r="D737" t="inlineStr">
        <is>
          <t>DB Rows</t>
        </is>
      </c>
      <c r="E737" t="inlineStr">
        <is>
          <t>Dumbbell</t>
        </is>
      </c>
      <c r="F737" t="inlineStr">
        <is>
          <t>lbs</t>
        </is>
      </c>
      <c r="G737" t="n">
        <v>2</v>
      </c>
      <c r="H737" t="n">
        <v>20</v>
      </c>
      <c r="I737" t="n">
        <v>8</v>
      </c>
      <c r="J737" t="inlineStr">
        <is>
          <t>N</t>
        </is>
      </c>
      <c r="K737" s="26">
        <f>IF($J737="Y","",IF($F737="BW",$I737,$H737*$I737))</f>
        <v/>
      </c>
      <c r="L737" s="26">
        <f>$D737&amp;"|"&amp;$H737</f>
        <v/>
      </c>
    </row>
    <row r="738" ht="15" customHeight="1" s="22">
      <c r="A738" s="36" t="n">
        <v>46242</v>
      </c>
      <c r="B738" t="inlineStr">
        <is>
          <t>Sat</t>
        </is>
      </c>
      <c r="C738" t="inlineStr">
        <is>
          <t>Push + Pull (hotel)</t>
        </is>
      </c>
      <c r="D738" t="inlineStr">
        <is>
          <t>DB Rows</t>
        </is>
      </c>
      <c r="E738" t="inlineStr">
        <is>
          <t>Dumbbell</t>
        </is>
      </c>
      <c r="F738" t="inlineStr">
        <is>
          <t>lbs</t>
        </is>
      </c>
      <c r="G738" t="n">
        <v>3</v>
      </c>
      <c r="H738" t="n">
        <v>20</v>
      </c>
      <c r="I738" t="n">
        <v>8</v>
      </c>
      <c r="J738" t="inlineStr">
        <is>
          <t>N</t>
        </is>
      </c>
      <c r="K738" s="26">
        <f>IF($J738="Y","",IF($F738="BW",$I738,$H738*$I738))</f>
        <v/>
      </c>
      <c r="L738" s="26">
        <f>$D738&amp;"|"&amp;$H738</f>
        <v/>
      </c>
    </row>
    <row r="739" ht="15" customHeight="1" s="22">
      <c r="A739" s="36" t="n">
        <v>46243</v>
      </c>
      <c r="B739" t="inlineStr">
        <is>
          <t>Sun</t>
        </is>
      </c>
      <c r="C739" t="inlineStr">
        <is>
          <t>Legs + Pull (cruise ship)</t>
        </is>
      </c>
      <c r="D739" t="inlineStr">
        <is>
          <t>Hip Abduction</t>
        </is>
      </c>
      <c r="E739" t="inlineStr">
        <is>
          <t>Machine</t>
        </is>
      </c>
      <c r="F739" t="inlineStr">
        <is>
          <t>lbs</t>
        </is>
      </c>
      <c r="G739" t="n">
        <v>1</v>
      </c>
      <c r="H739" t="n">
        <v>30</v>
      </c>
      <c r="I739" t="n">
        <v>8</v>
      </c>
      <c r="J739" t="inlineStr">
        <is>
          <t>Y</t>
        </is>
      </c>
      <c r="K739" s="26">
        <f>IF($J739="Y","",IF($F739="BW",$I739,$H739*$I739))</f>
        <v/>
      </c>
      <c r="L739" s="26">
        <f>$D739&amp;"|"&amp;$H739</f>
        <v/>
      </c>
    </row>
    <row r="740" ht="15" customHeight="1" s="22">
      <c r="A740" s="36" t="n">
        <v>46243</v>
      </c>
      <c r="B740" t="inlineStr">
        <is>
          <t>Sun</t>
        </is>
      </c>
      <c r="C740" t="inlineStr">
        <is>
          <t>Legs + Pull (cruise ship)</t>
        </is>
      </c>
      <c r="D740" t="inlineStr">
        <is>
          <t>Hip Abduction</t>
        </is>
      </c>
      <c r="E740" t="inlineStr">
        <is>
          <t>Machine</t>
        </is>
      </c>
      <c r="F740" t="inlineStr">
        <is>
          <t>lbs</t>
        </is>
      </c>
      <c r="G740" t="n">
        <v>2</v>
      </c>
      <c r="H740" t="n">
        <v>95</v>
      </c>
      <c r="I740" t="n">
        <v>8</v>
      </c>
      <c r="J740" t="inlineStr">
        <is>
          <t>N</t>
        </is>
      </c>
      <c r="K740" s="26">
        <f>IF($J740="Y","",IF($F740="BW",$I740,$H740*$I740))</f>
        <v/>
      </c>
      <c r="L740" s="26">
        <f>$D740&amp;"|"&amp;$H740</f>
        <v/>
      </c>
    </row>
    <row r="741" ht="15" customHeight="1" s="22">
      <c r="A741" s="36" t="n">
        <v>46243</v>
      </c>
      <c r="B741" t="inlineStr">
        <is>
          <t>Sun</t>
        </is>
      </c>
      <c r="C741" t="inlineStr">
        <is>
          <t>Legs + Pull (cruise ship)</t>
        </is>
      </c>
      <c r="D741" t="inlineStr">
        <is>
          <t>Hip Abduction</t>
        </is>
      </c>
      <c r="E741" t="inlineStr">
        <is>
          <t>Machine</t>
        </is>
      </c>
      <c r="F741" t="inlineStr">
        <is>
          <t>lbs</t>
        </is>
      </c>
      <c r="G741" t="n">
        <v>3</v>
      </c>
      <c r="H741" t="n">
        <v>95</v>
      </c>
      <c r="I741" t="n">
        <v>8</v>
      </c>
      <c r="J741" t="inlineStr">
        <is>
          <t>N</t>
        </is>
      </c>
      <c r="K741" s="26">
        <f>IF($J741="Y","",IF($F741="BW",$I741,$H741*$I741))</f>
        <v/>
      </c>
      <c r="L741" s="26">
        <f>$D741&amp;"|"&amp;$H741</f>
        <v/>
      </c>
    </row>
    <row r="742" ht="15" customHeight="1" s="22">
      <c r="A742" s="36" t="n">
        <v>46243</v>
      </c>
      <c r="B742" t="inlineStr">
        <is>
          <t>Sun</t>
        </is>
      </c>
      <c r="C742" t="inlineStr">
        <is>
          <t>Legs + Pull (cruise ship)</t>
        </is>
      </c>
      <c r="D742" t="inlineStr">
        <is>
          <t>Hip Adduction</t>
        </is>
      </c>
      <c r="E742" t="inlineStr">
        <is>
          <t>Machine</t>
        </is>
      </c>
      <c r="F742" t="inlineStr">
        <is>
          <t>lbs</t>
        </is>
      </c>
      <c r="G742" t="n">
        <v>1</v>
      </c>
      <c r="H742" t="n">
        <v>20</v>
      </c>
      <c r="I742" t="n">
        <v>8</v>
      </c>
      <c r="J742" t="inlineStr">
        <is>
          <t>Y</t>
        </is>
      </c>
      <c r="K742" s="26">
        <f>IF($J742="Y","",IF($F742="BW",$I742,$H742*$I742))</f>
        <v/>
      </c>
      <c r="L742" s="26">
        <f>$D742&amp;"|"&amp;$H742</f>
        <v/>
      </c>
    </row>
    <row r="743" ht="15" customHeight="1" s="22">
      <c r="A743" s="36" t="n">
        <v>46243</v>
      </c>
      <c r="B743" t="inlineStr">
        <is>
          <t>Sun</t>
        </is>
      </c>
      <c r="C743" t="inlineStr">
        <is>
          <t>Legs + Pull (cruise ship)</t>
        </is>
      </c>
      <c r="D743" t="inlineStr">
        <is>
          <t>Hip Adduction</t>
        </is>
      </c>
      <c r="E743" t="inlineStr">
        <is>
          <t>Machine</t>
        </is>
      </c>
      <c r="F743" t="inlineStr">
        <is>
          <t>lbs</t>
        </is>
      </c>
      <c r="G743" t="n">
        <v>2</v>
      </c>
      <c r="H743" t="n">
        <v>40</v>
      </c>
      <c r="I743" t="n">
        <v>8</v>
      </c>
      <c r="J743" t="inlineStr">
        <is>
          <t>N</t>
        </is>
      </c>
      <c r="K743" s="26">
        <f>IF($J743="Y","",IF($F743="BW",$I743,$H743*$I743))</f>
        <v/>
      </c>
      <c r="L743" s="26">
        <f>$D743&amp;"|"&amp;$H743</f>
        <v/>
      </c>
    </row>
    <row r="744" ht="15" customHeight="1" s="22">
      <c r="A744" s="36" t="n">
        <v>46243</v>
      </c>
      <c r="B744" t="inlineStr">
        <is>
          <t>Sun</t>
        </is>
      </c>
      <c r="C744" t="inlineStr">
        <is>
          <t>Legs + Pull (cruise ship)</t>
        </is>
      </c>
      <c r="D744" t="inlineStr">
        <is>
          <t>Hip Adduction</t>
        </is>
      </c>
      <c r="E744" t="inlineStr">
        <is>
          <t>Machine</t>
        </is>
      </c>
      <c r="F744" t="inlineStr">
        <is>
          <t>lbs</t>
        </is>
      </c>
      <c r="G744" t="n">
        <v>3</v>
      </c>
      <c r="H744" t="n">
        <v>55</v>
      </c>
      <c r="I744" t="n">
        <v>8</v>
      </c>
      <c r="J744" t="inlineStr">
        <is>
          <t>N</t>
        </is>
      </c>
      <c r="K744" s="26">
        <f>IF($J744="Y","",IF($F744="BW",$I744,$H744*$I744))</f>
        <v/>
      </c>
      <c r="L744" s="26">
        <f>$D744&amp;"|"&amp;$H744</f>
        <v/>
      </c>
    </row>
    <row r="745" ht="15" customHeight="1" s="22">
      <c r="A745" s="36" t="n">
        <v>46243</v>
      </c>
      <c r="B745" t="inlineStr">
        <is>
          <t>Sun</t>
        </is>
      </c>
      <c r="C745" t="inlineStr">
        <is>
          <t>Legs + Pull (cruise ship)</t>
        </is>
      </c>
      <c r="D745" t="inlineStr">
        <is>
          <t>Hip Adduction</t>
        </is>
      </c>
      <c r="E745" t="inlineStr">
        <is>
          <t>Machine</t>
        </is>
      </c>
      <c r="F745" t="inlineStr">
        <is>
          <t>lbs</t>
        </is>
      </c>
      <c r="G745" t="n">
        <v>4</v>
      </c>
      <c r="H745" t="n">
        <v>65</v>
      </c>
      <c r="I745" t="n">
        <v>8</v>
      </c>
      <c r="J745" t="inlineStr">
        <is>
          <t>N</t>
        </is>
      </c>
      <c r="K745" s="26">
        <f>IF($J745="Y","",IF($F745="BW",$I745,$H745*$I745))</f>
        <v/>
      </c>
      <c r="L745" s="26">
        <f>$D745&amp;"|"&amp;$H745</f>
        <v/>
      </c>
    </row>
    <row r="746" ht="15" customHeight="1" s="22">
      <c r="A746" s="36" t="n">
        <v>46243</v>
      </c>
      <c r="B746" t="inlineStr">
        <is>
          <t>Sun</t>
        </is>
      </c>
      <c r="C746" t="inlineStr">
        <is>
          <t>Legs + Pull (cruise ship)</t>
        </is>
      </c>
      <c r="D746" t="inlineStr">
        <is>
          <t>Lat Pulldown Machine</t>
        </is>
      </c>
      <c r="E746" t="inlineStr">
        <is>
          <t>Machine</t>
        </is>
      </c>
      <c r="F746" t="inlineStr">
        <is>
          <t>lbs</t>
        </is>
      </c>
      <c r="G746" t="n">
        <v>1</v>
      </c>
      <c r="H746" t="n">
        <v>30</v>
      </c>
      <c r="I746" t="n">
        <v>8</v>
      </c>
      <c r="J746" t="inlineStr">
        <is>
          <t>Y</t>
        </is>
      </c>
      <c r="K746" s="26">
        <f>IF($J746="Y","",IF($F746="BW",$I746,$H746*$I746))</f>
        <v/>
      </c>
      <c r="L746" s="26">
        <f>$D746&amp;"|"&amp;$H746</f>
        <v/>
      </c>
    </row>
    <row r="747" ht="15" customHeight="1" s="22">
      <c r="A747" s="36" t="n">
        <v>46243</v>
      </c>
      <c r="B747" t="inlineStr">
        <is>
          <t>Sun</t>
        </is>
      </c>
      <c r="C747" t="inlineStr">
        <is>
          <t>Legs + Pull (cruise ship)</t>
        </is>
      </c>
      <c r="D747" t="inlineStr">
        <is>
          <t>Lat Pulldown Machine</t>
        </is>
      </c>
      <c r="E747" t="inlineStr">
        <is>
          <t>Machine</t>
        </is>
      </c>
      <c r="F747" t="inlineStr">
        <is>
          <t>lbs</t>
        </is>
      </c>
      <c r="G747" t="n">
        <v>2</v>
      </c>
      <c r="H747" t="n">
        <v>70</v>
      </c>
      <c r="I747" t="n">
        <v>8</v>
      </c>
      <c r="J747" t="inlineStr">
        <is>
          <t>N</t>
        </is>
      </c>
      <c r="K747" s="26">
        <f>IF($J747="Y","",IF($F747="BW",$I747,$H747*$I747))</f>
        <v/>
      </c>
      <c r="L747" s="26">
        <f>$D747&amp;"|"&amp;$H747</f>
        <v/>
      </c>
    </row>
    <row r="748" ht="15" customHeight="1" s="22">
      <c r="A748" s="36" t="n">
        <v>46244</v>
      </c>
      <c r="B748" t="inlineStr">
        <is>
          <t>Mon</t>
        </is>
      </c>
      <c r="C748" t="inlineStr">
        <is>
          <t>Push + Pull (cruise ship)</t>
        </is>
      </c>
      <c r="D748" t="inlineStr">
        <is>
          <t>Dips</t>
        </is>
      </c>
      <c r="E748" t="inlineStr">
        <is>
          <t>Machine</t>
        </is>
      </c>
      <c r="F748" t="inlineStr">
        <is>
          <t>lbs</t>
        </is>
      </c>
      <c r="G748" t="n">
        <v>1</v>
      </c>
      <c r="H748" t="n">
        <v>90</v>
      </c>
      <c r="I748" t="n">
        <v>8</v>
      </c>
      <c r="J748" t="inlineStr">
        <is>
          <t>N</t>
        </is>
      </c>
      <c r="K748" s="26">
        <f>IF($J748="Y","",IF($F748="BW",$I748,$H748*$I748))</f>
        <v/>
      </c>
      <c r="L748" s="26">
        <f>$D748&amp;"|"&amp;$H748</f>
        <v/>
      </c>
    </row>
    <row r="749" ht="15" customHeight="1" s="22">
      <c r="A749" s="36" t="n">
        <v>46244</v>
      </c>
      <c r="B749" t="inlineStr">
        <is>
          <t>Mon</t>
        </is>
      </c>
      <c r="C749" t="inlineStr">
        <is>
          <t>Push + Pull (cruise ship)</t>
        </is>
      </c>
      <c r="D749" t="inlineStr">
        <is>
          <t>Dips</t>
        </is>
      </c>
      <c r="E749" t="inlineStr">
        <is>
          <t>Machine</t>
        </is>
      </c>
      <c r="F749" t="inlineStr">
        <is>
          <t>lbs</t>
        </is>
      </c>
      <c r="G749" t="n">
        <v>2</v>
      </c>
      <c r="H749" t="n">
        <v>70</v>
      </c>
      <c r="I749" t="n">
        <v>8</v>
      </c>
      <c r="J749" t="inlineStr">
        <is>
          <t>N</t>
        </is>
      </c>
      <c r="K749" s="26">
        <f>IF($J749="Y","",IF($F749="BW",$I749,$H749*$I749))</f>
        <v/>
      </c>
      <c r="L749" s="26">
        <f>$D749&amp;"|"&amp;$H749</f>
        <v/>
      </c>
    </row>
    <row r="750" ht="15" customHeight="1" s="22">
      <c r="A750" s="36" t="n">
        <v>46244</v>
      </c>
      <c r="B750" t="inlineStr">
        <is>
          <t>Mon</t>
        </is>
      </c>
      <c r="C750" t="inlineStr">
        <is>
          <t>Push + Pull (cruise ship)</t>
        </is>
      </c>
      <c r="D750" t="inlineStr">
        <is>
          <t>Dips</t>
        </is>
      </c>
      <c r="E750" t="inlineStr">
        <is>
          <t>Machine</t>
        </is>
      </c>
      <c r="F750" t="inlineStr">
        <is>
          <t>lbs</t>
        </is>
      </c>
      <c r="G750" t="n">
        <v>3</v>
      </c>
      <c r="H750" t="n">
        <v>70</v>
      </c>
      <c r="I750" t="n">
        <v>8</v>
      </c>
      <c r="J750" t="inlineStr">
        <is>
          <t>N</t>
        </is>
      </c>
      <c r="K750" s="26">
        <f>IF($J750="Y","",IF($F750="BW",$I750,$H750*$I750))</f>
        <v/>
      </c>
      <c r="L750" s="26">
        <f>$D750&amp;"|"&amp;$H750</f>
        <v/>
      </c>
    </row>
    <row r="751" ht="15" customHeight="1" s="22">
      <c r="A751" s="36" t="n">
        <v>46244</v>
      </c>
      <c r="B751" t="inlineStr">
        <is>
          <t>Mon</t>
        </is>
      </c>
      <c r="C751" t="inlineStr">
        <is>
          <t>Push + Pull (cruise ship)</t>
        </is>
      </c>
      <c r="D751" t="inlineStr">
        <is>
          <t>Dips</t>
        </is>
      </c>
      <c r="E751" t="inlineStr">
        <is>
          <t>Machine</t>
        </is>
      </c>
      <c r="F751" t="inlineStr">
        <is>
          <t>lbs</t>
        </is>
      </c>
      <c r="G751" t="n">
        <v>4</v>
      </c>
      <c r="H751" t="n">
        <v>70</v>
      </c>
      <c r="I751" t="n">
        <v>8</v>
      </c>
      <c r="J751" t="inlineStr">
        <is>
          <t>N</t>
        </is>
      </c>
      <c r="K751" s="26">
        <f>IF($J751="Y","",IF($F751="BW",$I751,$H751*$I751))</f>
        <v/>
      </c>
      <c r="L751" s="26">
        <f>$D751&amp;"|"&amp;$H751</f>
        <v/>
      </c>
    </row>
    <row r="752" ht="15" customHeight="1" s="22">
      <c r="A752" s="36" t="n">
        <v>46244</v>
      </c>
      <c r="B752" t="inlineStr">
        <is>
          <t>Mon</t>
        </is>
      </c>
      <c r="C752" t="inlineStr">
        <is>
          <t>Push + Pull (cruise ship)</t>
        </is>
      </c>
      <c r="D752" t="inlineStr">
        <is>
          <t>Assisted Tricep Dips</t>
        </is>
      </c>
      <c r="E752" t="inlineStr">
        <is>
          <t>Machine</t>
        </is>
      </c>
      <c r="F752" t="inlineStr">
        <is>
          <t>lbs</t>
        </is>
      </c>
      <c r="G752" t="n">
        <v>1</v>
      </c>
      <c r="H752" t="n">
        <v>70</v>
      </c>
      <c r="I752" t="n">
        <v>8</v>
      </c>
      <c r="J752" t="inlineStr">
        <is>
          <t>N</t>
        </is>
      </c>
      <c r="K752" s="26">
        <f>IF($J752="Y","",IF($F752="BW",$I752,$H752*$I752))</f>
        <v/>
      </c>
      <c r="L752" s="26">
        <f>$D752&amp;"|"&amp;$H752</f>
        <v/>
      </c>
    </row>
    <row r="753" ht="15" customHeight="1" s="22">
      <c r="A753" s="36" t="n">
        <v>46244</v>
      </c>
      <c r="B753" t="inlineStr">
        <is>
          <t>Mon</t>
        </is>
      </c>
      <c r="C753" t="inlineStr">
        <is>
          <t>Push + Pull (cruise ship)</t>
        </is>
      </c>
      <c r="D753" t="inlineStr">
        <is>
          <t>Assisted Tricep Dips</t>
        </is>
      </c>
      <c r="E753" t="inlineStr">
        <is>
          <t>Machine</t>
        </is>
      </c>
      <c r="F753" t="inlineStr">
        <is>
          <t>lbs</t>
        </is>
      </c>
      <c r="G753" t="n">
        <v>2</v>
      </c>
      <c r="H753" t="n">
        <v>70</v>
      </c>
      <c r="I753" t="n">
        <v>8</v>
      </c>
      <c r="J753" t="inlineStr">
        <is>
          <t>N</t>
        </is>
      </c>
      <c r="K753" s="26">
        <f>IF($J753="Y","",IF($F753="BW",$I753,$H753*$I753))</f>
        <v/>
      </c>
      <c r="L753" s="26">
        <f>$D753&amp;"|"&amp;$H753</f>
        <v/>
      </c>
    </row>
    <row r="754" ht="15" customHeight="1" s="22">
      <c r="A754" s="36" t="n">
        <v>46244</v>
      </c>
      <c r="B754" t="inlineStr">
        <is>
          <t>Mon</t>
        </is>
      </c>
      <c r="C754" t="inlineStr">
        <is>
          <t>Push + Pull (cruise ship)</t>
        </is>
      </c>
      <c r="D754" t="inlineStr">
        <is>
          <t>Assisted Tricep Dips</t>
        </is>
      </c>
      <c r="E754" t="inlineStr">
        <is>
          <t>Machine</t>
        </is>
      </c>
      <c r="F754" t="inlineStr">
        <is>
          <t>lbs</t>
        </is>
      </c>
      <c r="G754" t="n">
        <v>3</v>
      </c>
      <c r="H754" t="n">
        <v>70</v>
      </c>
      <c r="I754" t="n">
        <v>8</v>
      </c>
      <c r="J754" t="inlineStr">
        <is>
          <t>N</t>
        </is>
      </c>
      <c r="K754" s="26">
        <f>IF($J754="Y","",IF($F754="BW",$I754,$H754*$I754))</f>
        <v/>
      </c>
      <c r="L754" s="26">
        <f>$D754&amp;"|"&amp;$H754</f>
        <v/>
      </c>
    </row>
    <row r="755" ht="15" customHeight="1" s="22">
      <c r="A755" s="36" t="n">
        <v>46244</v>
      </c>
      <c r="B755" t="inlineStr">
        <is>
          <t>Mon</t>
        </is>
      </c>
      <c r="C755" t="inlineStr">
        <is>
          <t>Push + Pull (cruise ship)</t>
        </is>
      </c>
      <c r="D755" t="inlineStr">
        <is>
          <t>Lat Pulldown Machine</t>
        </is>
      </c>
      <c r="E755" t="inlineStr">
        <is>
          <t>Machine</t>
        </is>
      </c>
      <c r="F755" t="inlineStr">
        <is>
          <t>lbs</t>
        </is>
      </c>
      <c r="G755" t="n">
        <v>1</v>
      </c>
      <c r="H755" t="n">
        <v>80</v>
      </c>
      <c r="I755" t="n">
        <v>8</v>
      </c>
      <c r="J755" t="inlineStr">
        <is>
          <t>N</t>
        </is>
      </c>
      <c r="K755" s="26">
        <f>IF($J755="Y","",IF($F755="BW",$I755,$H755*$I755))</f>
        <v/>
      </c>
      <c r="L755" s="26">
        <f>$D755&amp;"|"&amp;$H755</f>
        <v/>
      </c>
    </row>
    <row r="756" ht="15" customHeight="1" s="22">
      <c r="A756" s="36" t="n">
        <v>46244</v>
      </c>
      <c r="B756" t="inlineStr">
        <is>
          <t>Mon</t>
        </is>
      </c>
      <c r="C756" t="inlineStr">
        <is>
          <t>Push + Pull (cruise ship)</t>
        </is>
      </c>
      <c r="D756" t="inlineStr">
        <is>
          <t>Lat Pulldown Machine</t>
        </is>
      </c>
      <c r="E756" t="inlineStr">
        <is>
          <t>Machine</t>
        </is>
      </c>
      <c r="F756" t="inlineStr">
        <is>
          <t>lbs</t>
        </is>
      </c>
      <c r="G756" t="n">
        <v>2</v>
      </c>
      <c r="H756" t="n">
        <v>100</v>
      </c>
      <c r="I756" t="n">
        <v>8</v>
      </c>
      <c r="J756" t="inlineStr">
        <is>
          <t>N</t>
        </is>
      </c>
      <c r="K756" s="26">
        <f>IF($J756="Y","",IF($F756="BW",$I756,$H756*$I756))</f>
        <v/>
      </c>
      <c r="L756" s="26">
        <f>$D756&amp;"|"&amp;$H756</f>
        <v/>
      </c>
    </row>
    <row r="757" ht="15" customHeight="1" s="22">
      <c r="A757" s="36" t="n">
        <v>46244</v>
      </c>
      <c r="B757" t="inlineStr">
        <is>
          <t>Mon</t>
        </is>
      </c>
      <c r="C757" t="inlineStr">
        <is>
          <t>Push + Pull (cruise ship)</t>
        </is>
      </c>
      <c r="D757" t="inlineStr">
        <is>
          <t>Smith Rows</t>
        </is>
      </c>
      <c r="E757" t="inlineStr">
        <is>
          <t>Smith</t>
        </is>
      </c>
      <c r="F757" t="inlineStr">
        <is>
          <t>lbs</t>
        </is>
      </c>
      <c r="G757" t="n">
        <v>1</v>
      </c>
      <c r="H757" t="n">
        <v>20</v>
      </c>
      <c r="I757" t="n">
        <v>8</v>
      </c>
      <c r="J757" t="inlineStr">
        <is>
          <t>Y</t>
        </is>
      </c>
      <c r="K757" s="26">
        <f>IF($J757="Y","",IF($F757="BW",$I757,$H757*$I757))</f>
        <v/>
      </c>
      <c r="L757" s="26">
        <f>$D757&amp;"|"&amp;$H757</f>
        <v/>
      </c>
    </row>
    <row r="758" ht="15" customHeight="1" s="22">
      <c r="A758" s="36" t="n">
        <v>46244</v>
      </c>
      <c r="B758" t="inlineStr">
        <is>
          <t>Mon</t>
        </is>
      </c>
      <c r="C758" t="inlineStr">
        <is>
          <t>Push + Pull (cruise ship)</t>
        </is>
      </c>
      <c r="D758" t="inlineStr">
        <is>
          <t>Smith Rows</t>
        </is>
      </c>
      <c r="E758" t="inlineStr">
        <is>
          <t>Smith</t>
        </is>
      </c>
      <c r="F758" t="inlineStr">
        <is>
          <t>lbs</t>
        </is>
      </c>
      <c r="G758" t="n">
        <v>2</v>
      </c>
      <c r="H758" t="n">
        <v>50</v>
      </c>
      <c r="I758" t="n">
        <v>8</v>
      </c>
      <c r="J758" t="inlineStr">
        <is>
          <t>N</t>
        </is>
      </c>
      <c r="K758" s="26">
        <f>IF($J758="Y","",IF($F758="BW",$I758,$H758*$I758))</f>
        <v/>
      </c>
      <c r="L758" s="26">
        <f>$D758&amp;"|"&amp;$H758</f>
        <v/>
      </c>
    </row>
    <row r="759" ht="15" customHeight="1" s="22">
      <c r="A759" s="36" t="n">
        <v>46244</v>
      </c>
      <c r="B759" t="inlineStr">
        <is>
          <t>Mon</t>
        </is>
      </c>
      <c r="C759" t="inlineStr">
        <is>
          <t>Push + Pull (cruise ship)</t>
        </is>
      </c>
      <c r="D759" t="inlineStr">
        <is>
          <t>Smith Rows</t>
        </is>
      </c>
      <c r="E759" t="inlineStr">
        <is>
          <t>Smith</t>
        </is>
      </c>
      <c r="F759" t="inlineStr">
        <is>
          <t>lbs</t>
        </is>
      </c>
      <c r="G759" t="n">
        <v>3</v>
      </c>
      <c r="H759" t="n">
        <v>50</v>
      </c>
      <c r="I759" t="n">
        <v>8</v>
      </c>
      <c r="J759" t="inlineStr">
        <is>
          <t>N</t>
        </is>
      </c>
      <c r="K759" s="26">
        <f>IF($J759="Y","",IF($F759="BW",$I759,$H759*$I759))</f>
        <v/>
      </c>
      <c r="L759" s="26">
        <f>$D759&amp;"|"&amp;$H759</f>
        <v/>
      </c>
    </row>
    <row r="760" ht="15" customHeight="1" s="22">
      <c r="A760" s="36" t="n">
        <v>46245</v>
      </c>
      <c r="B760" t="inlineStr">
        <is>
          <t>Tue</t>
        </is>
      </c>
      <c r="C760" t="inlineStr">
        <is>
          <t>Cardio + Push (cruise ship)</t>
        </is>
      </c>
      <c r="D760" t="inlineStr">
        <is>
          <t>Bench Press (Smith)</t>
        </is>
      </c>
      <c r="E760" t="inlineStr">
        <is>
          <t>Smith</t>
        </is>
      </c>
      <c r="F760" t="inlineStr">
        <is>
          <t>lbs</t>
        </is>
      </c>
      <c r="G760" t="n">
        <v>1</v>
      </c>
      <c r="H760" t="n">
        <v>30</v>
      </c>
      <c r="I760" t="n">
        <v>8</v>
      </c>
      <c r="J760" t="inlineStr">
        <is>
          <t>Y</t>
        </is>
      </c>
      <c r="K760" s="26">
        <f>IF($J760="Y","",IF($F760="BW",$I760,$H760*$I760))</f>
        <v/>
      </c>
      <c r="L760" s="26">
        <f>$D760&amp;"|"&amp;$H760</f>
        <v/>
      </c>
    </row>
    <row r="761" ht="15" customHeight="1" s="22">
      <c r="A761" s="36" t="n">
        <v>46245</v>
      </c>
      <c r="B761" t="inlineStr">
        <is>
          <t>Tue</t>
        </is>
      </c>
      <c r="C761" t="inlineStr">
        <is>
          <t>Cardio + Push (cruise ship)</t>
        </is>
      </c>
      <c r="D761" t="inlineStr">
        <is>
          <t>Bench Press (Smith)</t>
        </is>
      </c>
      <c r="E761" t="inlineStr">
        <is>
          <t>Smith</t>
        </is>
      </c>
      <c r="F761" t="inlineStr">
        <is>
          <t>lbs</t>
        </is>
      </c>
      <c r="G761" t="n">
        <v>2</v>
      </c>
      <c r="H761" t="n">
        <v>50</v>
      </c>
      <c r="I761" t="n">
        <v>8</v>
      </c>
      <c r="J761" t="inlineStr">
        <is>
          <t>N</t>
        </is>
      </c>
      <c r="K761" s="26">
        <f>IF($J761="Y","",IF($F761="BW",$I761,$H761*$I761))</f>
        <v/>
      </c>
      <c r="L761" s="26">
        <f>$D761&amp;"|"&amp;$H761</f>
        <v/>
      </c>
    </row>
    <row r="762" ht="15" customHeight="1" s="22">
      <c r="A762" s="36" t="n">
        <v>46245</v>
      </c>
      <c r="B762" t="inlineStr">
        <is>
          <t>Tue</t>
        </is>
      </c>
      <c r="C762" t="inlineStr">
        <is>
          <t>Cardio + Push (cruise ship)</t>
        </is>
      </c>
      <c r="D762" t="inlineStr">
        <is>
          <t>Bench Press (Smith)</t>
        </is>
      </c>
      <c r="E762" t="inlineStr">
        <is>
          <t>Smith</t>
        </is>
      </c>
      <c r="F762" t="inlineStr">
        <is>
          <t>lbs</t>
        </is>
      </c>
      <c r="G762" t="n">
        <v>3</v>
      </c>
      <c r="H762" t="n">
        <v>70</v>
      </c>
      <c r="I762" t="n">
        <v>8</v>
      </c>
      <c r="J762" t="inlineStr">
        <is>
          <t>N</t>
        </is>
      </c>
      <c r="K762" s="26">
        <f>IF($J762="Y","",IF($F762="BW",$I762,$H762*$I762))</f>
        <v/>
      </c>
      <c r="L762" s="26">
        <f>$D762&amp;"|"&amp;$H762</f>
        <v/>
      </c>
    </row>
    <row r="763" ht="15" customHeight="1" s="22">
      <c r="A763" s="36" t="n">
        <v>46245</v>
      </c>
      <c r="B763" t="inlineStr">
        <is>
          <t>Tue</t>
        </is>
      </c>
      <c r="C763" t="inlineStr">
        <is>
          <t>Cardio + Push (cruise ship)</t>
        </is>
      </c>
      <c r="D763" t="inlineStr">
        <is>
          <t>Bench Press (Smith)</t>
        </is>
      </c>
      <c r="E763" t="inlineStr">
        <is>
          <t>Smith</t>
        </is>
      </c>
      <c r="F763" t="inlineStr">
        <is>
          <t>lbs</t>
        </is>
      </c>
      <c r="G763" t="n">
        <v>4</v>
      </c>
      <c r="H763" t="n">
        <v>90</v>
      </c>
      <c r="I763" t="n">
        <v>8</v>
      </c>
      <c r="J763" t="inlineStr">
        <is>
          <t>N</t>
        </is>
      </c>
      <c r="K763" s="26">
        <f>IF($J763="Y","",IF($F763="BW",$I763,$H763*$I763))</f>
        <v/>
      </c>
      <c r="L763" s="26">
        <f>$D763&amp;"|"&amp;$H763</f>
        <v/>
      </c>
    </row>
    <row r="764" ht="15" customHeight="1" s="22">
      <c r="A764" s="36" t="n">
        <v>46245</v>
      </c>
      <c r="B764" t="inlineStr">
        <is>
          <t>Tue</t>
        </is>
      </c>
      <c r="C764" t="inlineStr">
        <is>
          <t>Cardio + Push (cruise ship)</t>
        </is>
      </c>
      <c r="D764" t="inlineStr">
        <is>
          <t>Bench Press (Smith)</t>
        </is>
      </c>
      <c r="E764" t="inlineStr">
        <is>
          <t>Smith</t>
        </is>
      </c>
      <c r="F764" t="inlineStr">
        <is>
          <t>lbs</t>
        </is>
      </c>
      <c r="G764" t="n">
        <v>5</v>
      </c>
      <c r="H764" t="n">
        <v>100</v>
      </c>
      <c r="I764" t="n">
        <v>8</v>
      </c>
      <c r="J764" t="inlineStr">
        <is>
          <t>N</t>
        </is>
      </c>
      <c r="K764" s="26">
        <f>IF($J764="Y","",IF($F764="BW",$I764,$H764*$I764))</f>
        <v/>
      </c>
      <c r="L764" s="26">
        <f>$D764&amp;"|"&amp;$H764</f>
        <v/>
      </c>
    </row>
    <row r="765" ht="15" customHeight="1" s="22">
      <c r="A765" s="36" t="n">
        <v>46245</v>
      </c>
      <c r="B765" t="inlineStr">
        <is>
          <t>Tue</t>
        </is>
      </c>
      <c r="C765" t="inlineStr">
        <is>
          <t>Cardio + Push (cruise ship)</t>
        </is>
      </c>
      <c r="D765" t="inlineStr">
        <is>
          <t>Shoulder Press Machine</t>
        </is>
      </c>
      <c r="E765" t="inlineStr">
        <is>
          <t>Machine</t>
        </is>
      </c>
      <c r="F765" t="inlineStr">
        <is>
          <t>lbs</t>
        </is>
      </c>
      <c r="G765" t="n">
        <v>1</v>
      </c>
      <c r="H765" t="n">
        <v>40</v>
      </c>
      <c r="I765" t="n">
        <v>8</v>
      </c>
      <c r="J765" t="inlineStr">
        <is>
          <t>Y</t>
        </is>
      </c>
      <c r="K765" s="26">
        <f>IF($J765="Y","",IF($F765="BW",$I765,$H765*$I765))</f>
        <v/>
      </c>
      <c r="L765" s="26">
        <f>$D765&amp;"|"&amp;$H765</f>
        <v/>
      </c>
    </row>
    <row r="766" ht="15" customHeight="1" s="22">
      <c r="A766" s="36" t="n">
        <v>46245</v>
      </c>
      <c r="B766" t="inlineStr">
        <is>
          <t>Tue</t>
        </is>
      </c>
      <c r="C766" t="inlineStr">
        <is>
          <t>Cardio + Push (cruise ship)</t>
        </is>
      </c>
      <c r="D766" t="inlineStr">
        <is>
          <t>Shoulder Press Machine</t>
        </is>
      </c>
      <c r="E766" t="inlineStr">
        <is>
          <t>Machine</t>
        </is>
      </c>
      <c r="F766" t="inlineStr">
        <is>
          <t>lbs</t>
        </is>
      </c>
      <c r="G766" t="n">
        <v>2</v>
      </c>
      <c r="H766" t="n">
        <v>60</v>
      </c>
      <c r="I766" t="n">
        <v>8</v>
      </c>
      <c r="J766" t="inlineStr">
        <is>
          <t>N</t>
        </is>
      </c>
      <c r="K766" s="26">
        <f>IF($J766="Y","",IF($F766="BW",$I766,$H766*$I766))</f>
        <v/>
      </c>
      <c r="L766" s="26">
        <f>$D766&amp;"|"&amp;$H766</f>
        <v/>
      </c>
    </row>
    <row r="767" ht="15" customHeight="1" s="22">
      <c r="A767" s="36" t="n">
        <v>46245</v>
      </c>
      <c r="B767" t="inlineStr">
        <is>
          <t>Tue</t>
        </is>
      </c>
      <c r="C767" t="inlineStr">
        <is>
          <t>Cardio + Push (cruise ship)</t>
        </is>
      </c>
      <c r="D767" t="inlineStr">
        <is>
          <t>Shoulder Press Machine</t>
        </is>
      </c>
      <c r="E767" t="inlineStr">
        <is>
          <t>Machine</t>
        </is>
      </c>
      <c r="F767" t="inlineStr">
        <is>
          <t>lbs</t>
        </is>
      </c>
      <c r="G767" t="n">
        <v>3</v>
      </c>
      <c r="H767" t="n">
        <v>80</v>
      </c>
      <c r="I767" t="n">
        <v>8</v>
      </c>
      <c r="J767" t="inlineStr">
        <is>
          <t>N</t>
        </is>
      </c>
      <c r="K767" s="26">
        <f>IF($J767="Y","",IF($F767="BW",$I767,$H767*$I767))</f>
        <v/>
      </c>
      <c r="L767" s="26">
        <f>$D767&amp;"|"&amp;$H767</f>
        <v/>
      </c>
    </row>
    <row r="768" ht="15" customHeight="1" s="22">
      <c r="A768" s="36" t="n">
        <v>46248</v>
      </c>
      <c r="B768" t="inlineStr">
        <is>
          <t>Fri</t>
        </is>
      </c>
      <c r="C768" t="inlineStr">
        <is>
          <t>Cardio + Push (cruise ship)</t>
        </is>
      </c>
      <c r="D768" t="inlineStr">
        <is>
          <t>Lat Pulldown Machine</t>
        </is>
      </c>
      <c r="E768" t="inlineStr">
        <is>
          <t>Machine</t>
        </is>
      </c>
      <c r="F768" t="inlineStr">
        <is>
          <t>lbs</t>
        </is>
      </c>
      <c r="G768" t="n">
        <v>1</v>
      </c>
      <c r="H768" t="n">
        <v>80</v>
      </c>
      <c r="I768" t="n">
        <v>8</v>
      </c>
      <c r="J768" t="inlineStr">
        <is>
          <t>N</t>
        </is>
      </c>
      <c r="K768" s="26">
        <f>IF($J768="Y","",IF($F768="BW",$I768,$H768*$I768))</f>
        <v/>
      </c>
      <c r="L768" s="26">
        <f>$D768&amp;"|"&amp;$H768</f>
        <v/>
      </c>
    </row>
    <row r="769" ht="15" customHeight="1" s="22">
      <c r="A769" s="36" t="n">
        <v>46248</v>
      </c>
      <c r="B769" t="inlineStr">
        <is>
          <t>Fri</t>
        </is>
      </c>
      <c r="C769" t="inlineStr">
        <is>
          <t>Cardio + Push (cruise ship)</t>
        </is>
      </c>
      <c r="D769" t="inlineStr">
        <is>
          <t>Lat Pulldown Machine</t>
        </is>
      </c>
      <c r="E769" t="inlineStr">
        <is>
          <t>Machine</t>
        </is>
      </c>
      <c r="F769" t="inlineStr">
        <is>
          <t>lbs</t>
        </is>
      </c>
      <c r="G769" t="n">
        <v>2</v>
      </c>
      <c r="H769" t="n">
        <v>100</v>
      </c>
      <c r="I769" t="n">
        <v>8</v>
      </c>
      <c r="J769" t="inlineStr">
        <is>
          <t>N</t>
        </is>
      </c>
      <c r="K769" s="26">
        <f>IF($J769="Y","",IF($F769="BW",$I769,$H769*$I769))</f>
        <v/>
      </c>
      <c r="L769" s="26">
        <f>$D769&amp;"|"&amp;$H769</f>
        <v/>
      </c>
    </row>
    <row r="770" ht="15" customHeight="1" s="22">
      <c r="A770" s="36" t="n">
        <v>46248</v>
      </c>
      <c r="B770" t="inlineStr">
        <is>
          <t>Fri</t>
        </is>
      </c>
      <c r="C770" t="inlineStr">
        <is>
          <t>Cardio + Push (cruise ship)</t>
        </is>
      </c>
      <c r="D770" t="inlineStr">
        <is>
          <t>Lat Pulldown Machine</t>
        </is>
      </c>
      <c r="E770" t="inlineStr">
        <is>
          <t>Machine</t>
        </is>
      </c>
      <c r="F770" t="inlineStr">
        <is>
          <t>lbs</t>
        </is>
      </c>
      <c r="G770" t="n">
        <v>3</v>
      </c>
      <c r="H770" t="n">
        <v>110</v>
      </c>
      <c r="I770" t="n">
        <v>8</v>
      </c>
      <c r="J770" t="inlineStr">
        <is>
          <t>N</t>
        </is>
      </c>
      <c r="K770" s="26">
        <f>IF($J770="Y","",IF($F770="BW",$I770,$H770*$I770))</f>
        <v/>
      </c>
      <c r="L770" s="26">
        <f>$D770&amp;"|"&amp;$H770</f>
        <v/>
      </c>
    </row>
    <row r="771" ht="15" customHeight="1" s="22">
      <c r="A771" s="36" t="n">
        <v>46248</v>
      </c>
      <c r="B771" t="inlineStr">
        <is>
          <t>Fri</t>
        </is>
      </c>
      <c r="C771" t="inlineStr">
        <is>
          <t>Cardio + Push (cruise ship)</t>
        </is>
      </c>
      <c r="D771" t="inlineStr">
        <is>
          <t>Shoulder Press Machine</t>
        </is>
      </c>
      <c r="E771" t="inlineStr">
        <is>
          <t>Machine</t>
        </is>
      </c>
      <c r="F771" t="inlineStr">
        <is>
          <t>lbs</t>
        </is>
      </c>
      <c r="G771" t="n">
        <v>1</v>
      </c>
      <c r="H771" t="n">
        <v>40</v>
      </c>
      <c r="I771" t="n">
        <v>8</v>
      </c>
      <c r="J771" t="inlineStr">
        <is>
          <t>Y</t>
        </is>
      </c>
      <c r="K771" s="26">
        <f>IF($J771="Y","",IF($F771="BW",$I771,$H771*$I771))</f>
        <v/>
      </c>
      <c r="L771" s="26">
        <f>$D771&amp;"|"&amp;$H771</f>
        <v/>
      </c>
    </row>
    <row r="772" ht="15" customHeight="1" s="22">
      <c r="A772" s="36" t="n">
        <v>46248</v>
      </c>
      <c r="B772" t="inlineStr">
        <is>
          <t>Fri</t>
        </is>
      </c>
      <c r="C772" t="inlineStr">
        <is>
          <t>Cardio + Push (cruise ship)</t>
        </is>
      </c>
      <c r="D772" t="inlineStr">
        <is>
          <t>Shoulder Press Machine</t>
        </is>
      </c>
      <c r="E772" t="inlineStr">
        <is>
          <t>Machine</t>
        </is>
      </c>
      <c r="F772" t="inlineStr">
        <is>
          <t>lbs</t>
        </is>
      </c>
      <c r="G772" t="n">
        <v>2</v>
      </c>
      <c r="H772" t="n">
        <v>60</v>
      </c>
      <c r="I772" t="n">
        <v>8</v>
      </c>
      <c r="J772" t="inlineStr">
        <is>
          <t>N</t>
        </is>
      </c>
      <c r="K772" s="26">
        <f>IF($J772="Y","",IF($F772="BW",$I772,$H772*$I772))</f>
        <v/>
      </c>
      <c r="L772" s="26">
        <f>$D772&amp;"|"&amp;$H772</f>
        <v/>
      </c>
    </row>
    <row r="773" ht="15" customHeight="1" s="22">
      <c r="A773" s="36" t="n">
        <v>46248</v>
      </c>
      <c r="B773" t="inlineStr">
        <is>
          <t>Fri</t>
        </is>
      </c>
      <c r="C773" t="inlineStr">
        <is>
          <t>Cardio + Push (cruise ship)</t>
        </is>
      </c>
      <c r="D773" t="inlineStr">
        <is>
          <t>Shoulder Press Machine</t>
        </is>
      </c>
      <c r="E773" t="inlineStr">
        <is>
          <t>Machine</t>
        </is>
      </c>
      <c r="F773" t="inlineStr">
        <is>
          <t>lbs</t>
        </is>
      </c>
      <c r="G773" t="n">
        <v>3</v>
      </c>
      <c r="H773" t="n">
        <v>80</v>
      </c>
      <c r="I773" t="n">
        <v>8</v>
      </c>
      <c r="J773" t="inlineStr">
        <is>
          <t>N</t>
        </is>
      </c>
      <c r="K773" s="26">
        <f>IF($J773="Y","",IF($F773="BW",$I773,$H773*$I773))</f>
        <v/>
      </c>
      <c r="L773" s="26">
        <f>$D773&amp;"|"&amp;$H773</f>
        <v/>
      </c>
    </row>
    <row r="774" ht="15" customHeight="1" s="22">
      <c r="A774" s="36" t="n">
        <v>46248</v>
      </c>
      <c r="B774" t="inlineStr">
        <is>
          <t>Fri</t>
        </is>
      </c>
      <c r="C774" t="inlineStr">
        <is>
          <t>Cardio + Push (cruise ship)</t>
        </is>
      </c>
      <c r="D774" t="inlineStr">
        <is>
          <t>Shoulder Press Machine</t>
        </is>
      </c>
      <c r="E774" t="inlineStr">
        <is>
          <t>Machine</t>
        </is>
      </c>
      <c r="F774" t="inlineStr">
        <is>
          <t>lbs</t>
        </is>
      </c>
      <c r="G774" t="n">
        <v>4</v>
      </c>
      <c r="H774" t="n">
        <v>90</v>
      </c>
      <c r="I774" t="n">
        <v>8</v>
      </c>
      <c r="J774" t="inlineStr">
        <is>
          <t>N</t>
        </is>
      </c>
      <c r="K774" s="26">
        <f>IF($J774="Y","",IF($F774="BW",$I774,$H774*$I774))</f>
        <v/>
      </c>
      <c r="L774" s="26">
        <f>$D774&amp;"|"&amp;$H774</f>
        <v/>
      </c>
    </row>
    <row r="775" ht="15" customHeight="1" s="22">
      <c r="A775" s="36" t="n">
        <v>46248</v>
      </c>
      <c r="B775" t="inlineStr">
        <is>
          <t>Fri</t>
        </is>
      </c>
      <c r="C775" t="inlineStr">
        <is>
          <t>Cardio + Push (cruise ship)</t>
        </is>
      </c>
      <c r="D775" t="inlineStr">
        <is>
          <t>Shoulder Press Machine</t>
        </is>
      </c>
      <c r="E775" t="inlineStr">
        <is>
          <t>Machine</t>
        </is>
      </c>
      <c r="F775" t="inlineStr">
        <is>
          <t>lbs</t>
        </is>
      </c>
      <c r="G775" t="n">
        <v>5</v>
      </c>
      <c r="H775" t="n">
        <v>100</v>
      </c>
      <c r="I775" t="n">
        <v>8</v>
      </c>
      <c r="J775" t="inlineStr">
        <is>
          <t>N</t>
        </is>
      </c>
      <c r="K775" s="26">
        <f>IF($J775="Y","",IF($F775="BW",$I775,$H775*$I775))</f>
        <v/>
      </c>
      <c r="L775" s="26">
        <f>$D775&amp;"|"&amp;$H775</f>
        <v/>
      </c>
    </row>
    <row r="776" ht="15" customHeight="1" s="22">
      <c r="A776" s="36" t="n">
        <v>46248</v>
      </c>
      <c r="B776" t="inlineStr">
        <is>
          <t>Fri</t>
        </is>
      </c>
      <c r="C776" t="inlineStr">
        <is>
          <t>Cardio + Push (cruise ship)</t>
        </is>
      </c>
      <c r="D776" t="inlineStr">
        <is>
          <t>Bicep Curls (DB)</t>
        </is>
      </c>
      <c r="E776" t="inlineStr">
        <is>
          <t>Dumbbell</t>
        </is>
      </c>
      <c r="F776" t="inlineStr">
        <is>
          <t>lbs</t>
        </is>
      </c>
      <c r="G776" t="n">
        <v>1</v>
      </c>
      <c r="H776" t="n">
        <v>20</v>
      </c>
      <c r="I776" t="n">
        <v>8</v>
      </c>
      <c r="J776" t="inlineStr">
        <is>
          <t>N</t>
        </is>
      </c>
      <c r="K776" s="26">
        <f>IF($J776="Y","",IF($F776="BW",$I776,$H776*$I776))</f>
        <v/>
      </c>
      <c r="L776" s="26">
        <f>$D776&amp;"|"&amp;$H776</f>
        <v/>
      </c>
    </row>
    <row r="777" ht="15" customHeight="1" s="22">
      <c r="A777" s="36" t="n">
        <v>46248</v>
      </c>
      <c r="B777" t="inlineStr">
        <is>
          <t>Fri</t>
        </is>
      </c>
      <c r="C777" t="inlineStr">
        <is>
          <t>Cardio + Push (cruise ship)</t>
        </is>
      </c>
      <c r="D777" t="inlineStr">
        <is>
          <t>Bicep Curls (DB)</t>
        </is>
      </c>
      <c r="E777" t="inlineStr">
        <is>
          <t>Dumbbell</t>
        </is>
      </c>
      <c r="F777" t="inlineStr">
        <is>
          <t>lbs</t>
        </is>
      </c>
      <c r="G777" t="n">
        <v>2</v>
      </c>
      <c r="H777" t="n">
        <v>25</v>
      </c>
      <c r="I777" t="n">
        <v>8</v>
      </c>
      <c r="J777" t="inlineStr">
        <is>
          <t>N</t>
        </is>
      </c>
      <c r="K777" s="26">
        <f>IF($J777="Y","",IF($F777="BW",$I777,$H777*$I777))</f>
        <v/>
      </c>
      <c r="L777" s="26">
        <f>$D777&amp;"|"&amp;$H777</f>
        <v/>
      </c>
    </row>
    <row r="778" ht="15" customHeight="1" s="22">
      <c r="A778" s="36" t="n">
        <v>46250</v>
      </c>
      <c r="B778" t="inlineStr">
        <is>
          <t>Sun</t>
        </is>
      </c>
      <c r="C778" t="inlineStr">
        <is>
          <t>Cardio + Legs + Core</t>
        </is>
      </c>
      <c r="D778" t="inlineStr">
        <is>
          <t>RDLs</t>
        </is>
      </c>
      <c r="E778" t="inlineStr">
        <is>
          <t>Smith</t>
        </is>
      </c>
      <c r="F778" t="inlineStr">
        <is>
          <t>lbs</t>
        </is>
      </c>
      <c r="G778" t="n">
        <v>1</v>
      </c>
      <c r="H778" t="n">
        <v>20</v>
      </c>
      <c r="I778" t="n">
        <v>8</v>
      </c>
      <c r="J778" t="inlineStr">
        <is>
          <t>Y</t>
        </is>
      </c>
      <c r="K778" s="26">
        <f>IF($J778="Y","",IF($F778="BW",$I778,$H778*$I778))</f>
        <v/>
      </c>
      <c r="L778" s="26">
        <f>$D778&amp;"|"&amp;$H778</f>
        <v/>
      </c>
    </row>
    <row r="779" ht="15" customHeight="1" s="22">
      <c r="A779" s="36" t="n">
        <v>46250</v>
      </c>
      <c r="B779" t="inlineStr">
        <is>
          <t>Sun</t>
        </is>
      </c>
      <c r="C779" t="inlineStr">
        <is>
          <t>Cardio + Legs + Core</t>
        </is>
      </c>
      <c r="D779" t="inlineStr">
        <is>
          <t>RDLs</t>
        </is>
      </c>
      <c r="E779" t="inlineStr">
        <is>
          <t>Smith</t>
        </is>
      </c>
      <c r="F779" t="inlineStr">
        <is>
          <t>lbs</t>
        </is>
      </c>
      <c r="G779" t="n">
        <v>2</v>
      </c>
      <c r="H779" t="n">
        <v>40</v>
      </c>
      <c r="I779" t="n">
        <v>8</v>
      </c>
      <c r="J779" t="inlineStr">
        <is>
          <t>N</t>
        </is>
      </c>
      <c r="K779" s="26">
        <f>IF($J779="Y","",IF($F779="BW",$I779,$H779*$I779))</f>
        <v/>
      </c>
      <c r="L779" s="26">
        <f>$D779&amp;"|"&amp;$H779</f>
        <v/>
      </c>
    </row>
    <row r="780" ht="15" customHeight="1" s="22">
      <c r="A780" s="36" t="n">
        <v>46250</v>
      </c>
      <c r="B780" t="inlineStr">
        <is>
          <t>Sun</t>
        </is>
      </c>
      <c r="C780" t="inlineStr">
        <is>
          <t>Cardio + Legs + Core</t>
        </is>
      </c>
      <c r="D780" t="inlineStr">
        <is>
          <t>RDLs</t>
        </is>
      </c>
      <c r="E780" t="inlineStr">
        <is>
          <t>Smith</t>
        </is>
      </c>
      <c r="F780" t="inlineStr">
        <is>
          <t>lbs</t>
        </is>
      </c>
      <c r="G780" t="n">
        <v>3</v>
      </c>
      <c r="H780" t="n">
        <v>60</v>
      </c>
      <c r="I780" t="n">
        <v>8</v>
      </c>
      <c r="J780" t="inlineStr">
        <is>
          <t>N</t>
        </is>
      </c>
      <c r="K780" s="26">
        <f>IF($J780="Y","",IF($F780="BW",$I780,$H780*$I780))</f>
        <v/>
      </c>
      <c r="L780" s="26">
        <f>$D780&amp;"|"&amp;$H780</f>
        <v/>
      </c>
    </row>
    <row r="781" ht="15" customHeight="1" s="22">
      <c r="A781" s="36" t="n">
        <v>46250</v>
      </c>
      <c r="B781" t="inlineStr">
        <is>
          <t>Sun</t>
        </is>
      </c>
      <c r="C781" t="inlineStr">
        <is>
          <t>Cardio + Legs + Core</t>
        </is>
      </c>
      <c r="D781" t="inlineStr">
        <is>
          <t>RDLs</t>
        </is>
      </c>
      <c r="E781" t="inlineStr">
        <is>
          <t>Smith</t>
        </is>
      </c>
      <c r="F781" t="inlineStr">
        <is>
          <t>lbs</t>
        </is>
      </c>
      <c r="G781" t="n">
        <v>4</v>
      </c>
      <c r="H781" t="n">
        <v>65</v>
      </c>
      <c r="I781" t="n">
        <v>8</v>
      </c>
      <c r="J781" t="inlineStr">
        <is>
          <t>N</t>
        </is>
      </c>
      <c r="K781" s="26">
        <f>IF($J781="Y","",IF($F781="BW",$I781,$H781*$I781))</f>
        <v/>
      </c>
      <c r="L781" s="26">
        <f>$D781&amp;"|"&amp;$H781</f>
        <v/>
      </c>
    </row>
    <row r="782" ht="15" customHeight="1" s="22">
      <c r="A782" s="36" t="n">
        <v>46250</v>
      </c>
      <c r="B782" t="inlineStr">
        <is>
          <t>Sun</t>
        </is>
      </c>
      <c r="C782" t="inlineStr">
        <is>
          <t>Cardio + Legs + Core</t>
        </is>
      </c>
      <c r="D782" t="inlineStr">
        <is>
          <t>Goblet Squats</t>
        </is>
      </c>
      <c r="E782" t="inlineStr">
        <is>
          <t>Dumbbell</t>
        </is>
      </c>
      <c r="F782" t="inlineStr">
        <is>
          <t>lbs</t>
        </is>
      </c>
      <c r="G782" t="n">
        <v>1</v>
      </c>
      <c r="H782" t="n">
        <v>10</v>
      </c>
      <c r="I782" t="n">
        <v>8</v>
      </c>
      <c r="J782" t="inlineStr">
        <is>
          <t>N</t>
        </is>
      </c>
      <c r="K782" s="26">
        <f>IF($J782="Y","",IF($F782="BW",$I782,$H782*$I782))</f>
        <v/>
      </c>
      <c r="L782" s="26">
        <f>$D782&amp;"|"&amp;$H782</f>
        <v/>
      </c>
    </row>
    <row r="783" ht="15" customHeight="1" s="22">
      <c r="A783" s="36" t="n">
        <v>46250</v>
      </c>
      <c r="B783" t="inlineStr">
        <is>
          <t>Sun</t>
        </is>
      </c>
      <c r="C783" t="inlineStr">
        <is>
          <t>Cardio + Legs + Core</t>
        </is>
      </c>
      <c r="D783" t="inlineStr">
        <is>
          <t>Goblet Squats</t>
        </is>
      </c>
      <c r="E783" t="inlineStr">
        <is>
          <t>Dumbbell</t>
        </is>
      </c>
      <c r="F783" t="inlineStr">
        <is>
          <t>lbs</t>
        </is>
      </c>
      <c r="G783" t="n">
        <v>2</v>
      </c>
      <c r="H783" t="n">
        <v>20</v>
      </c>
      <c r="I783" t="n">
        <v>8</v>
      </c>
      <c r="J783" t="inlineStr">
        <is>
          <t>N</t>
        </is>
      </c>
      <c r="K783" s="26">
        <f>IF($J783="Y","",IF($F783="BW",$I783,$H783*$I783))</f>
        <v/>
      </c>
      <c r="L783" s="26">
        <f>$D783&amp;"|"&amp;$H783</f>
        <v/>
      </c>
    </row>
    <row r="784" ht="15" customHeight="1" s="22">
      <c r="A784" s="36" t="n">
        <v>46250</v>
      </c>
      <c r="B784" t="inlineStr">
        <is>
          <t>Sun</t>
        </is>
      </c>
      <c r="C784" t="inlineStr">
        <is>
          <t>Cardio + Legs + Core</t>
        </is>
      </c>
      <c r="D784" t="inlineStr">
        <is>
          <t>Goblet Squats</t>
        </is>
      </c>
      <c r="E784" t="inlineStr">
        <is>
          <t>Dumbbell</t>
        </is>
      </c>
      <c r="F784" t="inlineStr">
        <is>
          <t>lbs</t>
        </is>
      </c>
      <c r="G784" t="n">
        <v>3</v>
      </c>
      <c r="H784" t="n">
        <v>25</v>
      </c>
      <c r="I784" t="n">
        <v>8</v>
      </c>
      <c r="J784" t="inlineStr">
        <is>
          <t>N</t>
        </is>
      </c>
      <c r="K784" s="26">
        <f>IF($J784="Y","",IF($F784="BW",$I784,$H784*$I784))</f>
        <v/>
      </c>
      <c r="L784" s="26">
        <f>$D784&amp;"|"&amp;$H784</f>
        <v/>
      </c>
    </row>
    <row r="785" ht="15" customHeight="1" s="22">
      <c r="A785" s="36" t="n">
        <v>46250</v>
      </c>
      <c r="B785" t="inlineStr">
        <is>
          <t>Sun</t>
        </is>
      </c>
      <c r="C785" t="inlineStr">
        <is>
          <t>Cardio + Legs + Core</t>
        </is>
      </c>
      <c r="D785" t="inlineStr">
        <is>
          <t>Calf Raises (DB)</t>
        </is>
      </c>
      <c r="E785" t="inlineStr">
        <is>
          <t>Dumbbell</t>
        </is>
      </c>
      <c r="F785" t="inlineStr">
        <is>
          <t>lbs</t>
        </is>
      </c>
      <c r="G785" t="n">
        <v>1</v>
      </c>
      <c r="H785" t="n">
        <v>15</v>
      </c>
      <c r="I785" t="n">
        <v>15</v>
      </c>
      <c r="J785" t="inlineStr">
        <is>
          <t>Y</t>
        </is>
      </c>
      <c r="K785" s="26">
        <f>IF($J785="Y","",IF($F785="BW",$I785,$H785*$I785))</f>
        <v/>
      </c>
      <c r="L785" s="26">
        <f>$D785&amp;"|"&amp;$H785</f>
        <v/>
      </c>
    </row>
    <row r="786" ht="15" customHeight="1" s="22">
      <c r="A786" s="36" t="n">
        <v>46257</v>
      </c>
      <c r="B786" t="inlineStr">
        <is>
          <t>Sun</t>
        </is>
      </c>
      <c r="C786" t="inlineStr">
        <is>
          <t>Cardio + Legs</t>
        </is>
      </c>
      <c r="D786" t="inlineStr">
        <is>
          <t>Goblet Squats</t>
        </is>
      </c>
      <c r="E786" t="inlineStr">
        <is>
          <t>Dumbbell</t>
        </is>
      </c>
      <c r="F786" t="inlineStr">
        <is>
          <t>lbs</t>
        </is>
      </c>
      <c r="G786" t="n">
        <v>1</v>
      </c>
      <c r="H786" t="n">
        <v>10</v>
      </c>
      <c r="I786" t="n">
        <v>8</v>
      </c>
      <c r="J786" t="inlineStr">
        <is>
          <t>N</t>
        </is>
      </c>
      <c r="K786" s="26">
        <f>IF($J786="Y","",IF($F786="BW",$I786,$H786*$I786))</f>
        <v/>
      </c>
      <c r="L786" s="26">
        <f>$D786&amp;"|"&amp;$H786</f>
        <v/>
      </c>
    </row>
    <row r="787" ht="15" customHeight="1" s="22">
      <c r="A787" s="36" t="n">
        <v>46257</v>
      </c>
      <c r="B787" t="inlineStr">
        <is>
          <t>Sun</t>
        </is>
      </c>
      <c r="C787" t="inlineStr">
        <is>
          <t>Cardio + Legs</t>
        </is>
      </c>
      <c r="D787" t="inlineStr">
        <is>
          <t>Goblet Squats</t>
        </is>
      </c>
      <c r="E787" t="inlineStr">
        <is>
          <t>Dumbbell</t>
        </is>
      </c>
      <c r="F787" t="inlineStr">
        <is>
          <t>lbs</t>
        </is>
      </c>
      <c r="G787" t="n">
        <v>2</v>
      </c>
      <c r="H787" t="n">
        <v>25</v>
      </c>
      <c r="I787" t="n">
        <v>8</v>
      </c>
      <c r="J787" t="inlineStr">
        <is>
          <t>N</t>
        </is>
      </c>
      <c r="K787" s="26">
        <f>IF($J787="Y","",IF($F787="BW",$I787,$H787*$I787))</f>
        <v/>
      </c>
      <c r="L787" s="26">
        <f>$D787&amp;"|"&amp;$H787</f>
        <v/>
      </c>
    </row>
    <row r="788" ht="15" customHeight="1" s="22">
      <c r="A788" s="36" t="n">
        <v>46257</v>
      </c>
      <c r="B788" t="inlineStr">
        <is>
          <t>Sun</t>
        </is>
      </c>
      <c r="C788" t="inlineStr">
        <is>
          <t>Cardio + Legs</t>
        </is>
      </c>
      <c r="D788" t="inlineStr">
        <is>
          <t>Goblet Squats</t>
        </is>
      </c>
      <c r="E788" t="inlineStr">
        <is>
          <t>Dumbbell</t>
        </is>
      </c>
      <c r="F788" t="inlineStr">
        <is>
          <t>lbs</t>
        </is>
      </c>
      <c r="G788" t="n">
        <v>3</v>
      </c>
      <c r="H788" t="n">
        <v>25</v>
      </c>
      <c r="I788" t="n">
        <v>8</v>
      </c>
      <c r="J788" t="inlineStr">
        <is>
          <t>N</t>
        </is>
      </c>
      <c r="K788" s="26">
        <f>IF($J788="Y","",IF($F788="BW",$I788,$H788*$I788))</f>
        <v/>
      </c>
      <c r="L788" s="26">
        <f>$D788&amp;"|"&amp;$H788</f>
        <v/>
      </c>
    </row>
    <row r="789" ht="15" customHeight="1" s="22">
      <c r="A789" s="36" t="n">
        <v>46257</v>
      </c>
      <c r="B789" t="inlineStr">
        <is>
          <t>Sun</t>
        </is>
      </c>
      <c r="C789" t="inlineStr">
        <is>
          <t>Cardio + Legs</t>
        </is>
      </c>
      <c r="D789" t="inlineStr">
        <is>
          <t>Goblet Squats</t>
        </is>
      </c>
      <c r="E789" t="inlineStr">
        <is>
          <t>Dumbbell</t>
        </is>
      </c>
      <c r="F789" t="inlineStr">
        <is>
          <t>lbs</t>
        </is>
      </c>
      <c r="G789" t="n">
        <v>4</v>
      </c>
      <c r="H789" t="n">
        <v>25</v>
      </c>
      <c r="I789" t="n">
        <v>8</v>
      </c>
      <c r="J789" t="inlineStr">
        <is>
          <t>N</t>
        </is>
      </c>
      <c r="K789" s="26">
        <f>IF($J789="Y","",IF($F789="BW",$I789,$H789*$I789))</f>
        <v/>
      </c>
      <c r="L789" s="26">
        <f>$D789&amp;"|"&amp;$H789</f>
        <v/>
      </c>
    </row>
    <row r="790" ht="15" customHeight="1" s="22">
      <c r="A790" s="36" t="n">
        <v>46257</v>
      </c>
      <c r="B790" t="inlineStr">
        <is>
          <t>Sun</t>
        </is>
      </c>
      <c r="C790" t="inlineStr">
        <is>
          <t>Cardio + Legs</t>
        </is>
      </c>
      <c r="D790" t="inlineStr">
        <is>
          <t>RDLs</t>
        </is>
      </c>
      <c r="E790" t="inlineStr">
        <is>
          <t>Smith</t>
        </is>
      </c>
      <c r="F790" t="inlineStr">
        <is>
          <t>lbs</t>
        </is>
      </c>
      <c r="G790" t="n">
        <v>1</v>
      </c>
      <c r="H790" t="n">
        <v>10</v>
      </c>
      <c r="I790" t="n">
        <v>8</v>
      </c>
      <c r="J790" t="inlineStr">
        <is>
          <t>Y</t>
        </is>
      </c>
      <c r="K790" s="26">
        <f>IF($J790="Y","",IF($F790="BW",$I790,$H790*$I790))</f>
        <v/>
      </c>
      <c r="L790" s="26">
        <f>$D790&amp;"|"&amp;$H790</f>
        <v/>
      </c>
    </row>
    <row r="791" ht="15" customHeight="1" s="22">
      <c r="A791" s="36" t="n">
        <v>46257</v>
      </c>
      <c r="B791" t="inlineStr">
        <is>
          <t>Sun</t>
        </is>
      </c>
      <c r="C791" t="inlineStr">
        <is>
          <t>Cardio + Legs</t>
        </is>
      </c>
      <c r="D791" t="inlineStr">
        <is>
          <t>RDLs</t>
        </is>
      </c>
      <c r="E791" t="inlineStr">
        <is>
          <t>Smith</t>
        </is>
      </c>
      <c r="F791" t="inlineStr">
        <is>
          <t>lbs</t>
        </is>
      </c>
      <c r="G791" t="n">
        <v>2</v>
      </c>
      <c r="H791" t="n">
        <v>40</v>
      </c>
      <c r="I791" t="n">
        <v>8</v>
      </c>
      <c r="J791" t="inlineStr">
        <is>
          <t>N</t>
        </is>
      </c>
      <c r="K791" s="26">
        <f>IF($J791="Y","",IF($F791="BW",$I791,$H791*$I791))</f>
        <v/>
      </c>
      <c r="L791" s="26">
        <f>$D791&amp;"|"&amp;$H791</f>
        <v/>
      </c>
    </row>
    <row r="792" ht="15" customHeight="1" s="22">
      <c r="A792" s="36" t="n">
        <v>46257</v>
      </c>
      <c r="B792" t="inlineStr">
        <is>
          <t>Sun</t>
        </is>
      </c>
      <c r="C792" t="inlineStr">
        <is>
          <t>Cardio + Legs</t>
        </is>
      </c>
      <c r="D792" t="inlineStr">
        <is>
          <t>RDLs</t>
        </is>
      </c>
      <c r="E792" t="inlineStr">
        <is>
          <t>Smith</t>
        </is>
      </c>
      <c r="F792" t="inlineStr">
        <is>
          <t>lbs</t>
        </is>
      </c>
      <c r="G792" t="n">
        <v>3</v>
      </c>
      <c r="H792" t="n">
        <v>60</v>
      </c>
      <c r="I792" t="n">
        <v>8</v>
      </c>
      <c r="J792" t="inlineStr">
        <is>
          <t>N</t>
        </is>
      </c>
      <c r="K792" s="26">
        <f>IF($J792="Y","",IF($F792="BW",$I792,$H792*$I792))</f>
        <v/>
      </c>
      <c r="L792" s="26">
        <f>$D792&amp;"|"&amp;$H792</f>
        <v/>
      </c>
    </row>
    <row r="793" ht="15" customHeight="1" s="22">
      <c r="A793" s="36" t="n">
        <v>46257</v>
      </c>
      <c r="B793" t="inlineStr">
        <is>
          <t>Sun</t>
        </is>
      </c>
      <c r="C793" t="inlineStr">
        <is>
          <t>Cardio + Legs</t>
        </is>
      </c>
      <c r="D793" t="inlineStr">
        <is>
          <t>RDLs</t>
        </is>
      </c>
      <c r="E793" t="inlineStr">
        <is>
          <t>Smith</t>
        </is>
      </c>
      <c r="F793" t="inlineStr">
        <is>
          <t>lbs</t>
        </is>
      </c>
      <c r="G793" t="n">
        <v>4</v>
      </c>
      <c r="H793" t="n">
        <v>60</v>
      </c>
      <c r="I793" t="n">
        <v>8</v>
      </c>
      <c r="J793" t="inlineStr">
        <is>
          <t>N</t>
        </is>
      </c>
      <c r="K793" s="26">
        <f>IF($J793="Y","",IF($F793="BW",$I793,$H793*$I793))</f>
        <v/>
      </c>
      <c r="L793" s="26">
        <f>$D793&amp;"|"&amp;$H793</f>
        <v/>
      </c>
    </row>
    <row r="794" ht="15" customHeight="1" s="22">
      <c r="A794" s="36" t="n">
        <v>46257</v>
      </c>
      <c r="B794" t="inlineStr">
        <is>
          <t>Sun</t>
        </is>
      </c>
      <c r="C794" t="inlineStr">
        <is>
          <t>Cardio + Legs</t>
        </is>
      </c>
      <c r="D794" t="inlineStr">
        <is>
          <t>RDLs</t>
        </is>
      </c>
      <c r="E794" t="inlineStr">
        <is>
          <t>Smith</t>
        </is>
      </c>
      <c r="F794" t="inlineStr">
        <is>
          <t>lbs</t>
        </is>
      </c>
      <c r="G794" t="n">
        <v>5</v>
      </c>
      <c r="H794" t="n">
        <v>70</v>
      </c>
      <c r="I794" t="n">
        <v>8</v>
      </c>
      <c r="J794" t="inlineStr">
        <is>
          <t>N</t>
        </is>
      </c>
      <c r="K794" s="26">
        <f>IF($J794="Y","",IF($F794="BW",$I794,$H794*$I794))</f>
        <v/>
      </c>
      <c r="L794" s="26">
        <f>$D794&amp;"|"&amp;$H794</f>
        <v/>
      </c>
    </row>
    <row r="795" ht="15" customHeight="1" s="22">
      <c r="A795" s="36" t="n">
        <v>46257</v>
      </c>
      <c r="B795" t="inlineStr">
        <is>
          <t>Sun</t>
        </is>
      </c>
      <c r="C795" t="inlineStr">
        <is>
          <t>Cardio + Legs</t>
        </is>
      </c>
      <c r="D795" t="inlineStr">
        <is>
          <t>Calf Raises (DB)</t>
        </is>
      </c>
      <c r="E795" t="inlineStr">
        <is>
          <t>Dumbbell</t>
        </is>
      </c>
      <c r="F795" t="inlineStr">
        <is>
          <t>lbs</t>
        </is>
      </c>
      <c r="G795" t="n">
        <v>1</v>
      </c>
      <c r="H795" t="n">
        <v>15</v>
      </c>
      <c r="I795" t="n">
        <v>15</v>
      </c>
      <c r="J795" t="inlineStr">
        <is>
          <t>Y</t>
        </is>
      </c>
      <c r="K795" s="26">
        <f>IF($J795="Y","",IF($F795="BW",$I795,$H795*$I795))</f>
        <v/>
      </c>
      <c r="L795" s="26">
        <f>$D795&amp;"|"&amp;$H795</f>
        <v/>
      </c>
    </row>
    <row r="796" ht="15" customHeight="1" s="22">
      <c r="A796" s="36" t="n">
        <v>46257</v>
      </c>
      <c r="B796" t="inlineStr">
        <is>
          <t>Sun</t>
        </is>
      </c>
      <c r="C796" t="inlineStr">
        <is>
          <t>Cardio + Legs</t>
        </is>
      </c>
      <c r="D796" t="inlineStr">
        <is>
          <t>Calf Raises (DB)</t>
        </is>
      </c>
      <c r="E796" t="inlineStr">
        <is>
          <t>Dumbbell</t>
        </is>
      </c>
      <c r="F796" t="inlineStr">
        <is>
          <t>lbs</t>
        </is>
      </c>
      <c r="G796" t="n">
        <v>2</v>
      </c>
      <c r="H796" t="n">
        <v>25</v>
      </c>
      <c r="I796" t="n">
        <v>15</v>
      </c>
      <c r="J796" t="inlineStr">
        <is>
          <t>N</t>
        </is>
      </c>
      <c r="K796" s="26">
        <f>IF($J796="Y","",IF($F796="BW",$I796,$H796*$I796))</f>
        <v/>
      </c>
      <c r="L796" s="26">
        <f>$D796&amp;"|"&amp;$H796</f>
        <v/>
      </c>
    </row>
    <row r="797" ht="15" customHeight="1" s="22">
      <c r="A797" s="36" t="n">
        <v>46257</v>
      </c>
      <c r="B797" t="inlineStr">
        <is>
          <t>Sun</t>
        </is>
      </c>
      <c r="C797" t="inlineStr">
        <is>
          <t>Cardio + Legs</t>
        </is>
      </c>
      <c r="D797" t="inlineStr">
        <is>
          <t>Calf Raises (DB)</t>
        </is>
      </c>
      <c r="E797" t="inlineStr">
        <is>
          <t>Dumbbell</t>
        </is>
      </c>
      <c r="F797" t="inlineStr">
        <is>
          <t>lbs</t>
        </is>
      </c>
      <c r="G797" t="n">
        <v>3</v>
      </c>
      <c r="H797" t="n">
        <v>25</v>
      </c>
      <c r="I797" t="n">
        <v>15</v>
      </c>
      <c r="J797" t="inlineStr">
        <is>
          <t>N</t>
        </is>
      </c>
      <c r="K797" s="26">
        <f>IF($J797="Y","",IF($F797="BW",$I797,$H797*$I797))</f>
        <v/>
      </c>
      <c r="L797" s="26">
        <f>$D797&amp;"|"&amp;$H797</f>
        <v/>
      </c>
    </row>
    <row r="798" ht="15" customHeight="1" s="22">
      <c r="A798" s="36" t="n">
        <v>46257</v>
      </c>
      <c r="B798" t="inlineStr">
        <is>
          <t>Sun</t>
        </is>
      </c>
      <c r="C798" t="inlineStr">
        <is>
          <t>Cardio + Legs</t>
        </is>
      </c>
      <c r="D798" t="inlineStr">
        <is>
          <t>Calf Raises (DB)</t>
        </is>
      </c>
      <c r="E798" t="inlineStr">
        <is>
          <t>Dumbbell</t>
        </is>
      </c>
      <c r="F798" t="inlineStr">
        <is>
          <t>lbs</t>
        </is>
      </c>
      <c r="G798" t="n">
        <v>4</v>
      </c>
      <c r="H798" t="n">
        <v>25</v>
      </c>
      <c r="I798" t="n">
        <v>15</v>
      </c>
      <c r="J798" t="inlineStr">
        <is>
          <t>N</t>
        </is>
      </c>
      <c r="K798" s="26">
        <f>IF($J798="Y","",IF($F798="BW",$I798,$H798*$I798))</f>
        <v/>
      </c>
      <c r="L798" s="26">
        <f>$D798&amp;"|"&amp;$H798</f>
        <v/>
      </c>
    </row>
    <row r="799" ht="15" customHeight="1" s="22">
      <c r="A799" s="36" t="n">
        <v>46270</v>
      </c>
      <c r="B799" t="inlineStr">
        <is>
          <t>Sat</t>
        </is>
      </c>
      <c r="C799" t="inlineStr">
        <is>
          <t>Lower + Light Upper</t>
        </is>
      </c>
      <c r="D799" t="inlineStr">
        <is>
          <t>Bodyweight Squats</t>
        </is>
      </c>
      <c r="E799" t="inlineStr">
        <is>
          <t>Bodyweight</t>
        </is>
      </c>
      <c r="F799" t="inlineStr">
        <is>
          <t>BW</t>
        </is>
      </c>
      <c r="G799" t="n">
        <v>1</v>
      </c>
      <c r="H799" t="n">
        <v>0</v>
      </c>
      <c r="I799" t="n">
        <v>8</v>
      </c>
      <c r="J799" t="inlineStr">
        <is>
          <t>N</t>
        </is>
      </c>
      <c r="K799" s="26">
        <f>IF($J799="Y","",IF($F799="BW",$I799,$H799*$I799))</f>
        <v/>
      </c>
      <c r="L799" s="26">
        <f>$D799&amp;"|"&amp;$H799</f>
        <v/>
      </c>
    </row>
    <row r="800" ht="15" customHeight="1" s="22">
      <c r="A800" s="36" t="n">
        <v>46270</v>
      </c>
      <c r="B800" t="inlineStr">
        <is>
          <t>Sat</t>
        </is>
      </c>
      <c r="C800" t="inlineStr">
        <is>
          <t>Lower + Light Upper</t>
        </is>
      </c>
      <c r="D800" t="inlineStr">
        <is>
          <t>Goblet Squats</t>
        </is>
      </c>
      <c r="E800" t="inlineStr">
        <is>
          <t>Dumbbell</t>
        </is>
      </c>
      <c r="F800" t="inlineStr">
        <is>
          <t>lbs</t>
        </is>
      </c>
      <c r="G800" t="n">
        <v>1</v>
      </c>
      <c r="H800" t="n">
        <v>20</v>
      </c>
      <c r="I800" t="n">
        <v>8</v>
      </c>
      <c r="J800" t="inlineStr">
        <is>
          <t>N</t>
        </is>
      </c>
      <c r="K800" s="26">
        <f>IF($J800="Y","",IF($F800="BW",$I800,$H800*$I800))</f>
        <v/>
      </c>
      <c r="L800" s="26">
        <f>$D800&amp;"|"&amp;$H800</f>
        <v/>
      </c>
    </row>
    <row r="801" ht="15" customHeight="1" s="22">
      <c r="A801" s="36" t="n">
        <v>46270</v>
      </c>
      <c r="B801" t="inlineStr">
        <is>
          <t>Sat</t>
        </is>
      </c>
      <c r="C801" t="inlineStr">
        <is>
          <t>Lower + Light Upper</t>
        </is>
      </c>
      <c r="D801" t="inlineStr">
        <is>
          <t>Goblet Squats</t>
        </is>
      </c>
      <c r="E801" t="inlineStr">
        <is>
          <t>Dumbbell</t>
        </is>
      </c>
      <c r="F801" t="inlineStr">
        <is>
          <t>lbs</t>
        </is>
      </c>
      <c r="G801" t="n">
        <v>2</v>
      </c>
      <c r="H801" t="n">
        <v>20</v>
      </c>
      <c r="I801" t="n">
        <v>8</v>
      </c>
      <c r="J801" t="inlineStr">
        <is>
          <t>N</t>
        </is>
      </c>
      <c r="K801" s="26">
        <f>IF($J801="Y","",IF($F801="BW",$I801,$H801*$I801))</f>
        <v/>
      </c>
      <c r="L801" s="26">
        <f>$D801&amp;"|"&amp;$H801</f>
        <v/>
      </c>
    </row>
    <row r="802" ht="15" customHeight="1" s="22">
      <c r="A802" s="36" t="n">
        <v>46270</v>
      </c>
      <c r="B802" t="inlineStr">
        <is>
          <t>Sat</t>
        </is>
      </c>
      <c r="C802" t="inlineStr">
        <is>
          <t>Lower + Light Upper</t>
        </is>
      </c>
      <c r="D802" t="inlineStr">
        <is>
          <t>Bicep Curls (DB)</t>
        </is>
      </c>
      <c r="E802" t="inlineStr">
        <is>
          <t>Dumbbell</t>
        </is>
      </c>
      <c r="F802" t="inlineStr">
        <is>
          <t>lbs</t>
        </is>
      </c>
      <c r="G802" t="n">
        <v>1</v>
      </c>
      <c r="H802" t="n">
        <v>15</v>
      </c>
      <c r="I802" t="n">
        <v>8</v>
      </c>
      <c r="J802" t="inlineStr">
        <is>
          <t>N</t>
        </is>
      </c>
      <c r="K802" s="26">
        <f>IF($J802="Y","",IF($F802="BW",$I802,$H802*$I802))</f>
        <v/>
      </c>
      <c r="L802" s="26">
        <f>$D802&amp;"|"&amp;$H802</f>
        <v/>
      </c>
    </row>
    <row r="803" ht="15" customHeight="1" s="22">
      <c r="A803" s="36" t="n">
        <v>46270</v>
      </c>
      <c r="B803" t="inlineStr">
        <is>
          <t>Sat</t>
        </is>
      </c>
      <c r="C803" t="inlineStr">
        <is>
          <t>Lower + Light Upper</t>
        </is>
      </c>
      <c r="D803" t="inlineStr">
        <is>
          <t>Bicep Curls (DB)</t>
        </is>
      </c>
      <c r="E803" t="inlineStr">
        <is>
          <t>Dumbbell</t>
        </is>
      </c>
      <c r="F803" t="inlineStr">
        <is>
          <t>lbs</t>
        </is>
      </c>
      <c r="G803" t="n">
        <v>2</v>
      </c>
      <c r="H803" t="n">
        <v>15</v>
      </c>
      <c r="I803" t="n">
        <v>8</v>
      </c>
      <c r="J803" t="inlineStr">
        <is>
          <t>N</t>
        </is>
      </c>
      <c r="K803" s="26">
        <f>IF($J803="Y","",IF($F803="BW",$I803,$H803*$I803))</f>
        <v/>
      </c>
      <c r="L803" s="26">
        <f>$D803&amp;"|"&amp;$H803</f>
        <v/>
      </c>
    </row>
    <row r="804" ht="15" customHeight="1" s="22">
      <c r="A804" s="36" t="n">
        <v>46270</v>
      </c>
      <c r="B804" t="inlineStr">
        <is>
          <t>Sat</t>
        </is>
      </c>
      <c r="C804" t="inlineStr">
        <is>
          <t>Lower + Light Upper</t>
        </is>
      </c>
      <c r="D804" t="inlineStr">
        <is>
          <t>Bicep Curls (DB)</t>
        </is>
      </c>
      <c r="E804" t="inlineStr">
        <is>
          <t>Dumbbell</t>
        </is>
      </c>
      <c r="F804" t="inlineStr">
        <is>
          <t>lbs</t>
        </is>
      </c>
      <c r="G804" t="n">
        <v>3</v>
      </c>
      <c r="H804" t="n">
        <v>20</v>
      </c>
      <c r="I804" t="n">
        <v>8</v>
      </c>
      <c r="J804" t="inlineStr">
        <is>
          <t>N</t>
        </is>
      </c>
      <c r="K804" s="26">
        <f>IF($J804="Y","",IF($F804="BW",$I804,$H804*$I804))</f>
        <v/>
      </c>
      <c r="L804" s="26">
        <f>$D804&amp;"|"&amp;$H804</f>
        <v/>
      </c>
    </row>
    <row r="805" ht="15" customHeight="1" s="22">
      <c r="A805" s="36" t="n">
        <v>46271</v>
      </c>
      <c r="B805" t="inlineStr">
        <is>
          <t>Sun</t>
        </is>
      </c>
      <c r="C805" t="inlineStr">
        <is>
          <t>Light Upper</t>
        </is>
      </c>
      <c r="D805" t="inlineStr">
        <is>
          <t>Tricep Pulldown</t>
        </is>
      </c>
      <c r="E805" t="inlineStr">
        <is>
          <t>Cable</t>
        </is>
      </c>
      <c r="F805" t="inlineStr">
        <is>
          <t>kg</t>
        </is>
      </c>
      <c r="G805" t="n">
        <v>1</v>
      </c>
      <c r="H805" t="n">
        <v>10</v>
      </c>
      <c r="I805" t="n">
        <v>12</v>
      </c>
      <c r="J805" t="inlineStr">
        <is>
          <t>N</t>
        </is>
      </c>
      <c r="K805" s="26">
        <f>IF($J805="Y","",IF($F805="BW",$I805,$H805*$I805))</f>
        <v/>
      </c>
      <c r="L805" s="26">
        <f>$D805&amp;"|"&amp;$H805</f>
        <v/>
      </c>
    </row>
    <row r="806" ht="15" customHeight="1" s="22">
      <c r="A806" s="36" t="n">
        <v>46271</v>
      </c>
      <c r="B806" t="inlineStr">
        <is>
          <t>Sun</t>
        </is>
      </c>
      <c r="C806" t="inlineStr">
        <is>
          <t>Light Upper</t>
        </is>
      </c>
      <c r="D806" t="inlineStr">
        <is>
          <t>Tricep Pulldown</t>
        </is>
      </c>
      <c r="E806" t="inlineStr">
        <is>
          <t>Cable</t>
        </is>
      </c>
      <c r="F806" t="inlineStr">
        <is>
          <t>kg</t>
        </is>
      </c>
      <c r="G806" t="n">
        <v>2</v>
      </c>
      <c r="H806" t="n">
        <v>10</v>
      </c>
      <c r="I806" t="n">
        <v>15</v>
      </c>
      <c r="J806" t="inlineStr">
        <is>
          <t>N</t>
        </is>
      </c>
      <c r="K806" s="26">
        <f>IF($J806="Y","",IF($F806="BW",$I806,$H806*$I806))</f>
        <v/>
      </c>
      <c r="L806" s="26">
        <f>$D806&amp;"|"&amp;$H806</f>
        <v/>
      </c>
    </row>
    <row r="807" ht="15" customHeight="1" s="22">
      <c r="A807" s="36" t="n">
        <v>46271</v>
      </c>
      <c r="B807" t="inlineStr">
        <is>
          <t>Sun</t>
        </is>
      </c>
      <c r="C807" t="inlineStr">
        <is>
          <t>Light Upper</t>
        </is>
      </c>
      <c r="D807" t="inlineStr">
        <is>
          <t>Tricep Pulldown</t>
        </is>
      </c>
      <c r="E807" t="inlineStr">
        <is>
          <t>Cable</t>
        </is>
      </c>
      <c r="F807" t="inlineStr">
        <is>
          <t>kg</t>
        </is>
      </c>
      <c r="G807" t="n">
        <v>3</v>
      </c>
      <c r="H807" t="n">
        <v>12.5</v>
      </c>
      <c r="I807" t="n">
        <v>15</v>
      </c>
      <c r="J807" t="inlineStr">
        <is>
          <t>N</t>
        </is>
      </c>
      <c r="K807" s="26">
        <f>IF($J807="Y","",IF($F807="BW",$I807,$H807*$I807))</f>
        <v/>
      </c>
      <c r="L807" s="26">
        <f>$D807&amp;"|"&amp;$H807</f>
        <v/>
      </c>
    </row>
    <row r="808" ht="15" customHeight="1" s="22">
      <c r="A808" s="36" t="n">
        <v>46271</v>
      </c>
      <c r="B808" t="inlineStr">
        <is>
          <t>Sun</t>
        </is>
      </c>
      <c r="C808" t="inlineStr">
        <is>
          <t>Light Upper</t>
        </is>
      </c>
      <c r="D808" t="inlineStr">
        <is>
          <t>Tricep Pulldown</t>
        </is>
      </c>
      <c r="E808" t="inlineStr">
        <is>
          <t>Cable</t>
        </is>
      </c>
      <c r="F808" t="inlineStr">
        <is>
          <t>kg</t>
        </is>
      </c>
      <c r="G808" t="n">
        <v>4</v>
      </c>
      <c r="H808" t="n">
        <v>12.5</v>
      </c>
      <c r="I808" t="n">
        <v>12</v>
      </c>
      <c r="J808" t="inlineStr">
        <is>
          <t>N</t>
        </is>
      </c>
      <c r="K808" s="26">
        <f>IF($J808="Y","",IF($F808="BW",$I808,$H808*$I808))</f>
        <v/>
      </c>
      <c r="L808" s="26">
        <f>$D808&amp;"|"&amp;$H808</f>
        <v/>
      </c>
    </row>
    <row r="809" ht="15" customHeight="1" s="22">
      <c r="A809" s="36" t="n">
        <v>46271</v>
      </c>
      <c r="B809" t="inlineStr">
        <is>
          <t>Sun</t>
        </is>
      </c>
      <c r="C809" t="inlineStr">
        <is>
          <t>Light Upper</t>
        </is>
      </c>
      <c r="D809" t="inlineStr">
        <is>
          <t>Hammer Curls</t>
        </is>
      </c>
      <c r="E809" t="inlineStr">
        <is>
          <t>Dumbbell</t>
        </is>
      </c>
      <c r="F809" t="inlineStr">
        <is>
          <t>lbs</t>
        </is>
      </c>
      <c r="G809" t="n">
        <v>1</v>
      </c>
      <c r="H809" t="n">
        <v>15</v>
      </c>
      <c r="I809" t="n">
        <v>8</v>
      </c>
      <c r="J809" t="inlineStr">
        <is>
          <t>N</t>
        </is>
      </c>
      <c r="K809" s="26">
        <f>IF($J809="Y","",IF($F809="BW",$I809,$H809*$I809))</f>
        <v/>
      </c>
      <c r="L809" s="26">
        <f>$D809&amp;"|"&amp;$H809</f>
        <v/>
      </c>
    </row>
    <row r="810" ht="15" customHeight="1" s="22">
      <c r="A810" s="36" t="n">
        <v>46271</v>
      </c>
      <c r="B810" t="inlineStr">
        <is>
          <t>Sun</t>
        </is>
      </c>
      <c r="C810" t="inlineStr">
        <is>
          <t>Light Upper</t>
        </is>
      </c>
      <c r="D810" t="inlineStr">
        <is>
          <t>Hammer Curls</t>
        </is>
      </c>
      <c r="E810" t="inlineStr">
        <is>
          <t>Dumbbell</t>
        </is>
      </c>
      <c r="F810" t="inlineStr">
        <is>
          <t>lbs</t>
        </is>
      </c>
      <c r="G810" t="n">
        <v>2</v>
      </c>
      <c r="H810" t="n">
        <v>20</v>
      </c>
      <c r="I810" t="n">
        <v>8</v>
      </c>
      <c r="J810" t="inlineStr">
        <is>
          <t>N</t>
        </is>
      </c>
      <c r="K810" s="26">
        <f>IF($J810="Y","",IF($F810="BW",$I810,$H810*$I810))</f>
        <v/>
      </c>
      <c r="L810" s="26">
        <f>$D810&amp;"|"&amp;$H810</f>
        <v/>
      </c>
    </row>
    <row r="811" ht="15" customHeight="1" s="22">
      <c r="A811" s="36" t="n">
        <v>46271</v>
      </c>
      <c r="B811" t="inlineStr">
        <is>
          <t>Sun</t>
        </is>
      </c>
      <c r="C811" t="inlineStr">
        <is>
          <t>Light Upper</t>
        </is>
      </c>
      <c r="D811" t="inlineStr">
        <is>
          <t>Hammer Curls</t>
        </is>
      </c>
      <c r="E811" t="inlineStr">
        <is>
          <t>Dumbbell</t>
        </is>
      </c>
      <c r="F811" t="inlineStr">
        <is>
          <t>lbs</t>
        </is>
      </c>
      <c r="G811" t="n">
        <v>3</v>
      </c>
      <c r="H811" t="n">
        <v>25</v>
      </c>
      <c r="I811" t="n">
        <v>8</v>
      </c>
      <c r="J811" t="inlineStr">
        <is>
          <t>N</t>
        </is>
      </c>
      <c r="K811" s="26">
        <f>IF($J811="Y","",IF($F811="BW",$I811,$H811*$I811))</f>
        <v/>
      </c>
      <c r="L811" s="26">
        <f>$D811&amp;"|"&amp;$H811</f>
        <v/>
      </c>
    </row>
    <row r="812" ht="15" customHeight="1" s="22">
      <c r="A812" s="36" t="n">
        <v>46271</v>
      </c>
      <c r="B812" t="inlineStr">
        <is>
          <t>Sun</t>
        </is>
      </c>
      <c r="C812" t="inlineStr">
        <is>
          <t>Light Upper</t>
        </is>
      </c>
      <c r="D812" t="inlineStr">
        <is>
          <t>Hammer Curls</t>
        </is>
      </c>
      <c r="E812" t="inlineStr">
        <is>
          <t>Dumbbell</t>
        </is>
      </c>
      <c r="F812" t="inlineStr">
        <is>
          <t>lbs</t>
        </is>
      </c>
      <c r="G812" t="n">
        <v>4</v>
      </c>
      <c r="H812" t="n">
        <v>25</v>
      </c>
      <c r="I812" t="n">
        <v>8</v>
      </c>
      <c r="J812" t="inlineStr">
        <is>
          <t>N</t>
        </is>
      </c>
      <c r="K812" s="26">
        <f>IF($J812="Y","",IF($F812="BW",$I812,$H812*$I812))</f>
        <v/>
      </c>
      <c r="L812" s="26">
        <f>$D812&amp;"|"&amp;$H812</f>
        <v/>
      </c>
    </row>
    <row r="813" ht="15" customHeight="1" s="22">
      <c r="A813" s="36" t="n">
        <v>46273</v>
      </c>
      <c r="B813" t="inlineStr">
        <is>
          <t>Tue</t>
        </is>
      </c>
      <c r="C813" t="inlineStr">
        <is>
          <t>Cardio + Legs</t>
        </is>
      </c>
      <c r="D813" t="inlineStr">
        <is>
          <t>Goblet Squats</t>
        </is>
      </c>
      <c r="E813" t="inlineStr">
        <is>
          <t>Dumbbell</t>
        </is>
      </c>
      <c r="F813" t="inlineStr">
        <is>
          <t>lbs</t>
        </is>
      </c>
      <c r="G813" t="n">
        <v>1</v>
      </c>
      <c r="H813" t="n">
        <v>15</v>
      </c>
      <c r="I813" t="n">
        <v>8</v>
      </c>
      <c r="J813" t="inlineStr">
        <is>
          <t>N</t>
        </is>
      </c>
      <c r="K813" s="26">
        <f>IF($J813="Y","",IF($F813="BW",$I813,$H813*$I813))</f>
        <v/>
      </c>
      <c r="L813" s="26">
        <f>$D813&amp;"|"&amp;$H813</f>
        <v/>
      </c>
    </row>
    <row r="814" ht="15" customHeight="1" s="22">
      <c r="A814" s="36" t="n">
        <v>46273</v>
      </c>
      <c r="B814" t="inlineStr">
        <is>
          <t>Tue</t>
        </is>
      </c>
      <c r="C814" t="inlineStr">
        <is>
          <t>Cardio + Legs</t>
        </is>
      </c>
      <c r="D814" t="inlineStr">
        <is>
          <t>Goblet Squats</t>
        </is>
      </c>
      <c r="E814" t="inlineStr">
        <is>
          <t>Dumbbell</t>
        </is>
      </c>
      <c r="F814" t="inlineStr">
        <is>
          <t>lbs</t>
        </is>
      </c>
      <c r="G814" t="n">
        <v>2</v>
      </c>
      <c r="H814" t="n">
        <v>25</v>
      </c>
      <c r="I814" t="n">
        <v>8</v>
      </c>
      <c r="J814" t="inlineStr">
        <is>
          <t>N</t>
        </is>
      </c>
      <c r="K814" s="26">
        <f>IF($J814="Y","",IF($F814="BW",$I814,$H814*$I814))</f>
        <v/>
      </c>
      <c r="L814" s="26">
        <f>$D814&amp;"|"&amp;$H814</f>
        <v/>
      </c>
    </row>
    <row r="815" ht="15" customHeight="1" s="22">
      <c r="A815" s="36" t="n">
        <v>46273</v>
      </c>
      <c r="B815" t="inlineStr">
        <is>
          <t>Tue</t>
        </is>
      </c>
      <c r="C815" t="inlineStr">
        <is>
          <t>Cardio + Legs</t>
        </is>
      </c>
      <c r="D815" t="inlineStr">
        <is>
          <t>Goblet Squats</t>
        </is>
      </c>
      <c r="E815" t="inlineStr">
        <is>
          <t>Dumbbell</t>
        </is>
      </c>
      <c r="F815" t="inlineStr">
        <is>
          <t>lbs</t>
        </is>
      </c>
      <c r="G815" t="n">
        <v>3</v>
      </c>
      <c r="H815" t="n">
        <v>25</v>
      </c>
      <c r="I815" t="n">
        <v>8</v>
      </c>
      <c r="J815" t="inlineStr">
        <is>
          <t>N</t>
        </is>
      </c>
      <c r="K815" s="26">
        <f>IF($J815="Y","",IF($F815="BW",$I815,$H815*$I815))</f>
        <v/>
      </c>
      <c r="L815" s="26">
        <f>$D815&amp;"|"&amp;$H815</f>
        <v/>
      </c>
    </row>
    <row r="816" ht="15" customHeight="1" s="22">
      <c r="A816" s="36" t="n">
        <v>46273</v>
      </c>
      <c r="B816" t="inlineStr">
        <is>
          <t>Tue</t>
        </is>
      </c>
      <c r="C816" t="inlineStr">
        <is>
          <t>Cardio + Legs</t>
        </is>
      </c>
      <c r="D816" t="inlineStr">
        <is>
          <t>Goblet Squats</t>
        </is>
      </c>
      <c r="E816" t="inlineStr">
        <is>
          <t>Dumbbell</t>
        </is>
      </c>
      <c r="F816" t="inlineStr">
        <is>
          <t>lbs</t>
        </is>
      </c>
      <c r="G816" t="n">
        <v>4</v>
      </c>
      <c r="H816" t="n">
        <v>30</v>
      </c>
      <c r="I816" t="n">
        <v>8</v>
      </c>
      <c r="J816" t="inlineStr">
        <is>
          <t>N</t>
        </is>
      </c>
      <c r="K816" s="26">
        <f>IF($J816="Y","",IF($F816="BW",$I816,$H816*$I816))</f>
        <v/>
      </c>
      <c r="L816" s="26">
        <f>$D816&amp;"|"&amp;$H816</f>
        <v/>
      </c>
    </row>
    <row r="817" ht="15" customHeight="1" s="22">
      <c r="A817" s="36" t="n">
        <v>46273</v>
      </c>
      <c r="B817" t="inlineStr">
        <is>
          <t>Tue</t>
        </is>
      </c>
      <c r="C817" t="inlineStr">
        <is>
          <t>Cardio + Legs</t>
        </is>
      </c>
      <c r="D817" t="inlineStr">
        <is>
          <t>Goblet Squats</t>
        </is>
      </c>
      <c r="E817" t="inlineStr">
        <is>
          <t>Dumbbell</t>
        </is>
      </c>
      <c r="F817" t="inlineStr">
        <is>
          <t>lbs</t>
        </is>
      </c>
      <c r="G817" t="n">
        <v>5</v>
      </c>
      <c r="H817" t="n">
        <v>30</v>
      </c>
      <c r="I817" t="n">
        <v>8</v>
      </c>
      <c r="J817" t="inlineStr">
        <is>
          <t>N</t>
        </is>
      </c>
      <c r="K817" s="26">
        <f>IF($J817="Y","",IF($F817="BW",$I817,$H817*$I817))</f>
        <v/>
      </c>
      <c r="L817" s="26">
        <f>$D817&amp;"|"&amp;$H817</f>
        <v/>
      </c>
    </row>
    <row r="818" ht="15" customHeight="1" s="22">
      <c r="A818" s="36" t="n">
        <v>46273</v>
      </c>
      <c r="B818" t="inlineStr">
        <is>
          <t>Tue</t>
        </is>
      </c>
      <c r="C818" t="inlineStr">
        <is>
          <t>Cardio + Legs</t>
        </is>
      </c>
      <c r="D818" t="inlineStr">
        <is>
          <t>Lunges</t>
        </is>
      </c>
      <c r="E818" t="inlineStr">
        <is>
          <t>Bodyweight</t>
        </is>
      </c>
      <c r="F818" t="inlineStr">
        <is>
          <t>BW</t>
        </is>
      </c>
      <c r="G818" t="n">
        <v>1</v>
      </c>
      <c r="H818" t="n">
        <v>0</v>
      </c>
      <c r="I818" t="n">
        <v>10</v>
      </c>
      <c r="J818" t="inlineStr">
        <is>
          <t>N</t>
        </is>
      </c>
      <c r="K818" s="26">
        <f>IF($J818="Y","",IF($F818="BW",$I818,$H818*$I818))</f>
        <v/>
      </c>
      <c r="L818" s="26">
        <f>$D818&amp;"|"&amp;$H818</f>
        <v/>
      </c>
    </row>
    <row r="819" ht="15" customHeight="1" s="22">
      <c r="A819" s="36" t="n">
        <v>46273</v>
      </c>
      <c r="B819" t="inlineStr">
        <is>
          <t>Tue</t>
        </is>
      </c>
      <c r="C819" t="inlineStr">
        <is>
          <t>Cardio + Legs</t>
        </is>
      </c>
      <c r="D819" t="inlineStr">
        <is>
          <t>Lunges</t>
        </is>
      </c>
      <c r="E819" t="inlineStr">
        <is>
          <t>Bodyweight</t>
        </is>
      </c>
      <c r="F819" t="inlineStr">
        <is>
          <t>BW</t>
        </is>
      </c>
      <c r="G819" t="n">
        <v>2</v>
      </c>
      <c r="H819" t="n">
        <v>0</v>
      </c>
      <c r="I819" t="n">
        <v>10</v>
      </c>
      <c r="J819" t="inlineStr">
        <is>
          <t>N</t>
        </is>
      </c>
      <c r="K819" s="26">
        <f>IF($J819="Y","",IF($F819="BW",$I819,$H819*$I819))</f>
        <v/>
      </c>
      <c r="L819" s="26">
        <f>$D819&amp;"|"&amp;$H819</f>
        <v/>
      </c>
    </row>
    <row r="820" ht="15" customHeight="1" s="22">
      <c r="A820" s="36" t="n">
        <v>46277</v>
      </c>
      <c r="B820" t="inlineStr">
        <is>
          <t>Sat</t>
        </is>
      </c>
      <c r="C820" t="inlineStr">
        <is>
          <t>Light Upper</t>
        </is>
      </c>
      <c r="D820" t="inlineStr">
        <is>
          <t>Bicep Curls (DB)</t>
        </is>
      </c>
      <c r="E820" t="inlineStr">
        <is>
          <t>Dumbbell</t>
        </is>
      </c>
      <c r="F820" t="inlineStr">
        <is>
          <t>lbs</t>
        </is>
      </c>
      <c r="G820" t="n">
        <v>1</v>
      </c>
      <c r="H820" t="n">
        <v>12</v>
      </c>
      <c r="I820" t="n">
        <v>8</v>
      </c>
      <c r="J820" t="inlineStr">
        <is>
          <t>Y</t>
        </is>
      </c>
      <c r="K820" s="26">
        <f>IF($J820="Y","",IF($F820="BW",$I820,$H820*$I820))</f>
        <v/>
      </c>
      <c r="L820" s="26">
        <f>$D820&amp;"|"&amp;$H820</f>
        <v/>
      </c>
    </row>
    <row r="821" ht="15" customHeight="1" s="22">
      <c r="A821" s="36" t="n">
        <v>46277</v>
      </c>
      <c r="B821" t="inlineStr">
        <is>
          <t>Sat</t>
        </is>
      </c>
      <c r="C821" t="inlineStr">
        <is>
          <t>Light Upper</t>
        </is>
      </c>
      <c r="D821" t="inlineStr">
        <is>
          <t>Bicep Curls (DB)</t>
        </is>
      </c>
      <c r="E821" t="inlineStr">
        <is>
          <t>Dumbbell</t>
        </is>
      </c>
      <c r="F821" t="inlineStr">
        <is>
          <t>lbs</t>
        </is>
      </c>
      <c r="G821" t="n">
        <v>2</v>
      </c>
      <c r="H821" t="n">
        <v>20</v>
      </c>
      <c r="I821" t="n">
        <v>8</v>
      </c>
      <c r="J821" t="inlineStr">
        <is>
          <t>N</t>
        </is>
      </c>
      <c r="K821" s="26">
        <f>IF($J821="Y","",IF($F821="BW",$I821,$H821*$I821))</f>
        <v/>
      </c>
      <c r="L821" s="26">
        <f>$D821&amp;"|"&amp;$H821</f>
        <v/>
      </c>
    </row>
    <row r="822" ht="15" customHeight="1" s="22">
      <c r="A822" s="36" t="n">
        <v>46277</v>
      </c>
      <c r="B822" t="inlineStr">
        <is>
          <t>Sat</t>
        </is>
      </c>
      <c r="C822" t="inlineStr">
        <is>
          <t>Light Upper</t>
        </is>
      </c>
      <c r="D822" t="inlineStr">
        <is>
          <t>Bicep Curls (DB)</t>
        </is>
      </c>
      <c r="E822" t="inlineStr">
        <is>
          <t>Dumbbell</t>
        </is>
      </c>
      <c r="F822" t="inlineStr">
        <is>
          <t>lbs</t>
        </is>
      </c>
      <c r="G822" t="n">
        <v>3</v>
      </c>
      <c r="H822" t="n">
        <v>25</v>
      </c>
      <c r="I822" t="n">
        <v>8</v>
      </c>
      <c r="J822" t="inlineStr">
        <is>
          <t>N</t>
        </is>
      </c>
      <c r="K822" s="26">
        <f>IF($J822="Y","",IF($F822="BW",$I822,$H822*$I822))</f>
        <v/>
      </c>
      <c r="L822" s="26">
        <f>$D822&amp;"|"&amp;$H822</f>
        <v/>
      </c>
    </row>
    <row r="823" ht="15" customHeight="1" s="22">
      <c r="A823" s="36" t="n">
        <v>46277</v>
      </c>
      <c r="B823" t="inlineStr">
        <is>
          <t>Sat</t>
        </is>
      </c>
      <c r="C823" t="inlineStr">
        <is>
          <t>Light Upper</t>
        </is>
      </c>
      <c r="D823" t="inlineStr">
        <is>
          <t>Bicep Curls (DB)</t>
        </is>
      </c>
      <c r="E823" t="inlineStr">
        <is>
          <t>Dumbbell</t>
        </is>
      </c>
      <c r="F823" t="inlineStr">
        <is>
          <t>lbs</t>
        </is>
      </c>
      <c r="G823" t="n">
        <v>4</v>
      </c>
      <c r="H823" t="n">
        <v>25</v>
      </c>
      <c r="I823" t="n">
        <v>8</v>
      </c>
      <c r="J823" t="inlineStr">
        <is>
          <t>N</t>
        </is>
      </c>
      <c r="K823" s="26">
        <f>IF($J823="Y","",IF($F823="BW",$I823,$H823*$I823))</f>
        <v/>
      </c>
      <c r="L823" s="26">
        <f>$D823&amp;"|"&amp;$H823</f>
        <v/>
      </c>
    </row>
    <row r="824" ht="15" customHeight="1" s="22">
      <c r="A824" s="36" t="n">
        <v>46277</v>
      </c>
      <c r="B824" t="inlineStr">
        <is>
          <t>Sat</t>
        </is>
      </c>
      <c r="C824" t="inlineStr">
        <is>
          <t>Light Upper</t>
        </is>
      </c>
      <c r="D824" t="inlineStr">
        <is>
          <t>Bicep Curls (DB)</t>
        </is>
      </c>
      <c r="E824" t="inlineStr">
        <is>
          <t>Dumbbell</t>
        </is>
      </c>
      <c r="F824" t="inlineStr">
        <is>
          <t>lbs</t>
        </is>
      </c>
      <c r="G824" t="n">
        <v>5</v>
      </c>
      <c r="H824" t="n">
        <v>25</v>
      </c>
      <c r="I824" t="n">
        <v>8</v>
      </c>
      <c r="J824" t="inlineStr">
        <is>
          <t>N</t>
        </is>
      </c>
      <c r="K824" s="26">
        <f>IF($J824="Y","",IF($F824="BW",$I824,$H824*$I824))</f>
        <v/>
      </c>
      <c r="L824" s="26">
        <f>$D824&amp;"|"&amp;$H824</f>
        <v/>
      </c>
    </row>
    <row r="825" ht="15" customHeight="1" s="22">
      <c r="A825" s="36" t="n">
        <v>46277</v>
      </c>
      <c r="B825" t="inlineStr">
        <is>
          <t>Sat</t>
        </is>
      </c>
      <c r="C825" t="inlineStr">
        <is>
          <t>Light Upper</t>
        </is>
      </c>
      <c r="D825" t="inlineStr">
        <is>
          <t>Shrugs</t>
        </is>
      </c>
      <c r="E825" t="inlineStr">
        <is>
          <t>Dumbbell</t>
        </is>
      </c>
      <c r="F825" t="inlineStr">
        <is>
          <t>lbs</t>
        </is>
      </c>
      <c r="G825" t="n">
        <v>1</v>
      </c>
      <c r="H825" t="n">
        <v>12</v>
      </c>
      <c r="I825" t="n">
        <v>8</v>
      </c>
      <c r="J825" t="inlineStr">
        <is>
          <t>N</t>
        </is>
      </c>
      <c r="K825" s="26">
        <f>IF($J825="Y","",IF($F825="BW",$I825,$H825*$I825))</f>
        <v/>
      </c>
      <c r="L825" s="26">
        <f>$D825&amp;"|"&amp;$H825</f>
        <v/>
      </c>
    </row>
    <row r="826" ht="15" customHeight="1" s="22">
      <c r="A826" s="36" t="n">
        <v>46277</v>
      </c>
      <c r="B826" t="inlineStr">
        <is>
          <t>Sat</t>
        </is>
      </c>
      <c r="C826" t="inlineStr">
        <is>
          <t>Light Upper</t>
        </is>
      </c>
      <c r="D826" t="inlineStr">
        <is>
          <t>Shrugs</t>
        </is>
      </c>
      <c r="E826" t="inlineStr">
        <is>
          <t>Dumbbell</t>
        </is>
      </c>
      <c r="F826" t="inlineStr">
        <is>
          <t>lbs</t>
        </is>
      </c>
      <c r="G826" t="n">
        <v>2</v>
      </c>
      <c r="H826" t="n">
        <v>20</v>
      </c>
      <c r="I826" t="n">
        <v>12</v>
      </c>
      <c r="J826" t="inlineStr">
        <is>
          <t>N</t>
        </is>
      </c>
      <c r="K826" s="26">
        <f>IF($J826="Y","",IF($F826="BW",$I826,$H826*$I826))</f>
        <v/>
      </c>
      <c r="L826" s="26">
        <f>$D826&amp;"|"&amp;$H826</f>
        <v/>
      </c>
    </row>
    <row r="827" ht="15" customHeight="1" s="22">
      <c r="A827" s="36" t="n">
        <v>46277</v>
      </c>
      <c r="B827" t="inlineStr">
        <is>
          <t>Sat</t>
        </is>
      </c>
      <c r="C827" t="inlineStr">
        <is>
          <t>Light Upper</t>
        </is>
      </c>
      <c r="D827" t="inlineStr">
        <is>
          <t>Tricep Pulldown</t>
        </is>
      </c>
      <c r="E827" t="inlineStr">
        <is>
          <t>Cable</t>
        </is>
      </c>
      <c r="F827" t="inlineStr">
        <is>
          <t>kg</t>
        </is>
      </c>
      <c r="G827" t="n">
        <v>1</v>
      </c>
      <c r="H827" t="n">
        <v>10</v>
      </c>
      <c r="I827" t="n">
        <v>8</v>
      </c>
      <c r="J827" t="inlineStr">
        <is>
          <t>N</t>
        </is>
      </c>
      <c r="K827" s="26">
        <f>IF($J827="Y","",IF($F827="BW",$I827,$H827*$I827))</f>
        <v/>
      </c>
      <c r="L827" s="26">
        <f>$D827&amp;"|"&amp;$H827</f>
        <v/>
      </c>
    </row>
    <row r="828" ht="15" customHeight="1" s="22">
      <c r="A828" s="36" t="n">
        <v>46277</v>
      </c>
      <c r="B828" t="inlineStr">
        <is>
          <t>Sat</t>
        </is>
      </c>
      <c r="C828" t="inlineStr">
        <is>
          <t>Light Upper</t>
        </is>
      </c>
      <c r="D828" t="inlineStr">
        <is>
          <t>Tricep Pulldown</t>
        </is>
      </c>
      <c r="E828" t="inlineStr">
        <is>
          <t>Cable</t>
        </is>
      </c>
      <c r="F828" t="inlineStr">
        <is>
          <t>kg</t>
        </is>
      </c>
      <c r="G828" t="n">
        <v>2</v>
      </c>
      <c r="H828" t="n">
        <v>12</v>
      </c>
      <c r="I828" t="n">
        <v>8</v>
      </c>
      <c r="J828" t="inlineStr">
        <is>
          <t>N</t>
        </is>
      </c>
      <c r="K828" s="26">
        <f>IF($J828="Y","",IF($F828="BW",$I828,$H828*$I828))</f>
        <v/>
      </c>
      <c r="L828" s="26">
        <f>$D828&amp;"|"&amp;$H828</f>
        <v/>
      </c>
    </row>
    <row r="829" ht="15" customHeight="1" s="22">
      <c r="A829" s="36" t="n">
        <v>46277</v>
      </c>
      <c r="B829" t="inlineStr">
        <is>
          <t>Sat</t>
        </is>
      </c>
      <c r="C829" t="inlineStr">
        <is>
          <t>Light Upper</t>
        </is>
      </c>
      <c r="D829" t="inlineStr">
        <is>
          <t>Tricep Pulldown</t>
        </is>
      </c>
      <c r="E829" t="inlineStr">
        <is>
          <t>Cable</t>
        </is>
      </c>
      <c r="F829" t="inlineStr">
        <is>
          <t>kg</t>
        </is>
      </c>
      <c r="G829" t="n">
        <v>3</v>
      </c>
      <c r="H829" t="n">
        <v>15</v>
      </c>
      <c r="I829" t="n">
        <v>8</v>
      </c>
      <c r="J829" t="inlineStr">
        <is>
          <t>N</t>
        </is>
      </c>
      <c r="K829" s="26">
        <f>IF($J829="Y","",IF($F829="BW",$I829,$H829*$I829))</f>
        <v/>
      </c>
      <c r="L829" s="26">
        <f>$D829&amp;"|"&amp;$H829</f>
        <v/>
      </c>
    </row>
    <row r="830" ht="15" customHeight="1" s="22">
      <c r="A830" s="36" t="n">
        <v>46277</v>
      </c>
      <c r="B830" t="inlineStr">
        <is>
          <t>Sat</t>
        </is>
      </c>
      <c r="C830" t="inlineStr">
        <is>
          <t>Light Upper</t>
        </is>
      </c>
      <c r="D830" t="inlineStr">
        <is>
          <t>Tricep Pulldown</t>
        </is>
      </c>
      <c r="E830" t="inlineStr">
        <is>
          <t>Cable</t>
        </is>
      </c>
      <c r="F830" t="inlineStr">
        <is>
          <t>kg</t>
        </is>
      </c>
      <c r="G830" t="n">
        <v>4</v>
      </c>
      <c r="H830" t="n">
        <v>15</v>
      </c>
      <c r="I830" t="n">
        <v>8</v>
      </c>
      <c r="J830" t="inlineStr">
        <is>
          <t>N</t>
        </is>
      </c>
      <c r="K830" s="26">
        <f>IF($J830="Y","",IF($F830="BW",$I830,$H830*$I830))</f>
        <v/>
      </c>
      <c r="L830" s="26">
        <f>$D830&amp;"|"&amp;$H830</f>
        <v/>
      </c>
    </row>
    <row r="831" ht="15" customHeight="1" s="22">
      <c r="A831" s="36" t="n">
        <v>46277</v>
      </c>
      <c r="B831" t="inlineStr">
        <is>
          <t>Sat</t>
        </is>
      </c>
      <c r="C831" t="inlineStr">
        <is>
          <t>Light Upper</t>
        </is>
      </c>
      <c r="D831" t="inlineStr">
        <is>
          <t>Tricep Pulldown</t>
        </is>
      </c>
      <c r="E831" t="inlineStr">
        <is>
          <t>Cable</t>
        </is>
      </c>
      <c r="F831" t="inlineStr">
        <is>
          <t>kg</t>
        </is>
      </c>
      <c r="G831" t="n">
        <v>5</v>
      </c>
      <c r="H831" t="n">
        <v>15</v>
      </c>
      <c r="I831" t="n">
        <v>8</v>
      </c>
      <c r="J831" t="inlineStr">
        <is>
          <t>N</t>
        </is>
      </c>
      <c r="K831" s="26">
        <f>IF($J831="Y","",IF($F831="BW",$I831,$H831*$I831))</f>
        <v/>
      </c>
      <c r="L831" s="26">
        <f>$D831&amp;"|"&amp;$H831</f>
        <v/>
      </c>
    </row>
    <row r="832" ht="15" customHeight="1" s="22">
      <c r="A832" s="36" t="n">
        <v>46277</v>
      </c>
      <c r="B832" t="inlineStr">
        <is>
          <t>Sat</t>
        </is>
      </c>
      <c r="C832" t="inlineStr">
        <is>
          <t>Light Upper</t>
        </is>
      </c>
      <c r="D832" t="inlineStr">
        <is>
          <t>Chest-Supported DB Rows</t>
        </is>
      </c>
      <c r="E832" t="inlineStr">
        <is>
          <t>Dumbbell</t>
        </is>
      </c>
      <c r="F832" t="inlineStr">
        <is>
          <t>lbs</t>
        </is>
      </c>
      <c r="G832" t="n">
        <v>1</v>
      </c>
      <c r="H832" t="n">
        <v>10</v>
      </c>
      <c r="I832" t="n">
        <v>8</v>
      </c>
      <c r="J832" t="inlineStr">
        <is>
          <t>N</t>
        </is>
      </c>
      <c r="K832" s="26">
        <f>IF($J832="Y","",IF($F832="BW",$I832,$H832*$I832))</f>
        <v/>
      </c>
      <c r="L832" s="26">
        <f>$D832&amp;"|"&amp;$H832</f>
        <v/>
      </c>
    </row>
    <row r="833" ht="15" customHeight="1" s="22">
      <c r="A833" s="36" t="n">
        <v>46277</v>
      </c>
      <c r="B833" t="inlineStr">
        <is>
          <t>Sat</t>
        </is>
      </c>
      <c r="C833" t="inlineStr">
        <is>
          <t>Light Upper</t>
        </is>
      </c>
      <c r="D833" t="inlineStr">
        <is>
          <t>Chest-Supported DB Rows</t>
        </is>
      </c>
      <c r="E833" t="inlineStr">
        <is>
          <t>Dumbbell</t>
        </is>
      </c>
      <c r="F833" t="inlineStr">
        <is>
          <t>lbs</t>
        </is>
      </c>
      <c r="G833" t="n">
        <v>2</v>
      </c>
      <c r="H833" t="n">
        <v>15</v>
      </c>
      <c r="I833" t="n">
        <v>8</v>
      </c>
      <c r="J833" t="inlineStr">
        <is>
          <t>N</t>
        </is>
      </c>
      <c r="K833" s="26">
        <f>IF($J833="Y","",IF($F833="BW",$I833,$H833*$I833))</f>
        <v/>
      </c>
      <c r="L833" s="26">
        <f>$D833&amp;"|"&amp;$H833</f>
        <v/>
      </c>
    </row>
    <row r="834" ht="15" customHeight="1" s="22">
      <c r="A834" s="36" t="n">
        <v>46277</v>
      </c>
      <c r="B834" t="inlineStr">
        <is>
          <t>Sat</t>
        </is>
      </c>
      <c r="C834" t="inlineStr">
        <is>
          <t>Light Upper</t>
        </is>
      </c>
      <c r="D834" t="inlineStr">
        <is>
          <t>Chest-Supported DB Rows</t>
        </is>
      </c>
      <c r="E834" t="inlineStr">
        <is>
          <t>Dumbbell</t>
        </is>
      </c>
      <c r="F834" t="inlineStr">
        <is>
          <t>lbs</t>
        </is>
      </c>
      <c r="G834" t="n">
        <v>3</v>
      </c>
      <c r="H834" t="n">
        <v>15</v>
      </c>
      <c r="I834" t="n">
        <v>8</v>
      </c>
      <c r="J834" t="inlineStr">
        <is>
          <t>N</t>
        </is>
      </c>
      <c r="K834" s="26">
        <f>IF($J834="Y","",IF($F834="BW",$I834,$H834*$I834))</f>
        <v/>
      </c>
      <c r="L834" s="26">
        <f>$D834&amp;"|"&amp;$H834</f>
        <v/>
      </c>
    </row>
    <row r="835" ht="15" customHeight="1" s="22">
      <c r="A835" s="36" t="n">
        <v>46279</v>
      </c>
      <c r="B835" t="inlineStr">
        <is>
          <t>Mon</t>
        </is>
      </c>
      <c r="C835" t="inlineStr">
        <is>
          <t>Cardio + Legs</t>
        </is>
      </c>
      <c r="D835" t="inlineStr">
        <is>
          <t>Goblet Squats</t>
        </is>
      </c>
      <c r="E835" t="inlineStr">
        <is>
          <t>Dumbbell</t>
        </is>
      </c>
      <c r="F835" t="inlineStr">
        <is>
          <t>lbs</t>
        </is>
      </c>
      <c r="G835" t="n">
        <v>1</v>
      </c>
      <c r="H835" t="n">
        <v>15</v>
      </c>
      <c r="I835" t="n">
        <v>8</v>
      </c>
      <c r="J835" t="inlineStr">
        <is>
          <t>Y</t>
        </is>
      </c>
      <c r="K835" s="26">
        <f>IF($J835="Y","",IF($F835="BW",$I835,$H835*$I835))</f>
        <v/>
      </c>
      <c r="L835" s="26">
        <f>$D835&amp;"|"&amp;$H835</f>
        <v/>
      </c>
    </row>
    <row r="836" ht="15" customHeight="1" s="22">
      <c r="A836" s="36" t="n">
        <v>46279</v>
      </c>
      <c r="B836" t="inlineStr">
        <is>
          <t>Mon</t>
        </is>
      </c>
      <c r="C836" t="inlineStr">
        <is>
          <t>Cardio + Legs</t>
        </is>
      </c>
      <c r="D836" t="inlineStr">
        <is>
          <t>Goblet Squats</t>
        </is>
      </c>
      <c r="E836" t="inlineStr">
        <is>
          <t>Dumbbell</t>
        </is>
      </c>
      <c r="F836" t="inlineStr">
        <is>
          <t>lbs</t>
        </is>
      </c>
      <c r="G836" t="n">
        <v>2</v>
      </c>
      <c r="H836" t="n">
        <v>15</v>
      </c>
      <c r="I836" t="n">
        <v>8</v>
      </c>
      <c r="J836" t="inlineStr">
        <is>
          <t>N</t>
        </is>
      </c>
      <c r="K836" s="26">
        <f>IF($J836="Y","",IF($F836="BW",$I836,$H836*$I836))</f>
        <v/>
      </c>
      <c r="L836" s="26">
        <f>$D836&amp;"|"&amp;$H836</f>
        <v/>
      </c>
    </row>
    <row r="837" ht="15" customHeight="1" s="22">
      <c r="A837" s="36" t="n">
        <v>46279</v>
      </c>
      <c r="B837" t="inlineStr">
        <is>
          <t>Mon</t>
        </is>
      </c>
      <c r="C837" t="inlineStr">
        <is>
          <t>Cardio + Legs</t>
        </is>
      </c>
      <c r="D837" t="inlineStr">
        <is>
          <t>Goblet Squats</t>
        </is>
      </c>
      <c r="E837" t="inlineStr">
        <is>
          <t>Dumbbell</t>
        </is>
      </c>
      <c r="F837" t="inlineStr">
        <is>
          <t>lbs</t>
        </is>
      </c>
      <c r="G837" t="n">
        <v>3</v>
      </c>
      <c r="H837" t="n">
        <v>25</v>
      </c>
      <c r="I837" t="n">
        <v>8</v>
      </c>
      <c r="J837" t="inlineStr">
        <is>
          <t>N</t>
        </is>
      </c>
      <c r="K837" s="26">
        <f>IF($J837="Y","",IF($F837="BW",$I837,$H837*$I837))</f>
        <v/>
      </c>
      <c r="L837" s="26">
        <f>$D837&amp;"|"&amp;$H837</f>
        <v/>
      </c>
    </row>
    <row r="838" ht="15" customHeight="1" s="22">
      <c r="A838" s="36" t="n">
        <v>46279</v>
      </c>
      <c r="B838" t="inlineStr">
        <is>
          <t>Mon</t>
        </is>
      </c>
      <c r="C838" t="inlineStr">
        <is>
          <t>Cardio + Legs</t>
        </is>
      </c>
      <c r="D838" t="inlineStr">
        <is>
          <t>Goblet Squats</t>
        </is>
      </c>
      <c r="E838" t="inlineStr">
        <is>
          <t>Dumbbell</t>
        </is>
      </c>
      <c r="F838" t="inlineStr">
        <is>
          <t>lbs</t>
        </is>
      </c>
      <c r="G838" t="n">
        <v>4</v>
      </c>
      <c r="H838" t="n">
        <v>25</v>
      </c>
      <c r="I838" t="n">
        <v>8</v>
      </c>
      <c r="J838" t="inlineStr">
        <is>
          <t>N</t>
        </is>
      </c>
      <c r="K838" s="26">
        <f>IF($J838="Y","",IF($F838="BW",$I838,$H838*$I838))</f>
        <v/>
      </c>
      <c r="L838" s="26">
        <f>$D838&amp;"|"&amp;$H838</f>
        <v/>
      </c>
    </row>
    <row r="839" ht="15" customHeight="1" s="22">
      <c r="A839" s="36" t="n">
        <v>46282</v>
      </c>
      <c r="B839" t="inlineStr">
        <is>
          <t>Thu</t>
        </is>
      </c>
      <c r="C839" t="inlineStr">
        <is>
          <t>Light Upper + Legs</t>
        </is>
      </c>
      <c r="D839" t="inlineStr">
        <is>
          <t>Bicep Curls (DB)</t>
        </is>
      </c>
      <c r="E839" t="inlineStr">
        <is>
          <t>Dumbbell</t>
        </is>
      </c>
      <c r="F839" t="inlineStr">
        <is>
          <t>lbs</t>
        </is>
      </c>
      <c r="G839" t="n">
        <v>1</v>
      </c>
      <c r="H839" t="n">
        <v>15</v>
      </c>
      <c r="I839" t="n">
        <v>8</v>
      </c>
      <c r="J839" t="inlineStr">
        <is>
          <t>Y</t>
        </is>
      </c>
      <c r="K839" s="26">
        <f>IF($J839="Y","",IF($F839="BW",$I839,$H839*$I839))</f>
        <v/>
      </c>
      <c r="L839" s="26">
        <f>$D839&amp;"|"&amp;$H839</f>
        <v/>
      </c>
    </row>
    <row r="840" ht="15" customHeight="1" s="22">
      <c r="A840" s="36" t="n">
        <v>46282</v>
      </c>
      <c r="B840" t="inlineStr">
        <is>
          <t>Thu</t>
        </is>
      </c>
      <c r="C840" t="inlineStr">
        <is>
          <t>Light Upper + Legs</t>
        </is>
      </c>
      <c r="D840" t="inlineStr">
        <is>
          <t>Bicep Curls (DB)</t>
        </is>
      </c>
      <c r="E840" t="inlineStr">
        <is>
          <t>Dumbbell</t>
        </is>
      </c>
      <c r="F840" t="inlineStr">
        <is>
          <t>lbs</t>
        </is>
      </c>
      <c r="G840" t="n">
        <v>2</v>
      </c>
      <c r="H840" t="n">
        <v>20</v>
      </c>
      <c r="I840" t="n">
        <v>8</v>
      </c>
      <c r="J840" t="inlineStr">
        <is>
          <t>N</t>
        </is>
      </c>
      <c r="K840" s="26">
        <f>IF($J840="Y","",IF($F840="BW",$I840,$H840*$I840))</f>
        <v/>
      </c>
      <c r="L840" s="26">
        <f>$D840&amp;"|"&amp;$H840</f>
        <v/>
      </c>
    </row>
    <row r="841" ht="15" customHeight="1" s="22">
      <c r="A841" s="36" t="n">
        <v>46282</v>
      </c>
      <c r="B841" t="inlineStr">
        <is>
          <t>Thu</t>
        </is>
      </c>
      <c r="C841" t="inlineStr">
        <is>
          <t>Light Upper + Legs</t>
        </is>
      </c>
      <c r="D841" t="inlineStr">
        <is>
          <t>Bicep Curls (DB)</t>
        </is>
      </c>
      <c r="E841" t="inlineStr">
        <is>
          <t>Dumbbell</t>
        </is>
      </c>
      <c r="F841" t="inlineStr">
        <is>
          <t>lbs</t>
        </is>
      </c>
      <c r="G841" t="n">
        <v>3</v>
      </c>
      <c r="H841" t="n">
        <v>25</v>
      </c>
      <c r="I841" t="n">
        <v>8</v>
      </c>
      <c r="J841" t="inlineStr">
        <is>
          <t>N</t>
        </is>
      </c>
      <c r="K841" s="26">
        <f>IF($J841="Y","",IF($F841="BW",$I841,$H841*$I841))</f>
        <v/>
      </c>
      <c r="L841" s="26">
        <f>$D841&amp;"|"&amp;$H841</f>
        <v/>
      </c>
    </row>
    <row r="842" ht="15" customHeight="1" s="22">
      <c r="A842" s="36" t="n">
        <v>46282</v>
      </c>
      <c r="B842" t="inlineStr">
        <is>
          <t>Thu</t>
        </is>
      </c>
      <c r="C842" t="inlineStr">
        <is>
          <t>Light Upper + Legs</t>
        </is>
      </c>
      <c r="D842" t="inlineStr">
        <is>
          <t>Bicep Curls (DB)</t>
        </is>
      </c>
      <c r="E842" t="inlineStr">
        <is>
          <t>Dumbbell</t>
        </is>
      </c>
      <c r="F842" t="inlineStr">
        <is>
          <t>lbs</t>
        </is>
      </c>
      <c r="G842" t="n">
        <v>4</v>
      </c>
      <c r="H842" t="n">
        <v>25</v>
      </c>
      <c r="I842" t="n">
        <v>8</v>
      </c>
      <c r="J842" t="inlineStr">
        <is>
          <t>N</t>
        </is>
      </c>
      <c r="K842" s="26">
        <f>IF($J842="Y","",IF($F842="BW",$I842,$H842*$I842))</f>
        <v/>
      </c>
      <c r="L842" s="26">
        <f>$D842&amp;"|"&amp;$H842</f>
        <v/>
      </c>
    </row>
    <row r="843" ht="15" customHeight="1" s="22">
      <c r="A843" s="36" t="n">
        <v>46282</v>
      </c>
      <c r="B843" t="inlineStr">
        <is>
          <t>Thu</t>
        </is>
      </c>
      <c r="C843" t="inlineStr">
        <is>
          <t>Light Upper + Legs</t>
        </is>
      </c>
      <c r="D843" t="inlineStr">
        <is>
          <t>Bodyweight Squats</t>
        </is>
      </c>
      <c r="E843" t="inlineStr">
        <is>
          <t>Bodyweight</t>
        </is>
      </c>
      <c r="F843" t="inlineStr">
        <is>
          <t>BW</t>
        </is>
      </c>
      <c r="G843" t="n">
        <v>1</v>
      </c>
      <c r="H843" t="n">
        <v>0</v>
      </c>
      <c r="I843" t="n">
        <v>8</v>
      </c>
      <c r="J843" t="inlineStr">
        <is>
          <t>N</t>
        </is>
      </c>
      <c r="K843" s="26">
        <f>IF($J843="Y","",IF($F843="BW",$I843,$H843*$I843))</f>
        <v/>
      </c>
      <c r="L843" s="26">
        <f>$D843&amp;"|"&amp;$H843</f>
        <v/>
      </c>
    </row>
    <row r="844" ht="15" customHeight="1" s="22">
      <c r="A844" s="36" t="n">
        <v>46282</v>
      </c>
      <c r="B844" t="inlineStr">
        <is>
          <t>Thu</t>
        </is>
      </c>
      <c r="C844" t="inlineStr">
        <is>
          <t>Light Upper + Legs</t>
        </is>
      </c>
      <c r="D844" t="inlineStr">
        <is>
          <t>Bodyweight Squats</t>
        </is>
      </c>
      <c r="E844" t="inlineStr">
        <is>
          <t>Bodyweight</t>
        </is>
      </c>
      <c r="F844" t="inlineStr">
        <is>
          <t>BW</t>
        </is>
      </c>
      <c r="G844" t="n">
        <v>2</v>
      </c>
      <c r="H844" t="n">
        <v>0</v>
      </c>
      <c r="I844" t="n">
        <v>8</v>
      </c>
      <c r="J844" t="inlineStr">
        <is>
          <t>N</t>
        </is>
      </c>
      <c r="K844" s="26">
        <f>IF($J844="Y","",IF($F844="BW",$I844,$H844*$I844))</f>
        <v/>
      </c>
      <c r="L844" s="26">
        <f>$D844&amp;"|"&amp;$H844</f>
        <v/>
      </c>
    </row>
    <row r="845" ht="15" customHeight="1" s="22">
      <c r="A845" s="36" t="n">
        <v>46282</v>
      </c>
      <c r="B845" t="inlineStr">
        <is>
          <t>Thu</t>
        </is>
      </c>
      <c r="C845" t="inlineStr">
        <is>
          <t>Light Upper + Legs</t>
        </is>
      </c>
      <c r="D845" t="inlineStr">
        <is>
          <t>Bodyweight Squats</t>
        </is>
      </c>
      <c r="E845" t="inlineStr">
        <is>
          <t>Bodyweight</t>
        </is>
      </c>
      <c r="F845" t="inlineStr">
        <is>
          <t>BW</t>
        </is>
      </c>
      <c r="G845" t="n">
        <v>3</v>
      </c>
      <c r="H845" t="n">
        <v>0</v>
      </c>
      <c r="I845" t="n">
        <v>8</v>
      </c>
      <c r="J845" t="inlineStr">
        <is>
          <t>N</t>
        </is>
      </c>
      <c r="K845" s="26">
        <f>IF($J845="Y","",IF($F845="BW",$I845,$H845*$I845))</f>
        <v/>
      </c>
      <c r="L845" s="26">
        <f>$D845&amp;"|"&amp;$H845</f>
        <v/>
      </c>
    </row>
    <row r="846" ht="15" customHeight="1" s="22">
      <c r="A846" s="36" t="n">
        <v>46282</v>
      </c>
      <c r="B846" t="inlineStr">
        <is>
          <t>Thu</t>
        </is>
      </c>
      <c r="C846" t="inlineStr">
        <is>
          <t>Light Upper + Legs</t>
        </is>
      </c>
      <c r="D846" t="inlineStr">
        <is>
          <t>Tricep Pulldown</t>
        </is>
      </c>
      <c r="E846" t="inlineStr">
        <is>
          <t>Cable</t>
        </is>
      </c>
      <c r="F846" t="inlineStr">
        <is>
          <t>kg</t>
        </is>
      </c>
      <c r="G846" t="n">
        <v>1</v>
      </c>
      <c r="H846" t="n">
        <v>10</v>
      </c>
      <c r="I846" t="n">
        <v>8</v>
      </c>
      <c r="J846" t="inlineStr">
        <is>
          <t>N</t>
        </is>
      </c>
      <c r="K846" s="26">
        <f>IF($J846="Y","",IF($F846="BW",$I846,$H846*$I846))</f>
        <v/>
      </c>
      <c r="L846" s="26">
        <f>$D846&amp;"|"&amp;$H846</f>
        <v/>
      </c>
    </row>
    <row r="847" ht="15" customHeight="1" s="22">
      <c r="A847" s="36" t="n">
        <v>46282</v>
      </c>
      <c r="B847" t="inlineStr">
        <is>
          <t>Thu</t>
        </is>
      </c>
      <c r="C847" t="inlineStr">
        <is>
          <t>Light Upper + Legs</t>
        </is>
      </c>
      <c r="D847" t="inlineStr">
        <is>
          <t>Tricep Pulldown</t>
        </is>
      </c>
      <c r="E847" t="inlineStr">
        <is>
          <t>Cable</t>
        </is>
      </c>
      <c r="F847" t="inlineStr">
        <is>
          <t>kg</t>
        </is>
      </c>
      <c r="G847" t="n">
        <v>2</v>
      </c>
      <c r="H847" t="n">
        <v>15</v>
      </c>
      <c r="I847" t="n">
        <v>8</v>
      </c>
      <c r="J847" t="inlineStr">
        <is>
          <t>N</t>
        </is>
      </c>
      <c r="K847" s="26">
        <f>IF($J847="Y","",IF($F847="BW",$I847,$H847*$I847))</f>
        <v/>
      </c>
      <c r="L847" s="26">
        <f>$D847&amp;"|"&amp;$H847</f>
        <v/>
      </c>
    </row>
    <row r="848" ht="15" customHeight="1" s="22">
      <c r="A848" s="36" t="n">
        <v>46282</v>
      </c>
      <c r="B848" t="inlineStr">
        <is>
          <t>Thu</t>
        </is>
      </c>
      <c r="C848" t="inlineStr">
        <is>
          <t>Light Upper + Legs</t>
        </is>
      </c>
      <c r="D848" t="inlineStr">
        <is>
          <t>Tricep Pulldown</t>
        </is>
      </c>
      <c r="E848" t="inlineStr">
        <is>
          <t>Cable</t>
        </is>
      </c>
      <c r="F848" t="inlineStr">
        <is>
          <t>kg</t>
        </is>
      </c>
      <c r="G848" t="n">
        <v>3</v>
      </c>
      <c r="H848" t="n">
        <v>17.5</v>
      </c>
      <c r="I848" t="n">
        <v>8</v>
      </c>
      <c r="J848" t="inlineStr">
        <is>
          <t>N</t>
        </is>
      </c>
      <c r="K848" s="26">
        <f>IF($J848="Y","",IF($F848="BW",$I848,$H848*$I848))</f>
        <v/>
      </c>
      <c r="L848" s="26">
        <f>$D848&amp;"|"&amp;$H848</f>
        <v/>
      </c>
    </row>
    <row r="849" ht="15" customHeight="1" s="22">
      <c r="A849" s="36" t="n">
        <v>46282</v>
      </c>
      <c r="B849" t="inlineStr">
        <is>
          <t>Thu</t>
        </is>
      </c>
      <c r="C849" t="inlineStr">
        <is>
          <t>Light Upper + Legs</t>
        </is>
      </c>
      <c r="D849" t="inlineStr">
        <is>
          <t>Tricep Pulldown</t>
        </is>
      </c>
      <c r="E849" t="inlineStr">
        <is>
          <t>Cable</t>
        </is>
      </c>
      <c r="F849" t="inlineStr">
        <is>
          <t>kg</t>
        </is>
      </c>
      <c r="G849" t="n">
        <v>4</v>
      </c>
      <c r="H849" t="n">
        <v>20</v>
      </c>
      <c r="I849" t="n">
        <v>8</v>
      </c>
      <c r="J849" t="inlineStr">
        <is>
          <t>N</t>
        </is>
      </c>
      <c r="K849" s="26">
        <f>IF($J849="Y","",IF($F849="BW",$I849,$H849*$I849))</f>
        <v/>
      </c>
      <c r="L849" s="26">
        <f>$D849&amp;"|"&amp;$H849</f>
        <v/>
      </c>
    </row>
    <row r="850" ht="15" customHeight="1" s="22">
      <c r="A850" s="36" t="n">
        <v>46282</v>
      </c>
      <c r="B850" t="inlineStr">
        <is>
          <t>Thu</t>
        </is>
      </c>
      <c r="C850" t="inlineStr">
        <is>
          <t>Light Upper + Legs</t>
        </is>
      </c>
      <c r="D850" t="inlineStr">
        <is>
          <t>Chest-Supported DB Rows</t>
        </is>
      </c>
      <c r="E850" t="inlineStr">
        <is>
          <t>Dumbbell</t>
        </is>
      </c>
      <c r="F850" t="inlineStr">
        <is>
          <t>lbs</t>
        </is>
      </c>
      <c r="G850" t="n">
        <v>1</v>
      </c>
      <c r="H850" t="n">
        <v>10</v>
      </c>
      <c r="I850" t="n">
        <v>8</v>
      </c>
      <c r="J850" t="inlineStr">
        <is>
          <t>N</t>
        </is>
      </c>
      <c r="K850" s="26">
        <f>IF($J850="Y","",IF($F850="BW",$I850,$H850*$I850))</f>
        <v/>
      </c>
      <c r="L850" s="26">
        <f>$D850&amp;"|"&amp;$H850</f>
        <v/>
      </c>
    </row>
    <row r="851" ht="15" customHeight="1" s="22">
      <c r="A851" s="36" t="n">
        <v>46282</v>
      </c>
      <c r="B851" t="inlineStr">
        <is>
          <t>Thu</t>
        </is>
      </c>
      <c r="C851" t="inlineStr">
        <is>
          <t>Light Upper + Legs</t>
        </is>
      </c>
      <c r="D851" t="inlineStr">
        <is>
          <t>Chest-Supported DB Rows</t>
        </is>
      </c>
      <c r="E851" t="inlineStr">
        <is>
          <t>Dumbbell</t>
        </is>
      </c>
      <c r="F851" t="inlineStr">
        <is>
          <t>lbs</t>
        </is>
      </c>
      <c r="G851" t="n">
        <v>2</v>
      </c>
      <c r="H851" t="n">
        <v>20</v>
      </c>
      <c r="I851" t="n">
        <v>8</v>
      </c>
      <c r="J851" t="inlineStr">
        <is>
          <t>N</t>
        </is>
      </c>
      <c r="K851" s="26">
        <f>IF($J851="Y","",IF($F851="BW",$I851,$H851*$I851))</f>
        <v/>
      </c>
      <c r="L851" s="26">
        <f>$D851&amp;"|"&amp;$H851</f>
        <v/>
      </c>
    </row>
    <row r="852" ht="15" customHeight="1" s="22">
      <c r="A852" s="36" t="n">
        <v>46282</v>
      </c>
      <c r="B852" t="inlineStr">
        <is>
          <t>Thu</t>
        </is>
      </c>
      <c r="C852" t="inlineStr">
        <is>
          <t>Light Upper + Legs</t>
        </is>
      </c>
      <c r="D852" t="inlineStr">
        <is>
          <t>Chest-Supported DB Rows</t>
        </is>
      </c>
      <c r="E852" t="inlineStr">
        <is>
          <t>Dumbbell</t>
        </is>
      </c>
      <c r="F852" t="inlineStr">
        <is>
          <t>lbs</t>
        </is>
      </c>
      <c r="G852" t="n">
        <v>3</v>
      </c>
      <c r="H852" t="n">
        <v>25</v>
      </c>
      <c r="I852" t="n">
        <v>8</v>
      </c>
      <c r="J852" t="inlineStr">
        <is>
          <t>N</t>
        </is>
      </c>
      <c r="K852" s="26">
        <f>IF($J852="Y","",IF($F852="BW",$I852,$H852*$I852))</f>
        <v/>
      </c>
      <c r="L852" s="26">
        <f>$D852&amp;"|"&amp;$H852</f>
        <v/>
      </c>
    </row>
    <row r="853" ht="15" customHeight="1" s="22">
      <c r="A853" s="36" t="n">
        <v>46282</v>
      </c>
      <c r="B853" t="inlineStr">
        <is>
          <t>Thu</t>
        </is>
      </c>
      <c r="C853" t="inlineStr">
        <is>
          <t>Light Upper + Legs</t>
        </is>
      </c>
      <c r="D853" t="inlineStr">
        <is>
          <t>Chest-Supported DB Rows</t>
        </is>
      </c>
      <c r="E853" t="inlineStr">
        <is>
          <t>Dumbbell</t>
        </is>
      </c>
      <c r="F853" t="inlineStr">
        <is>
          <t>lbs</t>
        </is>
      </c>
      <c r="G853" t="n">
        <v>4</v>
      </c>
      <c r="H853" t="n">
        <v>25</v>
      </c>
      <c r="I853" t="n">
        <v>8</v>
      </c>
      <c r="J853" t="inlineStr">
        <is>
          <t>N</t>
        </is>
      </c>
      <c r="K853" s="26">
        <f>IF($J853="Y","",IF($F853="BW",$I853,$H853*$I853))</f>
        <v/>
      </c>
      <c r="L853" s="26">
        <f>$D853&amp;"|"&amp;$H853</f>
        <v/>
      </c>
    </row>
    <row r="854" ht="15" customHeight="1" s="22">
      <c r="A854" s="36" t="n">
        <v>46282</v>
      </c>
      <c r="B854" t="inlineStr">
        <is>
          <t>Thu</t>
        </is>
      </c>
      <c r="C854" t="inlineStr">
        <is>
          <t>Light Upper + Legs</t>
        </is>
      </c>
      <c r="D854" t="inlineStr">
        <is>
          <t>Shrugs</t>
        </is>
      </c>
      <c r="E854" t="inlineStr">
        <is>
          <t>Dumbbell</t>
        </is>
      </c>
      <c r="F854" t="inlineStr">
        <is>
          <t>lbs</t>
        </is>
      </c>
      <c r="G854" t="n">
        <v>1</v>
      </c>
      <c r="H854" t="n">
        <v>20</v>
      </c>
      <c r="I854" t="n">
        <v>12</v>
      </c>
      <c r="J854" t="inlineStr">
        <is>
          <t>N</t>
        </is>
      </c>
      <c r="K854" s="26">
        <f>IF($J854="Y","",IF($F854="BW",$I854,$H854*$I854))</f>
        <v/>
      </c>
      <c r="L854" s="26">
        <f>$D854&amp;"|"&amp;$H854</f>
        <v/>
      </c>
    </row>
    <row r="855" ht="15" customHeight="1" s="22">
      <c r="A855" s="36" t="n">
        <v>46282</v>
      </c>
      <c r="B855" t="inlineStr">
        <is>
          <t>Thu</t>
        </is>
      </c>
      <c r="C855" t="inlineStr">
        <is>
          <t>Light Upper + Legs</t>
        </is>
      </c>
      <c r="D855" t="inlineStr">
        <is>
          <t>Shrugs</t>
        </is>
      </c>
      <c r="E855" t="inlineStr">
        <is>
          <t>Dumbbell</t>
        </is>
      </c>
      <c r="F855" t="inlineStr">
        <is>
          <t>lbs</t>
        </is>
      </c>
      <c r="G855" t="n">
        <v>2</v>
      </c>
      <c r="H855" t="n">
        <v>30</v>
      </c>
      <c r="I855" t="n">
        <v>8</v>
      </c>
      <c r="J855" t="inlineStr">
        <is>
          <t>N</t>
        </is>
      </c>
      <c r="K855" s="26">
        <f>IF($J855="Y","",IF($F855="BW",$I855,$H855*$I855))</f>
        <v/>
      </c>
      <c r="L855" s="26">
        <f>$D855&amp;"|"&amp;$H855</f>
        <v/>
      </c>
    </row>
    <row r="856" ht="15" customHeight="1" s="22">
      <c r="A856" s="36" t="n">
        <v>46282</v>
      </c>
      <c r="B856" t="inlineStr">
        <is>
          <t>Thu</t>
        </is>
      </c>
      <c r="C856" t="inlineStr">
        <is>
          <t>Light Upper + Legs</t>
        </is>
      </c>
      <c r="D856" t="inlineStr">
        <is>
          <t>Shrugs</t>
        </is>
      </c>
      <c r="E856" t="inlineStr">
        <is>
          <t>Dumbbell</t>
        </is>
      </c>
      <c r="F856" t="inlineStr">
        <is>
          <t>lbs</t>
        </is>
      </c>
      <c r="G856" t="n">
        <v>3</v>
      </c>
      <c r="H856" t="n">
        <v>35</v>
      </c>
      <c r="I856" t="n">
        <v>8</v>
      </c>
      <c r="J856" t="inlineStr">
        <is>
          <t>N</t>
        </is>
      </c>
      <c r="K856" s="26">
        <f>IF($J856="Y","",IF($F856="BW",$I856,$H856*$I856))</f>
        <v/>
      </c>
      <c r="L856" s="26">
        <f>$D856&amp;"|"&amp;$H856</f>
        <v/>
      </c>
    </row>
    <row r="857" ht="15" customHeight="1" s="22">
      <c r="A857" s="36" t="n">
        <v>46282</v>
      </c>
      <c r="B857" t="inlineStr">
        <is>
          <t>Thu</t>
        </is>
      </c>
      <c r="C857" t="inlineStr">
        <is>
          <t>Light Upper + Legs</t>
        </is>
      </c>
      <c r="D857" t="inlineStr">
        <is>
          <t>Shrugs</t>
        </is>
      </c>
      <c r="E857" t="inlineStr">
        <is>
          <t>Dumbbell</t>
        </is>
      </c>
      <c r="F857" t="inlineStr">
        <is>
          <t>lbs</t>
        </is>
      </c>
      <c r="G857" t="n">
        <v>4</v>
      </c>
      <c r="H857" t="n">
        <v>35</v>
      </c>
      <c r="I857" t="n">
        <v>8</v>
      </c>
      <c r="J857" t="inlineStr">
        <is>
          <t>N</t>
        </is>
      </c>
      <c r="K857" s="26">
        <f>IF($J857="Y","",IF($F857="BW",$I857,$H857*$I857))</f>
        <v/>
      </c>
      <c r="L857" s="26">
        <f>$D857&amp;"|"&amp;$H857</f>
        <v/>
      </c>
    </row>
    <row r="858" ht="15" customHeight="1" s="22">
      <c r="A858" s="36" t="n">
        <v>46285</v>
      </c>
      <c r="B858" t="inlineStr">
        <is>
          <t>Sun</t>
        </is>
      </c>
      <c r="C858" t="inlineStr">
        <is>
          <t>Upper + Legs</t>
        </is>
      </c>
      <c r="D858" t="inlineStr">
        <is>
          <t>Incline Bench (DB)</t>
        </is>
      </c>
      <c r="E858" t="inlineStr">
        <is>
          <t>Dumbbell</t>
        </is>
      </c>
      <c r="F858" t="inlineStr">
        <is>
          <t>lbs</t>
        </is>
      </c>
      <c r="G858" t="n">
        <v>1</v>
      </c>
      <c r="H858" t="n">
        <v>20</v>
      </c>
      <c r="I858" t="n">
        <v>8</v>
      </c>
      <c r="J858" t="inlineStr">
        <is>
          <t>Y</t>
        </is>
      </c>
      <c r="K858" s="26">
        <f>IF($J858="Y","",IF($F858="BW",$I858,$H858*$I858))</f>
        <v/>
      </c>
      <c r="L858" s="26">
        <f>$D858&amp;"|"&amp;$H858</f>
        <v/>
      </c>
    </row>
    <row r="859" ht="15" customHeight="1" s="22">
      <c r="A859" s="36" t="n">
        <v>46285</v>
      </c>
      <c r="B859" t="inlineStr">
        <is>
          <t>Sun</t>
        </is>
      </c>
      <c r="C859" t="inlineStr">
        <is>
          <t>Upper + Legs</t>
        </is>
      </c>
      <c r="D859" t="inlineStr">
        <is>
          <t>Incline Bench (DB)</t>
        </is>
      </c>
      <c r="E859" t="inlineStr">
        <is>
          <t>Dumbbell</t>
        </is>
      </c>
      <c r="F859" t="inlineStr">
        <is>
          <t>lbs</t>
        </is>
      </c>
      <c r="G859" t="n">
        <v>2</v>
      </c>
      <c r="H859" t="n">
        <v>25</v>
      </c>
      <c r="I859" t="n">
        <v>8</v>
      </c>
      <c r="J859" t="inlineStr">
        <is>
          <t>N</t>
        </is>
      </c>
      <c r="K859" s="26">
        <f>IF($J859="Y","",IF($F859="BW",$I859,$H859*$I859))</f>
        <v/>
      </c>
      <c r="L859" s="26">
        <f>$D859&amp;"|"&amp;$H859</f>
        <v/>
      </c>
    </row>
    <row r="860" ht="15" customHeight="1" s="22">
      <c r="A860" s="36" t="n">
        <v>46285</v>
      </c>
      <c r="B860" t="inlineStr">
        <is>
          <t>Sun</t>
        </is>
      </c>
      <c r="C860" t="inlineStr">
        <is>
          <t>Upper + Legs</t>
        </is>
      </c>
      <c r="D860" t="inlineStr">
        <is>
          <t>Incline Bench (DB)</t>
        </is>
      </c>
      <c r="E860" t="inlineStr">
        <is>
          <t>Dumbbell</t>
        </is>
      </c>
      <c r="F860" t="inlineStr">
        <is>
          <t>lbs</t>
        </is>
      </c>
      <c r="G860" t="n">
        <v>3</v>
      </c>
      <c r="H860" t="n">
        <v>30</v>
      </c>
      <c r="I860" t="n">
        <v>8</v>
      </c>
      <c r="J860" t="inlineStr">
        <is>
          <t>N</t>
        </is>
      </c>
      <c r="K860" s="26">
        <f>IF($J860="Y","",IF($F860="BW",$I860,$H860*$I860))</f>
        <v/>
      </c>
      <c r="L860" s="26">
        <f>$D860&amp;"|"&amp;$H860</f>
        <v/>
      </c>
    </row>
    <row r="861" ht="15" customHeight="1" s="22">
      <c r="A861" s="36" t="n">
        <v>46285</v>
      </c>
      <c r="B861" t="inlineStr">
        <is>
          <t>Sun</t>
        </is>
      </c>
      <c r="C861" t="inlineStr">
        <is>
          <t>Upper + Legs</t>
        </is>
      </c>
      <c r="D861" t="inlineStr">
        <is>
          <t>Incline Bench (DB)</t>
        </is>
      </c>
      <c r="E861" t="inlineStr">
        <is>
          <t>Dumbbell</t>
        </is>
      </c>
      <c r="F861" t="inlineStr">
        <is>
          <t>lbs</t>
        </is>
      </c>
      <c r="G861" t="n">
        <v>4</v>
      </c>
      <c r="H861" t="n">
        <v>35</v>
      </c>
      <c r="I861" t="n">
        <v>8</v>
      </c>
      <c r="J861" t="inlineStr">
        <is>
          <t>N</t>
        </is>
      </c>
      <c r="K861" s="26">
        <f>IF($J861="Y","",IF($F861="BW",$I861,$H861*$I861))</f>
        <v/>
      </c>
      <c r="L861" s="26">
        <f>$D861&amp;"|"&amp;$H861</f>
        <v/>
      </c>
    </row>
    <row r="862" ht="15" customHeight="1" s="22">
      <c r="A862" s="36" t="n">
        <v>46285</v>
      </c>
      <c r="B862" t="inlineStr">
        <is>
          <t>Sun</t>
        </is>
      </c>
      <c r="C862" t="inlineStr">
        <is>
          <t>Upper + Legs</t>
        </is>
      </c>
      <c r="D862" t="inlineStr">
        <is>
          <t>Incline Bench (DB)</t>
        </is>
      </c>
      <c r="E862" t="inlineStr">
        <is>
          <t>Dumbbell</t>
        </is>
      </c>
      <c r="F862" t="inlineStr">
        <is>
          <t>lbs</t>
        </is>
      </c>
      <c r="G862" t="n">
        <v>5</v>
      </c>
      <c r="H862" t="n">
        <v>40</v>
      </c>
      <c r="I862" t="n">
        <v>8</v>
      </c>
      <c r="J862" t="inlineStr">
        <is>
          <t>N</t>
        </is>
      </c>
      <c r="K862" s="26">
        <f>IF($J862="Y","",IF($F862="BW",$I862,$H862*$I862))</f>
        <v/>
      </c>
      <c r="L862" s="26">
        <f>$D862&amp;"|"&amp;$H862</f>
        <v/>
      </c>
    </row>
    <row r="863" ht="15" customHeight="1" s="22">
      <c r="A863" s="36" t="n">
        <v>46285</v>
      </c>
      <c r="B863" t="inlineStr">
        <is>
          <t>Sun</t>
        </is>
      </c>
      <c r="C863" t="inlineStr">
        <is>
          <t>Upper + Legs</t>
        </is>
      </c>
      <c r="D863" t="inlineStr">
        <is>
          <t>Incline Bench (DB)</t>
        </is>
      </c>
      <c r="E863" t="inlineStr">
        <is>
          <t>Dumbbell</t>
        </is>
      </c>
      <c r="F863" t="inlineStr">
        <is>
          <t>lbs</t>
        </is>
      </c>
      <c r="G863" t="n">
        <v>6</v>
      </c>
      <c r="H863" t="n">
        <v>40</v>
      </c>
      <c r="I863" t="n">
        <v>8</v>
      </c>
      <c r="J863" t="inlineStr">
        <is>
          <t>N</t>
        </is>
      </c>
      <c r="K863" s="26">
        <f>IF($J863="Y","",IF($F863="BW",$I863,$H863*$I863))</f>
        <v/>
      </c>
      <c r="L863" s="26">
        <f>$D863&amp;"|"&amp;$H863</f>
        <v/>
      </c>
    </row>
    <row r="864" ht="15" customHeight="1" s="22">
      <c r="A864" s="36" t="n">
        <v>46285</v>
      </c>
      <c r="B864" t="inlineStr">
        <is>
          <t>Sun</t>
        </is>
      </c>
      <c r="C864" t="inlineStr">
        <is>
          <t>Upper + Legs</t>
        </is>
      </c>
      <c r="D864" t="inlineStr">
        <is>
          <t>Bench Press (DB)</t>
        </is>
      </c>
      <c r="E864" t="inlineStr">
        <is>
          <t>Dumbbell</t>
        </is>
      </c>
      <c r="F864" t="inlineStr">
        <is>
          <t>lbs</t>
        </is>
      </c>
      <c r="G864" t="n">
        <v>1</v>
      </c>
      <c r="H864" t="n">
        <v>25</v>
      </c>
      <c r="I864" t="n">
        <v>8</v>
      </c>
      <c r="J864" t="inlineStr">
        <is>
          <t>Y</t>
        </is>
      </c>
      <c r="K864" s="26">
        <f>IF($J864="Y","",IF($F864="BW",$I864,$H864*$I864))</f>
        <v/>
      </c>
      <c r="L864" s="26">
        <f>$D864&amp;"|"&amp;$H864</f>
        <v/>
      </c>
    </row>
    <row r="865" ht="15" customHeight="1" s="22">
      <c r="A865" s="36" t="n">
        <v>46285</v>
      </c>
      <c r="B865" t="inlineStr">
        <is>
          <t>Sun</t>
        </is>
      </c>
      <c r="C865" t="inlineStr">
        <is>
          <t>Upper + Legs</t>
        </is>
      </c>
      <c r="D865" t="inlineStr">
        <is>
          <t>Bench Press (DB)</t>
        </is>
      </c>
      <c r="E865" t="inlineStr">
        <is>
          <t>Dumbbell</t>
        </is>
      </c>
      <c r="F865" t="inlineStr">
        <is>
          <t>lbs</t>
        </is>
      </c>
      <c r="G865" t="n">
        <v>2</v>
      </c>
      <c r="H865" t="n">
        <v>35</v>
      </c>
      <c r="I865" t="n">
        <v>8</v>
      </c>
      <c r="J865" t="inlineStr">
        <is>
          <t>N</t>
        </is>
      </c>
      <c r="K865" s="26">
        <f>IF($J865="Y","",IF($F865="BW",$I865,$H865*$I865))</f>
        <v/>
      </c>
      <c r="L865" s="26">
        <f>$D865&amp;"|"&amp;$H865</f>
        <v/>
      </c>
    </row>
    <row r="866" ht="15" customHeight="1" s="22">
      <c r="A866" s="36" t="n">
        <v>46285</v>
      </c>
      <c r="B866" t="inlineStr">
        <is>
          <t>Sun</t>
        </is>
      </c>
      <c r="C866" t="inlineStr">
        <is>
          <t>Upper + Legs</t>
        </is>
      </c>
      <c r="D866" t="inlineStr">
        <is>
          <t>Bench Press (DB)</t>
        </is>
      </c>
      <c r="E866" t="inlineStr">
        <is>
          <t>Dumbbell</t>
        </is>
      </c>
      <c r="F866" t="inlineStr">
        <is>
          <t>lbs</t>
        </is>
      </c>
      <c r="G866" t="n">
        <v>3</v>
      </c>
      <c r="H866" t="n">
        <v>35</v>
      </c>
      <c r="I866" t="n">
        <v>8</v>
      </c>
      <c r="J866" t="inlineStr">
        <is>
          <t>N</t>
        </is>
      </c>
      <c r="K866" s="26">
        <f>IF($J866="Y","",IF($F866="BW",$I866,$H866*$I866))</f>
        <v/>
      </c>
      <c r="L866" s="26">
        <f>$D866&amp;"|"&amp;$H866</f>
        <v/>
      </c>
    </row>
    <row r="867" ht="15" customHeight="1" s="22">
      <c r="A867" s="36" t="n">
        <v>46285</v>
      </c>
      <c r="B867" t="inlineStr">
        <is>
          <t>Sun</t>
        </is>
      </c>
      <c r="C867" t="inlineStr">
        <is>
          <t>Upper + Legs</t>
        </is>
      </c>
      <c r="D867" t="inlineStr">
        <is>
          <t>Bench Press (DB)</t>
        </is>
      </c>
      <c r="E867" t="inlineStr">
        <is>
          <t>Dumbbell</t>
        </is>
      </c>
      <c r="F867" t="inlineStr">
        <is>
          <t>lbs</t>
        </is>
      </c>
      <c r="G867" t="n">
        <v>4</v>
      </c>
      <c r="H867" t="n">
        <v>35</v>
      </c>
      <c r="I867" t="n">
        <v>8</v>
      </c>
      <c r="J867" t="inlineStr">
        <is>
          <t>N</t>
        </is>
      </c>
      <c r="K867" s="26">
        <f>IF($J867="Y","",IF($F867="BW",$I867,$H867*$I867))</f>
        <v/>
      </c>
      <c r="L867" s="26">
        <f>$D867&amp;"|"&amp;$H867</f>
        <v/>
      </c>
    </row>
    <row r="868" ht="15" customHeight="1" s="22">
      <c r="A868" s="36" t="n">
        <v>46285</v>
      </c>
      <c r="B868" t="inlineStr">
        <is>
          <t>Sun</t>
        </is>
      </c>
      <c r="C868" t="inlineStr">
        <is>
          <t>Upper + Legs</t>
        </is>
      </c>
      <c r="D868" t="inlineStr">
        <is>
          <t>Lateral Raises</t>
        </is>
      </c>
      <c r="E868" t="inlineStr">
        <is>
          <t>Dumbbell</t>
        </is>
      </c>
      <c r="F868" t="inlineStr">
        <is>
          <t>lbs</t>
        </is>
      </c>
      <c r="G868" t="n">
        <v>1</v>
      </c>
      <c r="H868" t="n">
        <v>5</v>
      </c>
      <c r="I868" t="n">
        <v>10</v>
      </c>
      <c r="J868" t="inlineStr">
        <is>
          <t>Y</t>
        </is>
      </c>
      <c r="K868" s="26">
        <f>IF($J868="Y","",IF($F868="BW",$I868,$H868*$I868))</f>
        <v/>
      </c>
      <c r="L868" s="26">
        <f>$D868&amp;"|"&amp;$H868</f>
        <v/>
      </c>
    </row>
    <row r="869" ht="15" customHeight="1" s="22">
      <c r="A869" s="36" t="n">
        <v>46285</v>
      </c>
      <c r="B869" t="inlineStr">
        <is>
          <t>Sun</t>
        </is>
      </c>
      <c r="C869" t="inlineStr">
        <is>
          <t>Upper + Legs</t>
        </is>
      </c>
      <c r="D869" t="inlineStr">
        <is>
          <t>Lateral Raises</t>
        </is>
      </c>
      <c r="E869" t="inlineStr">
        <is>
          <t>Dumbbell</t>
        </is>
      </c>
      <c r="F869" t="inlineStr">
        <is>
          <t>lbs</t>
        </is>
      </c>
      <c r="G869" t="n">
        <v>2</v>
      </c>
      <c r="H869" t="n">
        <v>8</v>
      </c>
      <c r="I869" t="n">
        <v>10</v>
      </c>
      <c r="J869" t="inlineStr">
        <is>
          <t>N</t>
        </is>
      </c>
      <c r="K869" s="26">
        <f>IF($J869="Y","",IF($F869="BW",$I869,$H869*$I869))</f>
        <v/>
      </c>
      <c r="L869" s="26">
        <f>$D869&amp;"|"&amp;$H869</f>
        <v/>
      </c>
    </row>
    <row r="870" ht="15" customHeight="1" s="22">
      <c r="A870" s="36" t="n">
        <v>46285</v>
      </c>
      <c r="B870" t="inlineStr">
        <is>
          <t>Sun</t>
        </is>
      </c>
      <c r="C870" t="inlineStr">
        <is>
          <t>Upper + Legs</t>
        </is>
      </c>
      <c r="D870" t="inlineStr">
        <is>
          <t>Lateral Raises</t>
        </is>
      </c>
      <c r="E870" t="inlineStr">
        <is>
          <t>Dumbbell</t>
        </is>
      </c>
      <c r="F870" t="inlineStr">
        <is>
          <t>lbs</t>
        </is>
      </c>
      <c r="G870" t="n">
        <v>3</v>
      </c>
      <c r="H870" t="n">
        <v>8</v>
      </c>
      <c r="I870" t="n">
        <v>10</v>
      </c>
      <c r="J870" t="inlineStr">
        <is>
          <t>N</t>
        </is>
      </c>
      <c r="K870" s="26">
        <f>IF($J870="Y","",IF($F870="BW",$I870,$H870*$I870))</f>
        <v/>
      </c>
      <c r="L870" s="26">
        <f>$D870&amp;"|"&amp;$H870</f>
        <v/>
      </c>
    </row>
    <row r="871" ht="15" customHeight="1" s="22">
      <c r="A871" s="36" t="n">
        <v>46285</v>
      </c>
      <c r="B871" t="inlineStr">
        <is>
          <t>Sun</t>
        </is>
      </c>
      <c r="C871" t="inlineStr">
        <is>
          <t>Upper + Legs</t>
        </is>
      </c>
      <c r="D871" t="inlineStr">
        <is>
          <t>Lateral Raises</t>
        </is>
      </c>
      <c r="E871" t="inlineStr">
        <is>
          <t>Dumbbell</t>
        </is>
      </c>
      <c r="F871" t="inlineStr">
        <is>
          <t>lbs</t>
        </is>
      </c>
      <c r="G871" t="n">
        <v>4</v>
      </c>
      <c r="H871" t="n">
        <v>8</v>
      </c>
      <c r="I871" t="n">
        <v>10</v>
      </c>
      <c r="J871" t="inlineStr">
        <is>
          <t>N</t>
        </is>
      </c>
      <c r="K871" s="26">
        <f>IF($J871="Y","",IF($F871="BW",$I871,$H871*$I871))</f>
        <v/>
      </c>
      <c r="L871" s="26">
        <f>$D871&amp;"|"&amp;$H871</f>
        <v/>
      </c>
    </row>
    <row r="872" ht="15" customHeight="1" s="22">
      <c r="A872" s="36" t="n">
        <v>46285</v>
      </c>
      <c r="B872" t="inlineStr">
        <is>
          <t>Sun</t>
        </is>
      </c>
      <c r="C872" t="inlineStr">
        <is>
          <t>Upper + Legs</t>
        </is>
      </c>
      <c r="D872" t="inlineStr">
        <is>
          <t>Squats</t>
        </is>
      </c>
      <c r="E872" t="inlineStr">
        <is>
          <t>Smith</t>
        </is>
      </c>
      <c r="F872" t="inlineStr">
        <is>
          <t>lbs</t>
        </is>
      </c>
      <c r="G872" t="n">
        <v>1</v>
      </c>
      <c r="H872" t="n">
        <v>20</v>
      </c>
      <c r="I872" t="n">
        <v>8</v>
      </c>
      <c r="J872" t="inlineStr">
        <is>
          <t>N</t>
        </is>
      </c>
      <c r="K872" s="26">
        <f>IF($J872="Y","",IF($F872="BW",$I872,$H872*$I872))</f>
        <v/>
      </c>
      <c r="L872" s="26">
        <f>$D872&amp;"|"&amp;$H872</f>
        <v/>
      </c>
    </row>
    <row r="873" ht="15" customHeight="1" s="22">
      <c r="A873" s="36" t="n">
        <v>46285</v>
      </c>
      <c r="B873" t="inlineStr">
        <is>
          <t>Sun</t>
        </is>
      </c>
      <c r="C873" t="inlineStr">
        <is>
          <t>Upper + Legs</t>
        </is>
      </c>
      <c r="D873" t="inlineStr">
        <is>
          <t>Goblet Squats</t>
        </is>
      </c>
      <c r="E873" t="inlineStr">
        <is>
          <t>Dumbbell</t>
        </is>
      </c>
      <c r="F873" t="inlineStr">
        <is>
          <t>lbs</t>
        </is>
      </c>
      <c r="G873" t="n">
        <v>1</v>
      </c>
      <c r="H873" t="n">
        <v>20</v>
      </c>
      <c r="I873" t="n">
        <v>8</v>
      </c>
      <c r="J873" t="inlineStr">
        <is>
          <t>N</t>
        </is>
      </c>
      <c r="K873" s="26">
        <f>IF($J873="Y","",IF($F873="BW",$I873,$H873*$I873))</f>
        <v/>
      </c>
      <c r="L873" s="26">
        <f>$D873&amp;"|"&amp;$H873</f>
        <v/>
      </c>
    </row>
    <row r="874" ht="15" customHeight="1" s="22">
      <c r="A874" s="36" t="n">
        <v>46285</v>
      </c>
      <c r="B874" t="inlineStr">
        <is>
          <t>Sun</t>
        </is>
      </c>
      <c r="C874" t="inlineStr">
        <is>
          <t>Upper + Legs</t>
        </is>
      </c>
      <c r="D874" t="inlineStr">
        <is>
          <t>Goblet Squats</t>
        </is>
      </c>
      <c r="E874" t="inlineStr">
        <is>
          <t>Dumbbell</t>
        </is>
      </c>
      <c r="F874" t="inlineStr">
        <is>
          <t>lbs</t>
        </is>
      </c>
      <c r="G874" t="n">
        <v>2</v>
      </c>
      <c r="H874" t="n">
        <v>20</v>
      </c>
      <c r="I874" t="n">
        <v>8</v>
      </c>
      <c r="J874" t="inlineStr">
        <is>
          <t>N</t>
        </is>
      </c>
      <c r="K874" s="26">
        <f>IF($J874="Y","",IF($F874="BW",$I874,$H874*$I874))</f>
        <v/>
      </c>
      <c r="L874" s="26">
        <f>$D874&amp;"|"&amp;$H874</f>
        <v/>
      </c>
    </row>
    <row r="875" ht="15" customHeight="1" s="22">
      <c r="A875" s="36" t="n">
        <v>46285</v>
      </c>
      <c r="B875" t="inlineStr">
        <is>
          <t>Sun</t>
        </is>
      </c>
      <c r="C875" t="inlineStr">
        <is>
          <t>Upper + Legs</t>
        </is>
      </c>
      <c r="D875" t="inlineStr">
        <is>
          <t>Goblet Squats</t>
        </is>
      </c>
      <c r="E875" t="inlineStr">
        <is>
          <t>Dumbbell</t>
        </is>
      </c>
      <c r="F875" t="inlineStr">
        <is>
          <t>lbs</t>
        </is>
      </c>
      <c r="G875" t="n">
        <v>3</v>
      </c>
      <c r="H875" t="n">
        <v>25</v>
      </c>
      <c r="I875" t="n">
        <v>8</v>
      </c>
      <c r="J875" t="inlineStr">
        <is>
          <t>N</t>
        </is>
      </c>
      <c r="K875" s="26">
        <f>IF($J875="Y","",IF($F875="BW",$I875,$H875*$I875))</f>
        <v/>
      </c>
      <c r="L875" s="26">
        <f>$D875&amp;"|"&amp;$H875</f>
        <v/>
      </c>
    </row>
    <row r="876" ht="15" customHeight="1" s="22">
      <c r="A876" s="36" t="n">
        <v>46285</v>
      </c>
      <c r="B876" t="inlineStr">
        <is>
          <t>Sun</t>
        </is>
      </c>
      <c r="C876" t="inlineStr">
        <is>
          <t>Upper + Legs</t>
        </is>
      </c>
      <c r="D876" t="inlineStr">
        <is>
          <t>Calf Raises (Smith)</t>
        </is>
      </c>
      <c r="E876" t="inlineStr">
        <is>
          <t>Smith</t>
        </is>
      </c>
      <c r="F876" t="inlineStr">
        <is>
          <t>lbs</t>
        </is>
      </c>
      <c r="G876" t="n">
        <v>1</v>
      </c>
      <c r="H876" t="n">
        <v>20</v>
      </c>
      <c r="I876" t="n">
        <v>15</v>
      </c>
      <c r="J876" t="inlineStr">
        <is>
          <t>N</t>
        </is>
      </c>
      <c r="K876" s="26">
        <f>IF($J876="Y","",IF($F876="BW",$I876,$H876*$I876))</f>
        <v/>
      </c>
      <c r="L876" s="26">
        <f>$D876&amp;"|"&amp;$H876</f>
        <v/>
      </c>
    </row>
    <row r="877" ht="15" customHeight="1" s="22">
      <c r="A877" s="36" t="n">
        <v>46285</v>
      </c>
      <c r="B877" t="inlineStr">
        <is>
          <t>Sun</t>
        </is>
      </c>
      <c r="C877" t="inlineStr">
        <is>
          <t>Upper + Legs</t>
        </is>
      </c>
      <c r="D877" t="inlineStr">
        <is>
          <t>Calf Raises (Smith)</t>
        </is>
      </c>
      <c r="E877" t="inlineStr">
        <is>
          <t>Smith</t>
        </is>
      </c>
      <c r="F877" t="inlineStr">
        <is>
          <t>lbs</t>
        </is>
      </c>
      <c r="G877" t="n">
        <v>2</v>
      </c>
      <c r="H877" t="n">
        <v>30</v>
      </c>
      <c r="I877" t="n">
        <v>15</v>
      </c>
      <c r="J877" t="inlineStr">
        <is>
          <t>N</t>
        </is>
      </c>
      <c r="K877" s="26">
        <f>IF($J877="Y","",IF($F877="BW",$I877,$H877*$I877))</f>
        <v/>
      </c>
      <c r="L877" s="26">
        <f>$D877&amp;"|"&amp;$H877</f>
        <v/>
      </c>
    </row>
    <row r="878" ht="15" customHeight="1" s="22">
      <c r="A878" s="36" t="n">
        <v>46285</v>
      </c>
      <c r="B878" t="inlineStr">
        <is>
          <t>Sun</t>
        </is>
      </c>
      <c r="C878" t="inlineStr">
        <is>
          <t>Upper + Legs</t>
        </is>
      </c>
      <c r="D878" t="inlineStr">
        <is>
          <t>Calf Raises (Smith)</t>
        </is>
      </c>
      <c r="E878" t="inlineStr">
        <is>
          <t>Smith</t>
        </is>
      </c>
      <c r="F878" t="inlineStr">
        <is>
          <t>lbs</t>
        </is>
      </c>
      <c r="G878" t="n">
        <v>3</v>
      </c>
      <c r="H878" t="n">
        <v>30</v>
      </c>
      <c r="I878" t="n">
        <v>15</v>
      </c>
      <c r="J878" t="inlineStr">
        <is>
          <t>N</t>
        </is>
      </c>
      <c r="K878" s="26">
        <f>IF($J878="Y","",IF($F878="BW",$I878,$H878*$I878))</f>
        <v/>
      </c>
      <c r="L878" s="26">
        <f>$D878&amp;"|"&amp;$H878</f>
        <v/>
      </c>
    </row>
    <row r="879" ht="15" customHeight="1" s="22">
      <c r="A879" s="36" t="n">
        <v>46285</v>
      </c>
      <c r="B879" t="inlineStr">
        <is>
          <t>Sun</t>
        </is>
      </c>
      <c r="C879" t="inlineStr">
        <is>
          <t>Upper + Legs</t>
        </is>
      </c>
      <c r="D879" t="inlineStr">
        <is>
          <t>Bicep Curls (DB)</t>
        </is>
      </c>
      <c r="E879" t="inlineStr">
        <is>
          <t>Dumbbell</t>
        </is>
      </c>
      <c r="F879" t="inlineStr">
        <is>
          <t>lbs</t>
        </is>
      </c>
      <c r="G879" t="n">
        <v>1</v>
      </c>
      <c r="H879" t="n">
        <v>20</v>
      </c>
      <c r="I879" t="n">
        <v>8</v>
      </c>
      <c r="J879" t="inlineStr">
        <is>
          <t>N</t>
        </is>
      </c>
      <c r="K879" s="26">
        <f>IF($J879="Y","",IF($F879="BW",$I879,$H879*$I879))</f>
        <v/>
      </c>
      <c r="L879" s="26">
        <f>$D879&amp;"|"&amp;$H879</f>
        <v/>
      </c>
    </row>
    <row r="880" ht="15" customHeight="1" s="22">
      <c r="A880" s="36" t="n">
        <v>46285</v>
      </c>
      <c r="B880" t="inlineStr">
        <is>
          <t>Sun</t>
        </is>
      </c>
      <c r="C880" t="inlineStr">
        <is>
          <t>Upper + Legs</t>
        </is>
      </c>
      <c r="D880" t="inlineStr">
        <is>
          <t>Bicep Curls (DB)</t>
        </is>
      </c>
      <c r="E880" t="inlineStr">
        <is>
          <t>Dumbbell</t>
        </is>
      </c>
      <c r="F880" t="inlineStr">
        <is>
          <t>lbs</t>
        </is>
      </c>
      <c r="G880" t="n">
        <v>2</v>
      </c>
      <c r="H880" t="n">
        <v>25</v>
      </c>
      <c r="I880" t="n">
        <v>8</v>
      </c>
      <c r="J880" t="inlineStr">
        <is>
          <t>N</t>
        </is>
      </c>
      <c r="K880" s="26">
        <f>IF($J880="Y","",IF($F880="BW",$I880,$H880*$I880))</f>
        <v/>
      </c>
      <c r="L880" s="26">
        <f>$D880&amp;"|"&amp;$H880</f>
        <v/>
      </c>
    </row>
    <row r="881" ht="15" customHeight="1" s="22">
      <c r="A881" s="36" t="n">
        <v>46285</v>
      </c>
      <c r="B881" t="inlineStr">
        <is>
          <t>Sun</t>
        </is>
      </c>
      <c r="C881" t="inlineStr">
        <is>
          <t>Upper + Legs</t>
        </is>
      </c>
      <c r="D881" t="inlineStr">
        <is>
          <t>Bicep Curls (DB)</t>
        </is>
      </c>
      <c r="E881" t="inlineStr">
        <is>
          <t>Dumbbell</t>
        </is>
      </c>
      <c r="F881" t="inlineStr">
        <is>
          <t>lbs</t>
        </is>
      </c>
      <c r="G881" t="n">
        <v>3</v>
      </c>
      <c r="H881" t="n">
        <v>25</v>
      </c>
      <c r="I881" t="n">
        <v>8</v>
      </c>
      <c r="J881" t="inlineStr">
        <is>
          <t>N</t>
        </is>
      </c>
      <c r="K881" s="26">
        <f>IF($J881="Y","",IF($F881="BW",$I881,$H881*$I881))</f>
        <v/>
      </c>
      <c r="L881" s="26">
        <f>$D881&amp;"|"&amp;$H881</f>
        <v/>
      </c>
    </row>
    <row r="882" ht="15" customHeight="1" s="22">
      <c r="A882" s="36" t="n">
        <v>46285</v>
      </c>
      <c r="B882" t="inlineStr">
        <is>
          <t>Sun</t>
        </is>
      </c>
      <c r="C882" t="inlineStr">
        <is>
          <t>Upper + Legs</t>
        </is>
      </c>
      <c r="D882" t="inlineStr">
        <is>
          <t>Bicep Curls (DB)</t>
        </is>
      </c>
      <c r="E882" t="inlineStr">
        <is>
          <t>Dumbbell</t>
        </is>
      </c>
      <c r="F882" t="inlineStr">
        <is>
          <t>lbs</t>
        </is>
      </c>
      <c r="G882" t="n">
        <v>4</v>
      </c>
      <c r="H882" t="n">
        <v>25</v>
      </c>
      <c r="I882" t="n">
        <v>8</v>
      </c>
      <c r="J882" t="inlineStr">
        <is>
          <t>N</t>
        </is>
      </c>
      <c r="K882" s="26">
        <f>IF($J882="Y","",IF($F882="BW",$I882,$H882*$I882))</f>
        <v/>
      </c>
      <c r="L882" s="26">
        <f>$D882&amp;"|"&amp;$H882</f>
        <v/>
      </c>
    </row>
    <row r="883" ht="15" customHeight="1" s="22">
      <c r="A883" s="36" t="n">
        <v>46287</v>
      </c>
      <c r="B883" t="inlineStr">
        <is>
          <t>Tue</t>
        </is>
      </c>
      <c r="C883" t="inlineStr">
        <is>
          <t>Cardio + Pull</t>
        </is>
      </c>
      <c r="D883" t="inlineStr">
        <is>
          <t>Single Arm Lat Pulldown</t>
        </is>
      </c>
      <c r="E883" t="inlineStr">
        <is>
          <t>Cable</t>
        </is>
      </c>
      <c r="F883" t="inlineStr">
        <is>
          <t>kg</t>
        </is>
      </c>
      <c r="G883" t="n">
        <v>1</v>
      </c>
      <c r="H883" t="n">
        <v>10</v>
      </c>
      <c r="I883" t="n">
        <v>8</v>
      </c>
      <c r="J883" t="inlineStr">
        <is>
          <t>Y</t>
        </is>
      </c>
      <c r="K883" s="26">
        <f>IF($J883="Y","",IF($F883="BW",$I883,$H883*$I883))</f>
        <v/>
      </c>
      <c r="L883" s="26">
        <f>$D883&amp;"|"&amp;$H883</f>
        <v/>
      </c>
    </row>
    <row r="884" ht="15" customHeight="1" s="22">
      <c r="A884" s="36" t="n">
        <v>46287</v>
      </c>
      <c r="B884" t="inlineStr">
        <is>
          <t>Tue</t>
        </is>
      </c>
      <c r="C884" t="inlineStr">
        <is>
          <t>Cardio + Pull</t>
        </is>
      </c>
      <c r="D884" t="inlineStr">
        <is>
          <t>Single Arm Lat Pulldown</t>
        </is>
      </c>
      <c r="E884" t="inlineStr">
        <is>
          <t>Cable</t>
        </is>
      </c>
      <c r="F884" t="inlineStr">
        <is>
          <t>kg</t>
        </is>
      </c>
      <c r="G884" t="n">
        <v>2</v>
      </c>
      <c r="H884" t="n">
        <v>15</v>
      </c>
      <c r="I884" t="n">
        <v>8</v>
      </c>
      <c r="J884" t="inlineStr">
        <is>
          <t>N</t>
        </is>
      </c>
      <c r="K884" s="26">
        <f>IF($J884="Y","",IF($F884="BW",$I884,$H884*$I884))</f>
        <v/>
      </c>
      <c r="L884" s="26">
        <f>$D884&amp;"|"&amp;$H884</f>
        <v/>
      </c>
    </row>
    <row r="885" ht="15" customHeight="1" s="22">
      <c r="A885" s="36" t="n">
        <v>46287</v>
      </c>
      <c r="B885" t="inlineStr">
        <is>
          <t>Tue</t>
        </is>
      </c>
      <c r="C885" t="inlineStr">
        <is>
          <t>Cardio + Pull</t>
        </is>
      </c>
      <c r="D885" t="inlineStr">
        <is>
          <t>Single Arm Lat Pulldown</t>
        </is>
      </c>
      <c r="E885" t="inlineStr">
        <is>
          <t>Cable</t>
        </is>
      </c>
      <c r="F885" t="inlineStr">
        <is>
          <t>kg</t>
        </is>
      </c>
      <c r="G885" t="n">
        <v>3</v>
      </c>
      <c r="H885" t="n">
        <v>17.5</v>
      </c>
      <c r="I885" t="n">
        <v>8</v>
      </c>
      <c r="J885" t="inlineStr">
        <is>
          <t>N</t>
        </is>
      </c>
      <c r="K885" s="26">
        <f>IF($J885="Y","",IF($F885="BW",$I885,$H885*$I885))</f>
        <v/>
      </c>
      <c r="L885" s="26">
        <f>$D885&amp;"|"&amp;$H885</f>
        <v/>
      </c>
    </row>
    <row r="886" ht="15" customHeight="1" s="22">
      <c r="A886" s="36" t="n">
        <v>46287</v>
      </c>
      <c r="B886" t="inlineStr">
        <is>
          <t>Tue</t>
        </is>
      </c>
      <c r="C886" t="inlineStr">
        <is>
          <t>Cardio + Pull</t>
        </is>
      </c>
      <c r="D886" t="inlineStr">
        <is>
          <t>Single Arm Lat Pulldown</t>
        </is>
      </c>
      <c r="E886" t="inlineStr">
        <is>
          <t>Cable</t>
        </is>
      </c>
      <c r="F886" t="inlineStr">
        <is>
          <t>kg</t>
        </is>
      </c>
      <c r="G886" t="n">
        <v>4</v>
      </c>
      <c r="H886" t="n">
        <v>17.5</v>
      </c>
      <c r="I886" t="n">
        <v>8</v>
      </c>
      <c r="J886" t="inlineStr">
        <is>
          <t>N</t>
        </is>
      </c>
      <c r="K886" s="26">
        <f>IF($J886="Y","",IF($F886="BW",$I886,$H886*$I886))</f>
        <v/>
      </c>
      <c r="L886" s="26">
        <f>$D886&amp;"|"&amp;$H886</f>
        <v/>
      </c>
    </row>
    <row r="887" ht="15" customHeight="1" s="22">
      <c r="A887" s="36" t="n">
        <v>46287</v>
      </c>
      <c r="B887" t="inlineStr">
        <is>
          <t>Tue</t>
        </is>
      </c>
      <c r="C887" t="inlineStr">
        <is>
          <t>Cardio + Pull</t>
        </is>
      </c>
      <c r="D887" t="inlineStr">
        <is>
          <t>Single Arm Lat Pulldown</t>
        </is>
      </c>
      <c r="E887" t="inlineStr">
        <is>
          <t>Cable</t>
        </is>
      </c>
      <c r="F887" t="inlineStr">
        <is>
          <t>kg</t>
        </is>
      </c>
      <c r="G887" t="n">
        <v>5</v>
      </c>
      <c r="H887" t="n">
        <v>20</v>
      </c>
      <c r="I887" t="n">
        <v>8</v>
      </c>
      <c r="J887" t="inlineStr">
        <is>
          <t>N</t>
        </is>
      </c>
      <c r="K887" s="26">
        <f>IF($J887="Y","",IF($F887="BW",$I887,$H887*$I887))</f>
        <v/>
      </c>
      <c r="L887" s="26">
        <f>$D887&amp;"|"&amp;$H887</f>
        <v/>
      </c>
    </row>
    <row r="888" ht="15" customHeight="1" s="22">
      <c r="A888" s="36" t="n">
        <v>46287</v>
      </c>
      <c r="B888" t="inlineStr">
        <is>
          <t>Tue</t>
        </is>
      </c>
      <c r="C888" t="inlineStr">
        <is>
          <t>Cardio + Pull</t>
        </is>
      </c>
      <c r="D888" t="inlineStr">
        <is>
          <t>Smith Rows</t>
        </is>
      </c>
      <c r="E888" t="inlineStr">
        <is>
          <t>Smith</t>
        </is>
      </c>
      <c r="F888" t="inlineStr">
        <is>
          <t>lbs</t>
        </is>
      </c>
      <c r="G888" t="n">
        <v>1</v>
      </c>
      <c r="H888" t="n">
        <v>20</v>
      </c>
      <c r="I888" t="n">
        <v>8</v>
      </c>
      <c r="J888" t="inlineStr">
        <is>
          <t>Y</t>
        </is>
      </c>
      <c r="K888" s="26">
        <f>IF($J888="Y","",IF($F888="BW",$I888,$H888*$I888))</f>
        <v/>
      </c>
      <c r="L888" s="26">
        <f>$D888&amp;"|"&amp;$H888</f>
        <v/>
      </c>
    </row>
    <row r="889" ht="15" customHeight="1" s="22">
      <c r="A889" s="36" t="n">
        <v>46287</v>
      </c>
      <c r="B889" t="inlineStr">
        <is>
          <t>Tue</t>
        </is>
      </c>
      <c r="C889" t="inlineStr">
        <is>
          <t>Cardio + Pull</t>
        </is>
      </c>
      <c r="D889" t="inlineStr">
        <is>
          <t>Smith Rows</t>
        </is>
      </c>
      <c r="E889" t="inlineStr">
        <is>
          <t>Smith</t>
        </is>
      </c>
      <c r="F889" t="inlineStr">
        <is>
          <t>lbs</t>
        </is>
      </c>
      <c r="G889" t="n">
        <v>2</v>
      </c>
      <c r="H889" t="n">
        <v>40</v>
      </c>
      <c r="I889" t="n">
        <v>8</v>
      </c>
      <c r="J889" t="inlineStr">
        <is>
          <t>N</t>
        </is>
      </c>
      <c r="K889" s="26">
        <f>IF($J889="Y","",IF($F889="BW",$I889,$H889*$I889))</f>
        <v/>
      </c>
      <c r="L889" s="26">
        <f>$D889&amp;"|"&amp;$H889</f>
        <v/>
      </c>
    </row>
    <row r="890" ht="15" customHeight="1" s="22">
      <c r="A890" s="36" t="n">
        <v>46287</v>
      </c>
      <c r="B890" t="inlineStr">
        <is>
          <t>Tue</t>
        </is>
      </c>
      <c r="C890" t="inlineStr">
        <is>
          <t>Cardio + Pull</t>
        </is>
      </c>
      <c r="D890" t="inlineStr">
        <is>
          <t>Smith Rows</t>
        </is>
      </c>
      <c r="E890" t="inlineStr">
        <is>
          <t>Smith</t>
        </is>
      </c>
      <c r="F890" t="inlineStr">
        <is>
          <t>lbs</t>
        </is>
      </c>
      <c r="G890" t="n">
        <v>3</v>
      </c>
      <c r="H890" t="n">
        <v>40</v>
      </c>
      <c r="I890" t="n">
        <v>8</v>
      </c>
      <c r="J890" t="inlineStr">
        <is>
          <t>N</t>
        </is>
      </c>
      <c r="K890" s="26">
        <f>IF($J890="Y","",IF($F890="BW",$I890,$H890*$I890))</f>
        <v/>
      </c>
      <c r="L890" s="26">
        <f>$D890&amp;"|"&amp;$H890</f>
        <v/>
      </c>
    </row>
    <row r="891" ht="15" customHeight="1" s="22">
      <c r="A891" s="36" t="n">
        <v>46287</v>
      </c>
      <c r="B891" t="inlineStr">
        <is>
          <t>Tue</t>
        </is>
      </c>
      <c r="C891" t="inlineStr">
        <is>
          <t>Cardio + Pull</t>
        </is>
      </c>
      <c r="D891" t="inlineStr">
        <is>
          <t>Smith Rows</t>
        </is>
      </c>
      <c r="E891" t="inlineStr">
        <is>
          <t>Smith</t>
        </is>
      </c>
      <c r="F891" t="inlineStr">
        <is>
          <t>lbs</t>
        </is>
      </c>
      <c r="G891" t="n">
        <v>4</v>
      </c>
      <c r="H891" t="n">
        <v>50</v>
      </c>
      <c r="I891" t="n">
        <v>8</v>
      </c>
      <c r="J891" t="inlineStr">
        <is>
          <t>N</t>
        </is>
      </c>
      <c r="K891" s="26">
        <f>IF($J891="Y","",IF($F891="BW",$I891,$H891*$I891))</f>
        <v/>
      </c>
      <c r="L891" s="26">
        <f>$D891&amp;"|"&amp;$H891</f>
        <v/>
      </c>
    </row>
    <row r="892" ht="15" customHeight="1" s="22">
      <c r="A892" s="36" t="n">
        <v>46287</v>
      </c>
      <c r="B892" t="inlineStr">
        <is>
          <t>Tue</t>
        </is>
      </c>
      <c r="C892" t="inlineStr">
        <is>
          <t>Cardio + Pull</t>
        </is>
      </c>
      <c r="D892" t="inlineStr">
        <is>
          <t>Smith Rows</t>
        </is>
      </c>
      <c r="E892" t="inlineStr">
        <is>
          <t>Smith</t>
        </is>
      </c>
      <c r="F892" t="inlineStr">
        <is>
          <t>lbs</t>
        </is>
      </c>
      <c r="G892" t="n">
        <v>5</v>
      </c>
      <c r="H892" t="n">
        <v>50</v>
      </c>
      <c r="I892" t="n">
        <v>8</v>
      </c>
      <c r="J892" t="inlineStr">
        <is>
          <t>N</t>
        </is>
      </c>
      <c r="K892" s="26">
        <f>IF($J892="Y","",IF($F892="BW",$I892,$H892*$I892))</f>
        <v/>
      </c>
      <c r="L892" s="26">
        <f>$D892&amp;"|"&amp;$H892</f>
        <v/>
      </c>
    </row>
    <row r="893" ht="15" customHeight="1" s="22">
      <c r="A893" s="36" t="n">
        <v>46287</v>
      </c>
      <c r="B893" t="inlineStr">
        <is>
          <t>Tue</t>
        </is>
      </c>
      <c r="C893" t="inlineStr">
        <is>
          <t>Cardio + Pull</t>
        </is>
      </c>
      <c r="D893" t="inlineStr">
        <is>
          <t>Face Pulls</t>
        </is>
      </c>
      <c r="E893" t="inlineStr">
        <is>
          <t>Cable</t>
        </is>
      </c>
      <c r="F893" t="inlineStr">
        <is>
          <t>kg</t>
        </is>
      </c>
      <c r="G893" t="n">
        <v>1</v>
      </c>
      <c r="H893" t="n">
        <v>5</v>
      </c>
      <c r="I893" t="n">
        <v>8</v>
      </c>
      <c r="J893" t="inlineStr">
        <is>
          <t>N</t>
        </is>
      </c>
      <c r="K893" s="26">
        <f>IF($J893="Y","",IF($F893="BW",$I893,$H893*$I893))</f>
        <v/>
      </c>
      <c r="L893" s="26">
        <f>$D893&amp;"|"&amp;$H893</f>
        <v/>
      </c>
    </row>
    <row r="894" ht="15" customHeight="1" s="22">
      <c r="A894" s="36" t="n">
        <v>46287</v>
      </c>
      <c r="B894" t="inlineStr">
        <is>
          <t>Tue</t>
        </is>
      </c>
      <c r="C894" t="inlineStr">
        <is>
          <t>Cardio + Pull</t>
        </is>
      </c>
      <c r="D894" t="inlineStr">
        <is>
          <t>Face Pulls</t>
        </is>
      </c>
      <c r="E894" t="inlineStr">
        <is>
          <t>Cable</t>
        </is>
      </c>
      <c r="F894" t="inlineStr">
        <is>
          <t>kg</t>
        </is>
      </c>
      <c r="G894" t="n">
        <v>2</v>
      </c>
      <c r="H894" t="n">
        <v>7.5</v>
      </c>
      <c r="I894" t="n">
        <v>8</v>
      </c>
      <c r="J894" t="inlineStr">
        <is>
          <t>N</t>
        </is>
      </c>
      <c r="K894" s="26">
        <f>IF($J894="Y","",IF($F894="BW",$I894,$H894*$I894))</f>
        <v/>
      </c>
      <c r="L894" s="26">
        <f>$D894&amp;"|"&amp;$H894</f>
        <v/>
      </c>
    </row>
    <row r="895" ht="15" customHeight="1" s="22">
      <c r="A895" s="36" t="n">
        <v>46287</v>
      </c>
      <c r="B895" t="inlineStr">
        <is>
          <t>Tue</t>
        </is>
      </c>
      <c r="C895" t="inlineStr">
        <is>
          <t>Cardio + Pull</t>
        </is>
      </c>
      <c r="D895" t="inlineStr">
        <is>
          <t>Face Pulls</t>
        </is>
      </c>
      <c r="E895" t="inlineStr">
        <is>
          <t>Cable</t>
        </is>
      </c>
      <c r="F895" t="inlineStr">
        <is>
          <t>kg</t>
        </is>
      </c>
      <c r="G895" t="n">
        <v>3</v>
      </c>
      <c r="H895" t="n">
        <v>7.5</v>
      </c>
      <c r="I895" t="n">
        <v>8</v>
      </c>
      <c r="J895" t="inlineStr">
        <is>
          <t>N</t>
        </is>
      </c>
      <c r="K895" s="26">
        <f>IF($J895="Y","",IF($F895="BW",$I895,$H895*$I895))</f>
        <v/>
      </c>
      <c r="L895" s="26">
        <f>$D895&amp;"|"&amp;$H895</f>
        <v/>
      </c>
    </row>
    <row r="896" ht="15" customHeight="1" s="22">
      <c r="A896" s="36" t="n">
        <v>46287</v>
      </c>
      <c r="B896" t="inlineStr">
        <is>
          <t>Tue</t>
        </is>
      </c>
      <c r="C896" t="inlineStr">
        <is>
          <t>Cardio + Pull</t>
        </is>
      </c>
      <c r="D896" t="inlineStr">
        <is>
          <t>Bicep Curls (DB)</t>
        </is>
      </c>
      <c r="E896" t="inlineStr">
        <is>
          <t>Dumbbell</t>
        </is>
      </c>
      <c r="F896" t="inlineStr">
        <is>
          <t>lbs</t>
        </is>
      </c>
      <c r="G896" t="n">
        <v>1</v>
      </c>
      <c r="H896" t="n">
        <v>20</v>
      </c>
      <c r="I896" t="n">
        <v>8</v>
      </c>
      <c r="J896" t="inlineStr">
        <is>
          <t>N</t>
        </is>
      </c>
      <c r="K896" s="26">
        <f>IF($J896="Y","",IF($F896="BW",$I896,$H896*$I896))</f>
        <v/>
      </c>
      <c r="L896" s="26">
        <f>$D896&amp;"|"&amp;$H896</f>
        <v/>
      </c>
    </row>
    <row r="897" ht="15" customHeight="1" s="22">
      <c r="A897" s="36" t="n">
        <v>46287</v>
      </c>
      <c r="B897" t="inlineStr">
        <is>
          <t>Tue</t>
        </is>
      </c>
      <c r="C897" t="inlineStr">
        <is>
          <t>Cardio + Pull</t>
        </is>
      </c>
      <c r="D897" t="inlineStr">
        <is>
          <t>Bicep Curls (DB)</t>
        </is>
      </c>
      <c r="E897" t="inlineStr">
        <is>
          <t>Dumbbell</t>
        </is>
      </c>
      <c r="F897" t="inlineStr">
        <is>
          <t>lbs</t>
        </is>
      </c>
      <c r="G897" t="n">
        <v>2</v>
      </c>
      <c r="H897" t="n">
        <v>25</v>
      </c>
      <c r="I897" t="n">
        <v>8</v>
      </c>
      <c r="J897" t="inlineStr">
        <is>
          <t>N</t>
        </is>
      </c>
      <c r="K897" s="26">
        <f>IF($J897="Y","",IF($F897="BW",$I897,$H897*$I897))</f>
        <v/>
      </c>
      <c r="L897" s="26">
        <f>$D897&amp;"|"&amp;$H897</f>
        <v/>
      </c>
    </row>
    <row r="898" ht="15" customHeight="1" s="22">
      <c r="A898" s="36" t="n">
        <v>46287</v>
      </c>
      <c r="B898" t="inlineStr">
        <is>
          <t>Tue</t>
        </is>
      </c>
      <c r="C898" t="inlineStr">
        <is>
          <t>Cardio + Pull</t>
        </is>
      </c>
      <c r="D898" t="inlineStr">
        <is>
          <t>Bicep Curls (DB)</t>
        </is>
      </c>
      <c r="E898" t="inlineStr">
        <is>
          <t>Dumbbell</t>
        </is>
      </c>
      <c r="F898" t="inlineStr">
        <is>
          <t>lbs</t>
        </is>
      </c>
      <c r="G898" t="n">
        <v>3</v>
      </c>
      <c r="H898" t="n">
        <v>25</v>
      </c>
      <c r="I898" t="n">
        <v>8</v>
      </c>
      <c r="J898" t="inlineStr">
        <is>
          <t>N</t>
        </is>
      </c>
      <c r="K898" s="26">
        <f>IF($J898="Y","",IF($F898="BW",$I898,$H898*$I898))</f>
        <v/>
      </c>
      <c r="L898" s="26">
        <f>$D898&amp;"|"&amp;$H898</f>
        <v/>
      </c>
    </row>
    <row r="899" ht="15" customHeight="1" s="22">
      <c r="A899" s="36" t="n">
        <v>46287</v>
      </c>
      <c r="B899" t="inlineStr">
        <is>
          <t>Tue</t>
        </is>
      </c>
      <c r="C899" t="inlineStr">
        <is>
          <t>Cardio + Pull</t>
        </is>
      </c>
      <c r="D899" t="inlineStr">
        <is>
          <t>Bicep Curls (DB)</t>
        </is>
      </c>
      <c r="E899" t="inlineStr">
        <is>
          <t>Dumbbell</t>
        </is>
      </c>
      <c r="F899" t="inlineStr">
        <is>
          <t>lbs</t>
        </is>
      </c>
      <c r="G899" t="n">
        <v>4</v>
      </c>
      <c r="H899" t="n">
        <v>25</v>
      </c>
      <c r="I899" t="n">
        <v>8</v>
      </c>
      <c r="J899" t="inlineStr">
        <is>
          <t>N</t>
        </is>
      </c>
      <c r="K899" s="26">
        <f>IF($J899="Y","",IF($F899="BW",$I899,$H899*$I899))</f>
        <v/>
      </c>
      <c r="L899" s="26">
        <f>$D899&amp;"|"&amp;$H899</f>
        <v/>
      </c>
    </row>
    <row r="900" ht="15" customHeight="1" s="22">
      <c r="A900" s="36" t="n">
        <v>46287</v>
      </c>
      <c r="B900" t="inlineStr">
        <is>
          <t>Tue</t>
        </is>
      </c>
      <c r="C900" t="inlineStr">
        <is>
          <t>Cardio + Pull</t>
        </is>
      </c>
      <c r="D900" t="inlineStr">
        <is>
          <t>Shrugs</t>
        </is>
      </c>
      <c r="E900" t="inlineStr">
        <is>
          <t>Dumbbell</t>
        </is>
      </c>
      <c r="F900" t="inlineStr">
        <is>
          <t>lbs</t>
        </is>
      </c>
      <c r="G900" t="n">
        <v>1</v>
      </c>
      <c r="H900" t="n">
        <v>20</v>
      </c>
      <c r="I900" t="n">
        <v>8</v>
      </c>
      <c r="J900" t="inlineStr">
        <is>
          <t>N</t>
        </is>
      </c>
      <c r="K900" s="26">
        <f>IF($J900="Y","",IF($F900="BW",$I900,$H900*$I900))</f>
        <v/>
      </c>
      <c r="L900" s="26">
        <f>$D900&amp;"|"&amp;$H900</f>
        <v/>
      </c>
    </row>
    <row r="901" ht="15" customHeight="1" s="22">
      <c r="A901" s="36" t="n">
        <v>46287</v>
      </c>
      <c r="B901" t="inlineStr">
        <is>
          <t>Tue</t>
        </is>
      </c>
      <c r="C901" t="inlineStr">
        <is>
          <t>Cardio + Pull</t>
        </is>
      </c>
      <c r="D901" t="inlineStr">
        <is>
          <t>Shrugs</t>
        </is>
      </c>
      <c r="E901" t="inlineStr">
        <is>
          <t>Dumbbell</t>
        </is>
      </c>
      <c r="F901" t="inlineStr">
        <is>
          <t>lbs</t>
        </is>
      </c>
      <c r="G901" t="n">
        <v>2</v>
      </c>
      <c r="H901" t="n">
        <v>35</v>
      </c>
      <c r="I901" t="n">
        <v>8</v>
      </c>
      <c r="J901" t="inlineStr">
        <is>
          <t>N</t>
        </is>
      </c>
      <c r="K901" s="26">
        <f>IF($J901="Y","",IF($F901="BW",$I901,$H901*$I901))</f>
        <v/>
      </c>
      <c r="L901" s="26">
        <f>$D901&amp;"|"&amp;$H901</f>
        <v/>
      </c>
    </row>
    <row r="902" ht="15" customHeight="1" s="22">
      <c r="A902" s="36" t="n">
        <v>46287</v>
      </c>
      <c r="B902" t="inlineStr">
        <is>
          <t>Tue</t>
        </is>
      </c>
      <c r="C902" t="inlineStr">
        <is>
          <t>Cardio + Pull</t>
        </is>
      </c>
      <c r="D902" t="inlineStr">
        <is>
          <t>Shrugs</t>
        </is>
      </c>
      <c r="E902" t="inlineStr">
        <is>
          <t>Dumbbell</t>
        </is>
      </c>
      <c r="F902" t="inlineStr">
        <is>
          <t>lbs</t>
        </is>
      </c>
      <c r="G902" t="n">
        <v>3</v>
      </c>
      <c r="H902" t="n">
        <v>40</v>
      </c>
      <c r="I902" t="n">
        <v>8</v>
      </c>
      <c r="J902" t="inlineStr">
        <is>
          <t>N</t>
        </is>
      </c>
      <c r="K902" s="26">
        <f>IF($J902="Y","",IF($F902="BW",$I902,$H902*$I902))</f>
        <v/>
      </c>
      <c r="L902" s="26">
        <f>$D902&amp;"|"&amp;$H902</f>
        <v/>
      </c>
    </row>
    <row r="903" ht="15" customHeight="1" s="22">
      <c r="A903" s="36" t="n">
        <v>46287</v>
      </c>
      <c r="B903" t="inlineStr">
        <is>
          <t>Tue</t>
        </is>
      </c>
      <c r="C903" t="inlineStr">
        <is>
          <t>Cardio + Pull</t>
        </is>
      </c>
      <c r="D903" t="inlineStr">
        <is>
          <t>Shrugs</t>
        </is>
      </c>
      <c r="E903" t="inlineStr">
        <is>
          <t>Dumbbell</t>
        </is>
      </c>
      <c r="F903" t="inlineStr">
        <is>
          <t>lbs</t>
        </is>
      </c>
      <c r="G903" t="n">
        <v>4</v>
      </c>
      <c r="H903" t="n">
        <v>40</v>
      </c>
      <c r="I903" t="n">
        <v>8</v>
      </c>
      <c r="J903" t="inlineStr">
        <is>
          <t>N</t>
        </is>
      </c>
      <c r="K903" s="26">
        <f>IF($J903="Y","",IF($F903="BW",$I903,$H903*$I903))</f>
        <v/>
      </c>
      <c r="L903" s="26">
        <f>$D903&amp;"|"&amp;$H903</f>
        <v/>
      </c>
    </row>
    <row r="904" ht="15" customHeight="1" s="22">
      <c r="A904" s="36" t="n">
        <v>46287</v>
      </c>
      <c r="B904" t="inlineStr">
        <is>
          <t>Tue</t>
        </is>
      </c>
      <c r="C904" t="inlineStr">
        <is>
          <t>Cardio + Pull</t>
        </is>
      </c>
      <c r="D904" t="inlineStr">
        <is>
          <t>Hammer Curls</t>
        </is>
      </c>
      <c r="E904" t="inlineStr">
        <is>
          <t>Dumbbell</t>
        </is>
      </c>
      <c r="F904" t="inlineStr">
        <is>
          <t>lbs</t>
        </is>
      </c>
      <c r="G904" t="n">
        <v>1</v>
      </c>
      <c r="H904" t="n">
        <v>25</v>
      </c>
      <c r="I904" t="n">
        <v>8</v>
      </c>
      <c r="J904" t="inlineStr">
        <is>
          <t>N</t>
        </is>
      </c>
      <c r="K904" s="26">
        <f>IF($J904="Y","",IF($F904="BW",$I904,$H904*$I904))</f>
        <v/>
      </c>
      <c r="L904" s="26">
        <f>$D904&amp;"|"&amp;$H904</f>
        <v/>
      </c>
    </row>
    <row r="905" ht="15" customHeight="1" s="22">
      <c r="A905" s="36" t="n">
        <v>46287</v>
      </c>
      <c r="B905" t="inlineStr">
        <is>
          <t>Tue</t>
        </is>
      </c>
      <c r="C905" t="inlineStr">
        <is>
          <t>Cardio + Pull</t>
        </is>
      </c>
      <c r="D905" t="inlineStr">
        <is>
          <t>Hammer Curls</t>
        </is>
      </c>
      <c r="E905" t="inlineStr">
        <is>
          <t>Dumbbell</t>
        </is>
      </c>
      <c r="F905" t="inlineStr">
        <is>
          <t>lbs</t>
        </is>
      </c>
      <c r="G905" t="n">
        <v>2</v>
      </c>
      <c r="H905" t="n">
        <v>25</v>
      </c>
      <c r="I905" t="n">
        <v>8</v>
      </c>
      <c r="J905" t="inlineStr">
        <is>
          <t>N</t>
        </is>
      </c>
      <c r="K905" s="26">
        <f>IF($J905="Y","",IF($F905="BW",$I905,$H905*$I905))</f>
        <v/>
      </c>
      <c r="L905" s="26">
        <f>$D905&amp;"|"&amp;$H905</f>
        <v/>
      </c>
    </row>
    <row r="906" ht="15" customHeight="1" s="22">
      <c r="A906" s="36" t="n">
        <v>46287</v>
      </c>
      <c r="B906" t="inlineStr">
        <is>
          <t>Tue</t>
        </is>
      </c>
      <c r="C906" t="inlineStr">
        <is>
          <t>Cardio + Pull</t>
        </is>
      </c>
      <c r="D906" t="inlineStr">
        <is>
          <t>Hammer Curls</t>
        </is>
      </c>
      <c r="E906" t="inlineStr">
        <is>
          <t>Dumbbell</t>
        </is>
      </c>
      <c r="F906" t="inlineStr">
        <is>
          <t>lbs</t>
        </is>
      </c>
      <c r="G906" t="n">
        <v>3</v>
      </c>
      <c r="H906" t="n">
        <v>25</v>
      </c>
      <c r="I906" t="n">
        <v>8</v>
      </c>
      <c r="J906" t="inlineStr">
        <is>
          <t>N</t>
        </is>
      </c>
      <c r="K906" s="26">
        <f>IF($J906="Y","",IF($F906="BW",$I906,$H906*$I906))</f>
        <v/>
      </c>
      <c r="L906" s="26">
        <f>$D906&amp;"|"&amp;$H906</f>
        <v/>
      </c>
    </row>
    <row r="907" ht="15" customHeight="1" s="22">
      <c r="A907" s="36" t="n">
        <v>46290</v>
      </c>
      <c r="B907" t="inlineStr">
        <is>
          <t>Fri</t>
        </is>
      </c>
      <c r="C907" t="inlineStr">
        <is>
          <t>Upper + Legs</t>
        </is>
      </c>
      <c r="D907" t="inlineStr">
        <is>
          <t>Bicep Curls (DB)</t>
        </is>
      </c>
      <c r="E907" t="inlineStr">
        <is>
          <t>Dumbbell</t>
        </is>
      </c>
      <c r="F907" t="inlineStr">
        <is>
          <t>lbs</t>
        </is>
      </c>
      <c r="G907" t="n">
        <v>1</v>
      </c>
      <c r="H907" t="n">
        <v>15</v>
      </c>
      <c r="I907" t="n">
        <v>8</v>
      </c>
      <c r="J907" t="inlineStr">
        <is>
          <t>N</t>
        </is>
      </c>
      <c r="K907" s="26">
        <f>IF($J907="Y","",IF($F907="BW",$I907,$H907*$I907))</f>
        <v/>
      </c>
      <c r="L907" s="26">
        <f>$D907&amp;"|"&amp;$H907</f>
        <v/>
      </c>
    </row>
    <row r="908" ht="15" customHeight="1" s="22">
      <c r="A908" s="36" t="n">
        <v>46290</v>
      </c>
      <c r="B908" t="inlineStr">
        <is>
          <t>Fri</t>
        </is>
      </c>
      <c r="C908" t="inlineStr">
        <is>
          <t>Upper + Legs</t>
        </is>
      </c>
      <c r="D908" t="inlineStr">
        <is>
          <t>Bicep Curls (DB)</t>
        </is>
      </c>
      <c r="E908" t="inlineStr">
        <is>
          <t>Dumbbell</t>
        </is>
      </c>
      <c r="F908" t="inlineStr">
        <is>
          <t>lbs</t>
        </is>
      </c>
      <c r="G908" t="n">
        <v>2</v>
      </c>
      <c r="H908" t="n">
        <v>25</v>
      </c>
      <c r="I908" t="n">
        <v>8</v>
      </c>
      <c r="J908" t="inlineStr">
        <is>
          <t>N</t>
        </is>
      </c>
      <c r="K908" s="26">
        <f>IF($J908="Y","",IF($F908="BW",$I908,$H908*$I908))</f>
        <v/>
      </c>
      <c r="L908" s="26">
        <f>$D908&amp;"|"&amp;$H908</f>
        <v/>
      </c>
    </row>
    <row r="909" ht="15" customHeight="1" s="22">
      <c r="A909" s="36" t="n">
        <v>46290</v>
      </c>
      <c r="B909" t="inlineStr">
        <is>
          <t>Fri</t>
        </is>
      </c>
      <c r="C909" t="inlineStr">
        <is>
          <t>Upper + Legs</t>
        </is>
      </c>
      <c r="D909" t="inlineStr">
        <is>
          <t>Bicep Curls (DB)</t>
        </is>
      </c>
      <c r="E909" t="inlineStr">
        <is>
          <t>Dumbbell</t>
        </is>
      </c>
      <c r="F909" t="inlineStr">
        <is>
          <t>lbs</t>
        </is>
      </c>
      <c r="G909" t="n">
        <v>3</v>
      </c>
      <c r="H909" t="n">
        <v>25</v>
      </c>
      <c r="I909" t="n">
        <v>8</v>
      </c>
      <c r="J909" t="inlineStr">
        <is>
          <t>N</t>
        </is>
      </c>
      <c r="K909" s="26">
        <f>IF($J909="Y","",IF($F909="BW",$I909,$H909*$I909))</f>
        <v/>
      </c>
      <c r="L909" s="26">
        <f>$D909&amp;"|"&amp;$H909</f>
        <v/>
      </c>
    </row>
    <row r="910" ht="15" customHeight="1" s="22">
      <c r="A910" s="36" t="n">
        <v>46290</v>
      </c>
      <c r="B910" t="inlineStr">
        <is>
          <t>Fri</t>
        </is>
      </c>
      <c r="C910" t="inlineStr">
        <is>
          <t>Upper + Legs</t>
        </is>
      </c>
      <c r="D910" t="inlineStr">
        <is>
          <t>Bicep Curls (DB)</t>
        </is>
      </c>
      <c r="E910" t="inlineStr">
        <is>
          <t>Dumbbell</t>
        </is>
      </c>
      <c r="F910" t="inlineStr">
        <is>
          <t>lbs</t>
        </is>
      </c>
      <c r="G910" t="n">
        <v>4</v>
      </c>
      <c r="H910" t="n">
        <v>25</v>
      </c>
      <c r="I910" t="n">
        <v>8</v>
      </c>
      <c r="J910" t="inlineStr">
        <is>
          <t>N</t>
        </is>
      </c>
      <c r="K910" s="26">
        <f>IF($J910="Y","",IF($F910="BW",$I910,$H910*$I910))</f>
        <v/>
      </c>
      <c r="L910" s="26">
        <f>$D910&amp;"|"&amp;$H910</f>
        <v/>
      </c>
    </row>
    <row r="911" ht="15" customHeight="1" s="22">
      <c r="A911" s="36" t="n">
        <v>46290</v>
      </c>
      <c r="B911" t="inlineStr">
        <is>
          <t>Fri</t>
        </is>
      </c>
      <c r="C911" t="inlineStr">
        <is>
          <t>Upper + Legs</t>
        </is>
      </c>
      <c r="D911" t="inlineStr">
        <is>
          <t>Goblet Squats</t>
        </is>
      </c>
      <c r="E911" t="inlineStr">
        <is>
          <t>Dumbbell</t>
        </is>
      </c>
      <c r="F911" t="inlineStr">
        <is>
          <t>lbs</t>
        </is>
      </c>
      <c r="G911" t="n">
        <v>1</v>
      </c>
      <c r="H911" t="n">
        <v>15</v>
      </c>
      <c r="I911" t="n">
        <v>8</v>
      </c>
      <c r="J911" t="inlineStr">
        <is>
          <t>N</t>
        </is>
      </c>
      <c r="K911" s="26">
        <f>IF($J911="Y","",IF($F911="BW",$I911,$H911*$I911))</f>
        <v/>
      </c>
      <c r="L911" s="26">
        <f>$D911&amp;"|"&amp;$H911</f>
        <v/>
      </c>
    </row>
    <row r="912" ht="15" customHeight="1" s="22">
      <c r="A912" s="36" t="n">
        <v>46290</v>
      </c>
      <c r="B912" t="inlineStr">
        <is>
          <t>Fri</t>
        </is>
      </c>
      <c r="C912" t="inlineStr">
        <is>
          <t>Upper + Legs</t>
        </is>
      </c>
      <c r="D912" t="inlineStr">
        <is>
          <t>Goblet Squats</t>
        </is>
      </c>
      <c r="E912" t="inlineStr">
        <is>
          <t>Dumbbell</t>
        </is>
      </c>
      <c r="F912" t="inlineStr">
        <is>
          <t>lbs</t>
        </is>
      </c>
      <c r="G912" t="n">
        <v>2</v>
      </c>
      <c r="H912" t="n">
        <v>25</v>
      </c>
      <c r="I912" t="n">
        <v>8</v>
      </c>
      <c r="J912" t="inlineStr">
        <is>
          <t>N</t>
        </is>
      </c>
      <c r="K912" s="26">
        <f>IF($J912="Y","",IF($F912="BW",$I912,$H912*$I912))</f>
        <v/>
      </c>
      <c r="L912" s="26">
        <f>$D912&amp;"|"&amp;$H912</f>
        <v/>
      </c>
    </row>
    <row r="913" ht="15" customHeight="1" s="22">
      <c r="A913" s="36" t="n">
        <v>46290</v>
      </c>
      <c r="B913" t="inlineStr">
        <is>
          <t>Fri</t>
        </is>
      </c>
      <c r="C913" t="inlineStr">
        <is>
          <t>Upper + Legs</t>
        </is>
      </c>
      <c r="D913" t="inlineStr">
        <is>
          <t>Goblet Squats</t>
        </is>
      </c>
      <c r="E913" t="inlineStr">
        <is>
          <t>Dumbbell</t>
        </is>
      </c>
      <c r="F913" t="inlineStr">
        <is>
          <t>lbs</t>
        </is>
      </c>
      <c r="G913" t="n">
        <v>3</v>
      </c>
      <c r="H913" t="n">
        <v>25</v>
      </c>
      <c r="I913" t="n">
        <v>8</v>
      </c>
      <c r="J913" t="inlineStr">
        <is>
          <t>N</t>
        </is>
      </c>
      <c r="K913" s="26">
        <f>IF($J913="Y","",IF($F913="BW",$I913,$H913*$I913))</f>
        <v/>
      </c>
      <c r="L913" s="26">
        <f>$D913&amp;"|"&amp;$H913</f>
        <v/>
      </c>
    </row>
    <row r="914" ht="15" customHeight="1" s="22">
      <c r="A914" s="36" t="n">
        <v>46290</v>
      </c>
      <c r="B914" t="inlineStr">
        <is>
          <t>Fri</t>
        </is>
      </c>
      <c r="C914" t="inlineStr">
        <is>
          <t>Upper + Legs</t>
        </is>
      </c>
      <c r="D914" t="inlineStr">
        <is>
          <t>Goblet Squats</t>
        </is>
      </c>
      <c r="E914" t="inlineStr">
        <is>
          <t>Dumbbell</t>
        </is>
      </c>
      <c r="F914" t="inlineStr">
        <is>
          <t>lbs</t>
        </is>
      </c>
      <c r="G914" t="n">
        <v>4</v>
      </c>
      <c r="H914" t="n">
        <v>25</v>
      </c>
      <c r="I914" t="n">
        <v>8</v>
      </c>
      <c r="J914" t="inlineStr">
        <is>
          <t>N</t>
        </is>
      </c>
      <c r="K914" s="26">
        <f>IF($J914="Y","",IF($F914="BW",$I914,$H914*$I914))</f>
        <v/>
      </c>
      <c r="L914" s="26">
        <f>$D914&amp;"|"&amp;$H914</f>
        <v/>
      </c>
    </row>
    <row r="915" ht="15" customHeight="1" s="22">
      <c r="A915" s="36" t="n">
        <v>46290</v>
      </c>
      <c r="B915" t="inlineStr">
        <is>
          <t>Fri</t>
        </is>
      </c>
      <c r="C915" t="inlineStr">
        <is>
          <t>Upper + Legs</t>
        </is>
      </c>
      <c r="D915" t="inlineStr">
        <is>
          <t>Smith Rows</t>
        </is>
      </c>
      <c r="E915" t="inlineStr">
        <is>
          <t>Smith</t>
        </is>
      </c>
      <c r="F915" t="inlineStr">
        <is>
          <t>lbs</t>
        </is>
      </c>
      <c r="G915" t="n">
        <v>1</v>
      </c>
      <c r="H915" t="n">
        <v>20</v>
      </c>
      <c r="I915" t="n">
        <v>8</v>
      </c>
      <c r="J915" t="inlineStr">
        <is>
          <t>Y</t>
        </is>
      </c>
      <c r="K915" s="26">
        <f>IF($J915="Y","",IF($F915="BW",$I915,$H915*$I915))</f>
        <v/>
      </c>
      <c r="L915" s="26">
        <f>$D915&amp;"|"&amp;$H915</f>
        <v/>
      </c>
    </row>
    <row r="916" ht="15" customHeight="1" s="22">
      <c r="A916" s="36" t="n">
        <v>46290</v>
      </c>
      <c r="B916" t="inlineStr">
        <is>
          <t>Fri</t>
        </is>
      </c>
      <c r="C916" t="inlineStr">
        <is>
          <t>Upper + Legs</t>
        </is>
      </c>
      <c r="D916" t="inlineStr">
        <is>
          <t>Smith Rows</t>
        </is>
      </c>
      <c r="E916" t="inlineStr">
        <is>
          <t>Smith</t>
        </is>
      </c>
      <c r="F916" t="inlineStr">
        <is>
          <t>lbs</t>
        </is>
      </c>
      <c r="G916" t="n">
        <v>2</v>
      </c>
      <c r="H916" t="n">
        <v>40</v>
      </c>
      <c r="I916" t="n">
        <v>8</v>
      </c>
      <c r="J916" t="inlineStr">
        <is>
          <t>N</t>
        </is>
      </c>
      <c r="K916" s="26">
        <f>IF($J916="Y","",IF($F916="BW",$I916,$H916*$I916))</f>
        <v/>
      </c>
      <c r="L916" s="26">
        <f>$D916&amp;"|"&amp;$H916</f>
        <v/>
      </c>
    </row>
    <row r="917" ht="15" customHeight="1" s="22">
      <c r="A917" s="36" t="n">
        <v>46290</v>
      </c>
      <c r="B917" t="inlineStr">
        <is>
          <t>Fri</t>
        </is>
      </c>
      <c r="C917" t="inlineStr">
        <is>
          <t>Upper + Legs</t>
        </is>
      </c>
      <c r="D917" t="inlineStr">
        <is>
          <t>Smith Rows</t>
        </is>
      </c>
      <c r="E917" t="inlineStr">
        <is>
          <t>Smith</t>
        </is>
      </c>
      <c r="F917" t="inlineStr">
        <is>
          <t>lbs</t>
        </is>
      </c>
      <c r="G917" t="n">
        <v>3</v>
      </c>
      <c r="H917" t="n">
        <v>50</v>
      </c>
      <c r="I917" t="n">
        <v>8</v>
      </c>
      <c r="J917" t="inlineStr">
        <is>
          <t>N</t>
        </is>
      </c>
      <c r="K917" s="26">
        <f>IF($J917="Y","",IF($F917="BW",$I917,$H917*$I917))</f>
        <v/>
      </c>
      <c r="L917" s="26">
        <f>$D917&amp;"|"&amp;$H917</f>
        <v/>
      </c>
    </row>
    <row r="918" ht="15" customHeight="1" s="22">
      <c r="A918" s="36" t="n">
        <v>46290</v>
      </c>
      <c r="B918" t="inlineStr">
        <is>
          <t>Fri</t>
        </is>
      </c>
      <c r="C918" t="inlineStr">
        <is>
          <t>Upper + Legs</t>
        </is>
      </c>
      <c r="D918" t="inlineStr">
        <is>
          <t>Tricep Pulldown</t>
        </is>
      </c>
      <c r="E918" t="inlineStr">
        <is>
          <t>Cable</t>
        </is>
      </c>
      <c r="F918" t="inlineStr">
        <is>
          <t>kg</t>
        </is>
      </c>
      <c r="G918" t="n">
        <v>1</v>
      </c>
      <c r="H918" t="n">
        <v>10</v>
      </c>
      <c r="I918" t="n">
        <v>8</v>
      </c>
      <c r="J918" t="inlineStr">
        <is>
          <t>N</t>
        </is>
      </c>
      <c r="K918" s="26">
        <f>IF($J918="Y","",IF($F918="BW",$I918,$H918*$I918))</f>
        <v/>
      </c>
      <c r="L918" s="26">
        <f>$D918&amp;"|"&amp;$H918</f>
        <v/>
      </c>
    </row>
    <row r="919" ht="15" customHeight="1" s="22">
      <c r="A919" s="36" t="n">
        <v>46290</v>
      </c>
      <c r="B919" t="inlineStr">
        <is>
          <t>Fri</t>
        </is>
      </c>
      <c r="C919" t="inlineStr">
        <is>
          <t>Upper + Legs</t>
        </is>
      </c>
      <c r="D919" t="inlineStr">
        <is>
          <t>Tricep Pulldown</t>
        </is>
      </c>
      <c r="E919" t="inlineStr">
        <is>
          <t>Cable</t>
        </is>
      </c>
      <c r="F919" t="inlineStr">
        <is>
          <t>kg</t>
        </is>
      </c>
      <c r="G919" t="n">
        <v>2</v>
      </c>
      <c r="H919" t="n">
        <v>17.5</v>
      </c>
      <c r="I919" t="n">
        <v>8</v>
      </c>
      <c r="J919" t="inlineStr">
        <is>
          <t>N</t>
        </is>
      </c>
      <c r="K919" s="26">
        <f>IF($J919="Y","",IF($F919="BW",$I919,$H919*$I919))</f>
        <v/>
      </c>
      <c r="L919" s="26">
        <f>$D919&amp;"|"&amp;$H919</f>
        <v/>
      </c>
    </row>
    <row r="920" ht="15" customHeight="1" s="22">
      <c r="A920" s="36" t="n">
        <v>46290</v>
      </c>
      <c r="B920" t="inlineStr">
        <is>
          <t>Fri</t>
        </is>
      </c>
      <c r="C920" t="inlineStr">
        <is>
          <t>Upper + Legs</t>
        </is>
      </c>
      <c r="D920" t="inlineStr">
        <is>
          <t>Tricep Pulldown</t>
        </is>
      </c>
      <c r="E920" t="inlineStr">
        <is>
          <t>Cable</t>
        </is>
      </c>
      <c r="F920" t="inlineStr">
        <is>
          <t>kg</t>
        </is>
      </c>
      <c r="G920" t="n">
        <v>3</v>
      </c>
      <c r="H920" t="n">
        <v>22.5</v>
      </c>
      <c r="I920" t="n">
        <v>8</v>
      </c>
      <c r="J920" t="inlineStr">
        <is>
          <t>N</t>
        </is>
      </c>
      <c r="K920" s="26">
        <f>IF($J920="Y","",IF($F920="BW",$I920,$H920*$I920))</f>
        <v/>
      </c>
      <c r="L920" s="26">
        <f>$D920&amp;"|"&amp;$H920</f>
        <v/>
      </c>
    </row>
    <row r="921" ht="15" customHeight="1" s="22">
      <c r="A921" s="36" t="n">
        <v>46290</v>
      </c>
      <c r="B921" t="inlineStr">
        <is>
          <t>Fri</t>
        </is>
      </c>
      <c r="C921" t="inlineStr">
        <is>
          <t>Upper + Legs</t>
        </is>
      </c>
      <c r="D921" t="inlineStr">
        <is>
          <t>Tricep Pulldown</t>
        </is>
      </c>
      <c r="E921" t="inlineStr">
        <is>
          <t>Cable</t>
        </is>
      </c>
      <c r="F921" t="inlineStr">
        <is>
          <t>kg</t>
        </is>
      </c>
      <c r="G921" t="n">
        <v>4</v>
      </c>
      <c r="H921" t="n">
        <v>22.5</v>
      </c>
      <c r="I921" t="n">
        <v>8</v>
      </c>
      <c r="J921" t="inlineStr">
        <is>
          <t>N</t>
        </is>
      </c>
      <c r="K921" s="26">
        <f>IF($J921="Y","",IF($F921="BW",$I921,$H921*$I921))</f>
        <v/>
      </c>
      <c r="L921" s="26">
        <f>$D921&amp;"|"&amp;$H921</f>
        <v/>
      </c>
    </row>
    <row r="922" ht="15" customHeight="1" s="22">
      <c r="A922" s="36" t="n">
        <v>46291</v>
      </c>
      <c r="B922" t="inlineStr">
        <is>
          <t>Sat</t>
        </is>
      </c>
      <c r="C922" t="inlineStr">
        <is>
          <t>Cardio + Legs</t>
        </is>
      </c>
      <c r="D922" t="inlineStr">
        <is>
          <t>Squats</t>
        </is>
      </c>
      <c r="E922" t="inlineStr">
        <is>
          <t>Smith</t>
        </is>
      </c>
      <c r="F922" t="inlineStr">
        <is>
          <t>lbs</t>
        </is>
      </c>
      <c r="G922" t="n">
        <v>1</v>
      </c>
      <c r="H922" t="n">
        <v>20</v>
      </c>
      <c r="I922" t="n">
        <v>8</v>
      </c>
      <c r="J922" t="inlineStr">
        <is>
          <t>Y</t>
        </is>
      </c>
      <c r="K922" s="26">
        <f>IF($J922="Y","",IF($F922="BW",$I922,$H922*$I922))</f>
        <v/>
      </c>
      <c r="L922" s="26">
        <f>$D922&amp;"|"&amp;$H922</f>
        <v/>
      </c>
    </row>
    <row r="923" ht="15" customHeight="1" s="22">
      <c r="A923" s="36" t="n">
        <v>46291</v>
      </c>
      <c r="B923" t="inlineStr">
        <is>
          <t>Sat</t>
        </is>
      </c>
      <c r="C923" t="inlineStr">
        <is>
          <t>Cardio + Legs</t>
        </is>
      </c>
      <c r="D923" t="inlineStr">
        <is>
          <t>Squats</t>
        </is>
      </c>
      <c r="E923" t="inlineStr">
        <is>
          <t>Smith</t>
        </is>
      </c>
      <c r="F923" t="inlineStr">
        <is>
          <t>lbs</t>
        </is>
      </c>
      <c r="G923" t="n">
        <v>2</v>
      </c>
      <c r="H923" t="n">
        <v>40</v>
      </c>
      <c r="I923" t="n">
        <v>8</v>
      </c>
      <c r="J923" t="inlineStr">
        <is>
          <t>N</t>
        </is>
      </c>
      <c r="K923" s="26">
        <f>IF($J923="Y","",IF($F923="BW",$I923,$H923*$I923))</f>
        <v/>
      </c>
      <c r="L923" s="26">
        <f>$D923&amp;"|"&amp;$H923</f>
        <v/>
      </c>
    </row>
    <row r="924" ht="15" customHeight="1" s="22">
      <c r="A924" s="36" t="n">
        <v>46291</v>
      </c>
      <c r="B924" t="inlineStr">
        <is>
          <t>Sat</t>
        </is>
      </c>
      <c r="C924" t="inlineStr">
        <is>
          <t>Cardio + Legs</t>
        </is>
      </c>
      <c r="D924" t="inlineStr">
        <is>
          <t>Squats</t>
        </is>
      </c>
      <c r="E924" t="inlineStr">
        <is>
          <t>Smith</t>
        </is>
      </c>
      <c r="F924" t="inlineStr">
        <is>
          <t>lbs</t>
        </is>
      </c>
      <c r="G924" t="n">
        <v>3</v>
      </c>
      <c r="H924" t="n">
        <v>50</v>
      </c>
      <c r="I924" t="n">
        <v>8</v>
      </c>
      <c r="J924" t="inlineStr">
        <is>
          <t>N</t>
        </is>
      </c>
      <c r="K924" s="26">
        <f>IF($J924="Y","",IF($F924="BW",$I924,$H924*$I924))</f>
        <v/>
      </c>
      <c r="L924" s="26">
        <f>$D924&amp;"|"&amp;$H924</f>
        <v/>
      </c>
    </row>
    <row r="925" ht="15" customHeight="1" s="22">
      <c r="A925" s="36" t="n">
        <v>46291</v>
      </c>
      <c r="B925" t="inlineStr">
        <is>
          <t>Sat</t>
        </is>
      </c>
      <c r="C925" t="inlineStr">
        <is>
          <t>Cardio + Legs</t>
        </is>
      </c>
      <c r="D925" t="inlineStr">
        <is>
          <t>Squats</t>
        </is>
      </c>
      <c r="E925" t="inlineStr">
        <is>
          <t>Smith</t>
        </is>
      </c>
      <c r="F925" t="inlineStr">
        <is>
          <t>lbs</t>
        </is>
      </c>
      <c r="G925" t="n">
        <v>4</v>
      </c>
      <c r="H925" t="n">
        <v>50</v>
      </c>
      <c r="I925" t="n">
        <v>8</v>
      </c>
      <c r="J925" t="inlineStr">
        <is>
          <t>N</t>
        </is>
      </c>
      <c r="K925" s="26">
        <f>IF($J925="Y","",IF($F925="BW",$I925,$H925*$I925))</f>
        <v/>
      </c>
      <c r="L925" s="26">
        <f>$D925&amp;"|"&amp;$H925</f>
        <v/>
      </c>
    </row>
    <row r="926" ht="15" customHeight="1" s="22">
      <c r="A926" s="36" t="n">
        <v>46291</v>
      </c>
      <c r="B926" t="inlineStr">
        <is>
          <t>Sat</t>
        </is>
      </c>
      <c r="C926" t="inlineStr">
        <is>
          <t>Cardio + Legs</t>
        </is>
      </c>
      <c r="D926" t="inlineStr">
        <is>
          <t>Squats</t>
        </is>
      </c>
      <c r="E926" t="inlineStr">
        <is>
          <t>Smith</t>
        </is>
      </c>
      <c r="F926" t="inlineStr">
        <is>
          <t>lbs</t>
        </is>
      </c>
      <c r="G926" t="n">
        <v>5</v>
      </c>
      <c r="H926" t="n">
        <v>50</v>
      </c>
      <c r="I926" t="n">
        <v>8</v>
      </c>
      <c r="J926" t="inlineStr">
        <is>
          <t>N</t>
        </is>
      </c>
      <c r="K926" s="26">
        <f>IF($J926="Y","",IF($F926="BW",$I926,$H926*$I926))</f>
        <v/>
      </c>
      <c r="L926" s="26">
        <f>$D926&amp;"|"&amp;$H926</f>
        <v/>
      </c>
    </row>
    <row r="927" ht="15" customHeight="1" s="22">
      <c r="A927" s="36" t="n">
        <v>46291</v>
      </c>
      <c r="B927" t="inlineStr">
        <is>
          <t>Sat</t>
        </is>
      </c>
      <c r="C927" t="inlineStr">
        <is>
          <t>Cardio + Legs</t>
        </is>
      </c>
      <c r="D927" t="inlineStr">
        <is>
          <t>Calf Raises (Smith)</t>
        </is>
      </c>
      <c r="E927" t="inlineStr">
        <is>
          <t>Smith</t>
        </is>
      </c>
      <c r="F927" t="inlineStr">
        <is>
          <t>lbs</t>
        </is>
      </c>
      <c r="G927" t="n">
        <v>1</v>
      </c>
      <c r="H927" t="n">
        <v>20</v>
      </c>
      <c r="I927" t="n">
        <v>15</v>
      </c>
      <c r="J927" t="inlineStr">
        <is>
          <t>N</t>
        </is>
      </c>
      <c r="K927" s="26">
        <f>IF($J927="Y","",IF($F927="BW",$I927,$H927*$I927))</f>
        <v/>
      </c>
      <c r="L927" s="26">
        <f>$D927&amp;"|"&amp;$H927</f>
        <v/>
      </c>
    </row>
    <row r="928" ht="15" customHeight="1" s="22">
      <c r="A928" s="36" t="n">
        <v>46291</v>
      </c>
      <c r="B928" t="inlineStr">
        <is>
          <t>Sat</t>
        </is>
      </c>
      <c r="C928" t="inlineStr">
        <is>
          <t>Cardio + Legs</t>
        </is>
      </c>
      <c r="D928" t="inlineStr">
        <is>
          <t>Calf Raises (Smith)</t>
        </is>
      </c>
      <c r="E928" t="inlineStr">
        <is>
          <t>Smith</t>
        </is>
      </c>
      <c r="F928" t="inlineStr">
        <is>
          <t>lbs</t>
        </is>
      </c>
      <c r="G928" t="n">
        <v>2</v>
      </c>
      <c r="H928" t="n">
        <v>30</v>
      </c>
      <c r="I928" t="n">
        <v>15</v>
      </c>
      <c r="J928" t="inlineStr">
        <is>
          <t>N</t>
        </is>
      </c>
      <c r="K928" s="26">
        <f>IF($J928="Y","",IF($F928="BW",$I928,$H928*$I928))</f>
        <v/>
      </c>
      <c r="L928" s="26">
        <f>$D928&amp;"|"&amp;$H928</f>
        <v/>
      </c>
    </row>
    <row r="929" ht="15" customHeight="1" s="22">
      <c r="A929" s="36" t="n">
        <v>46291</v>
      </c>
      <c r="B929" t="inlineStr">
        <is>
          <t>Sat</t>
        </is>
      </c>
      <c r="C929" t="inlineStr">
        <is>
          <t>Cardio + Legs</t>
        </is>
      </c>
      <c r="D929" t="inlineStr">
        <is>
          <t>Calf Raises (Smith)</t>
        </is>
      </c>
      <c r="E929" t="inlineStr">
        <is>
          <t>Smith</t>
        </is>
      </c>
      <c r="F929" t="inlineStr">
        <is>
          <t>lbs</t>
        </is>
      </c>
      <c r="G929" t="n">
        <v>3</v>
      </c>
      <c r="H929" t="n">
        <v>30</v>
      </c>
      <c r="I929" t="n">
        <v>15</v>
      </c>
      <c r="J929" t="inlineStr">
        <is>
          <t>N</t>
        </is>
      </c>
      <c r="K929" s="26">
        <f>IF($J929="Y","",IF($F929="BW",$I929,$H929*$I929))</f>
        <v/>
      </c>
      <c r="L929" s="26">
        <f>$D929&amp;"|"&amp;$H929</f>
        <v/>
      </c>
    </row>
    <row r="930" ht="15" customHeight="1" s="22">
      <c r="A930" s="36" t="n">
        <v>46291</v>
      </c>
      <c r="B930" t="inlineStr">
        <is>
          <t>Sat</t>
        </is>
      </c>
      <c r="C930" t="inlineStr">
        <is>
          <t>Cardio + Legs</t>
        </is>
      </c>
      <c r="D930" t="inlineStr">
        <is>
          <t>Calf Raises (Smith)</t>
        </is>
      </c>
      <c r="E930" t="inlineStr">
        <is>
          <t>Smith</t>
        </is>
      </c>
      <c r="F930" t="inlineStr">
        <is>
          <t>lbs</t>
        </is>
      </c>
      <c r="G930" t="n">
        <v>4</v>
      </c>
      <c r="H930" t="n">
        <v>30</v>
      </c>
      <c r="I930" t="n">
        <v>15</v>
      </c>
      <c r="J930" t="inlineStr">
        <is>
          <t>N</t>
        </is>
      </c>
      <c r="K930" s="26">
        <f>IF($J930="Y","",IF($F930="BW",$I930,$H930*$I930))</f>
        <v/>
      </c>
      <c r="L930" s="26">
        <f>$D930&amp;"|"&amp;$H930</f>
        <v/>
      </c>
    </row>
    <row r="931" ht="15" customHeight="1" s="22">
      <c r="A931" s="36" t="n">
        <v>46292</v>
      </c>
      <c r="B931" t="inlineStr">
        <is>
          <t>Sun</t>
        </is>
      </c>
      <c r="C931" t="inlineStr">
        <is>
          <t>Pull + Legs</t>
        </is>
      </c>
      <c r="D931" t="inlineStr">
        <is>
          <t>Smith Rows</t>
        </is>
      </c>
      <c r="E931" t="inlineStr">
        <is>
          <t>Smith</t>
        </is>
      </c>
      <c r="F931" t="inlineStr">
        <is>
          <t>lbs</t>
        </is>
      </c>
      <c r="G931" t="n">
        <v>1</v>
      </c>
      <c r="H931" t="n">
        <v>20</v>
      </c>
      <c r="I931" t="n">
        <v>8</v>
      </c>
      <c r="J931" t="inlineStr">
        <is>
          <t>Y</t>
        </is>
      </c>
      <c r="K931" s="26">
        <f>IF($J931="Y","",IF($F931="BW",$I931,$H931*$I931))</f>
        <v/>
      </c>
      <c r="L931" s="26">
        <f>$D931&amp;"|"&amp;$H931</f>
        <v/>
      </c>
    </row>
    <row r="932" ht="15" customHeight="1" s="22">
      <c r="A932" s="36" t="n">
        <v>46292</v>
      </c>
      <c r="B932" t="inlineStr">
        <is>
          <t>Sun</t>
        </is>
      </c>
      <c r="C932" t="inlineStr">
        <is>
          <t>Pull + Legs</t>
        </is>
      </c>
      <c r="D932" t="inlineStr">
        <is>
          <t>Smith Rows</t>
        </is>
      </c>
      <c r="E932" t="inlineStr">
        <is>
          <t>Smith</t>
        </is>
      </c>
      <c r="F932" t="inlineStr">
        <is>
          <t>lbs</t>
        </is>
      </c>
      <c r="G932" t="n">
        <v>2</v>
      </c>
      <c r="H932" t="n">
        <v>40</v>
      </c>
      <c r="I932" t="n">
        <v>8</v>
      </c>
      <c r="J932" t="inlineStr">
        <is>
          <t>N</t>
        </is>
      </c>
      <c r="K932" s="26">
        <f>IF($J932="Y","",IF($F932="BW",$I932,$H932*$I932))</f>
        <v/>
      </c>
      <c r="L932" s="26">
        <f>$D932&amp;"|"&amp;$H932</f>
        <v/>
      </c>
    </row>
    <row r="933" ht="15" customHeight="1" s="22">
      <c r="A933" s="36" t="n">
        <v>46292</v>
      </c>
      <c r="B933" t="inlineStr">
        <is>
          <t>Sun</t>
        </is>
      </c>
      <c r="C933" t="inlineStr">
        <is>
          <t>Pull + Legs</t>
        </is>
      </c>
      <c r="D933" t="inlineStr">
        <is>
          <t>Smith Rows</t>
        </is>
      </c>
      <c r="E933" t="inlineStr">
        <is>
          <t>Smith</t>
        </is>
      </c>
      <c r="F933" t="inlineStr">
        <is>
          <t>lbs</t>
        </is>
      </c>
      <c r="G933" t="n">
        <v>3</v>
      </c>
      <c r="H933" t="n">
        <v>55</v>
      </c>
      <c r="I933" t="n">
        <v>8</v>
      </c>
      <c r="J933" t="inlineStr">
        <is>
          <t>N</t>
        </is>
      </c>
      <c r="K933" s="26">
        <f>IF($J933="Y","",IF($F933="BW",$I933,$H933*$I933))</f>
        <v/>
      </c>
      <c r="L933" s="26">
        <f>$D933&amp;"|"&amp;$H933</f>
        <v/>
      </c>
    </row>
    <row r="934" ht="15" customHeight="1" s="22">
      <c r="A934" s="36" t="n">
        <v>46292</v>
      </c>
      <c r="B934" t="inlineStr">
        <is>
          <t>Sun</t>
        </is>
      </c>
      <c r="C934" t="inlineStr">
        <is>
          <t>Pull + Legs</t>
        </is>
      </c>
      <c r="D934" t="inlineStr">
        <is>
          <t>Smith Rows</t>
        </is>
      </c>
      <c r="E934" t="inlineStr">
        <is>
          <t>Smith</t>
        </is>
      </c>
      <c r="F934" t="inlineStr">
        <is>
          <t>lbs</t>
        </is>
      </c>
      <c r="G934" t="n">
        <v>4</v>
      </c>
      <c r="H934" t="n">
        <v>60</v>
      </c>
      <c r="I934" t="n">
        <v>8</v>
      </c>
      <c r="J934" t="inlineStr">
        <is>
          <t>N</t>
        </is>
      </c>
      <c r="K934" s="26">
        <f>IF($J934="Y","",IF($F934="BW",$I934,$H934*$I934))</f>
        <v/>
      </c>
      <c r="L934" s="26">
        <f>$D934&amp;"|"&amp;$H934</f>
        <v/>
      </c>
    </row>
    <row r="935" ht="15" customHeight="1" s="22">
      <c r="A935" s="36" t="n">
        <v>46292</v>
      </c>
      <c r="B935" t="inlineStr">
        <is>
          <t>Sun</t>
        </is>
      </c>
      <c r="C935" t="inlineStr">
        <is>
          <t>Pull + Legs</t>
        </is>
      </c>
      <c r="D935" t="inlineStr">
        <is>
          <t>Smith Rows</t>
        </is>
      </c>
      <c r="E935" t="inlineStr">
        <is>
          <t>Smith</t>
        </is>
      </c>
      <c r="F935" t="inlineStr">
        <is>
          <t>lbs</t>
        </is>
      </c>
      <c r="G935" t="n">
        <v>5</v>
      </c>
      <c r="H935" t="n">
        <v>60</v>
      </c>
      <c r="I935" t="n">
        <v>8</v>
      </c>
      <c r="J935" t="inlineStr">
        <is>
          <t>N</t>
        </is>
      </c>
      <c r="K935" s="26">
        <f>IF($J935="Y","",IF($F935="BW",$I935,$H935*$I935))</f>
        <v/>
      </c>
      <c r="L935" s="26">
        <f>$D935&amp;"|"&amp;$H935</f>
        <v/>
      </c>
    </row>
    <row r="936" ht="15" customHeight="1" s="22">
      <c r="A936" s="36" t="n">
        <v>46292</v>
      </c>
      <c r="B936" t="inlineStr">
        <is>
          <t>Sun</t>
        </is>
      </c>
      <c r="C936" t="inlineStr">
        <is>
          <t>Pull + Legs</t>
        </is>
      </c>
      <c r="D936" t="inlineStr">
        <is>
          <t>RDLs</t>
        </is>
      </c>
      <c r="E936" t="inlineStr">
        <is>
          <t>Smith</t>
        </is>
      </c>
      <c r="F936" t="inlineStr">
        <is>
          <t>lbs</t>
        </is>
      </c>
      <c r="G936" t="n">
        <v>1</v>
      </c>
      <c r="H936" t="n">
        <v>30</v>
      </c>
      <c r="I936" t="n">
        <v>8</v>
      </c>
      <c r="J936" t="inlineStr">
        <is>
          <t>Y</t>
        </is>
      </c>
      <c r="K936" s="26">
        <f>IF($J936="Y","",IF($F936="BW",$I936,$H936*$I936))</f>
        <v/>
      </c>
      <c r="L936" s="26">
        <f>$D936&amp;"|"&amp;$H936</f>
        <v/>
      </c>
    </row>
    <row r="937" ht="15" customHeight="1" s="22">
      <c r="A937" s="36" t="n">
        <v>46292</v>
      </c>
      <c r="B937" t="inlineStr">
        <is>
          <t>Sun</t>
        </is>
      </c>
      <c r="C937" t="inlineStr">
        <is>
          <t>Pull + Legs</t>
        </is>
      </c>
      <c r="D937" t="inlineStr">
        <is>
          <t>RDLs</t>
        </is>
      </c>
      <c r="E937" t="inlineStr">
        <is>
          <t>Smith</t>
        </is>
      </c>
      <c r="F937" t="inlineStr">
        <is>
          <t>lbs</t>
        </is>
      </c>
      <c r="G937" t="n">
        <v>2</v>
      </c>
      <c r="H937" t="n">
        <v>40</v>
      </c>
      <c r="I937" t="n">
        <v>8</v>
      </c>
      <c r="J937" t="inlineStr">
        <is>
          <t>N</t>
        </is>
      </c>
      <c r="K937" s="26">
        <f>IF($J937="Y","",IF($F937="BW",$I937,$H937*$I937))</f>
        <v/>
      </c>
      <c r="L937" s="26">
        <f>$D937&amp;"|"&amp;$H937</f>
        <v/>
      </c>
    </row>
    <row r="938" ht="15" customHeight="1" s="22">
      <c r="A938" s="36" t="n">
        <v>46292</v>
      </c>
      <c r="B938" t="inlineStr">
        <is>
          <t>Sun</t>
        </is>
      </c>
      <c r="C938" t="inlineStr">
        <is>
          <t>Pull + Legs</t>
        </is>
      </c>
      <c r="D938" t="inlineStr">
        <is>
          <t>RDLs</t>
        </is>
      </c>
      <c r="E938" t="inlineStr">
        <is>
          <t>Smith</t>
        </is>
      </c>
      <c r="F938" t="inlineStr">
        <is>
          <t>lbs</t>
        </is>
      </c>
      <c r="G938" t="n">
        <v>3</v>
      </c>
      <c r="H938" t="n">
        <v>55</v>
      </c>
      <c r="I938" t="n">
        <v>8</v>
      </c>
      <c r="J938" t="inlineStr">
        <is>
          <t>N</t>
        </is>
      </c>
      <c r="K938" s="26">
        <f>IF($J938="Y","",IF($F938="BW",$I938,$H938*$I938))</f>
        <v/>
      </c>
      <c r="L938" s="26">
        <f>$D938&amp;"|"&amp;$H938</f>
        <v/>
      </c>
    </row>
    <row r="939" ht="15" customHeight="1" s="22">
      <c r="A939" s="36" t="n">
        <v>46292</v>
      </c>
      <c r="B939" t="inlineStr">
        <is>
          <t>Sun</t>
        </is>
      </c>
      <c r="C939" t="inlineStr">
        <is>
          <t>Pull + Legs</t>
        </is>
      </c>
      <c r="D939" t="inlineStr">
        <is>
          <t>RDLs</t>
        </is>
      </c>
      <c r="E939" t="inlineStr">
        <is>
          <t>Smith</t>
        </is>
      </c>
      <c r="F939" t="inlineStr">
        <is>
          <t>lbs</t>
        </is>
      </c>
      <c r="G939" t="n">
        <v>4</v>
      </c>
      <c r="H939" t="n">
        <v>60</v>
      </c>
      <c r="I939" t="n">
        <v>8</v>
      </c>
      <c r="J939" t="inlineStr">
        <is>
          <t>N</t>
        </is>
      </c>
      <c r="K939" s="26">
        <f>IF($J939="Y","",IF($F939="BW",$I939,$H939*$I939))</f>
        <v/>
      </c>
      <c r="L939" s="26">
        <f>$D939&amp;"|"&amp;$H939</f>
        <v/>
      </c>
    </row>
    <row r="940" ht="15" customHeight="1" s="22">
      <c r="A940" s="36" t="n">
        <v>46292</v>
      </c>
      <c r="B940" t="inlineStr">
        <is>
          <t>Sun</t>
        </is>
      </c>
      <c r="C940" t="inlineStr">
        <is>
          <t>Pull + Legs</t>
        </is>
      </c>
      <c r="D940" t="inlineStr">
        <is>
          <t>Standing Cable Press</t>
        </is>
      </c>
      <c r="E940" t="inlineStr">
        <is>
          <t>Cable</t>
        </is>
      </c>
      <c r="F940" t="inlineStr">
        <is>
          <t>kg</t>
        </is>
      </c>
      <c r="G940" t="n">
        <v>1</v>
      </c>
      <c r="H940" t="n">
        <v>10</v>
      </c>
      <c r="I940" t="n">
        <v>8</v>
      </c>
      <c r="J940" t="inlineStr">
        <is>
          <t>Y</t>
        </is>
      </c>
      <c r="K940" s="26">
        <f>IF($J940="Y","",IF($F940="BW",$I940,$H940*$I940))</f>
        <v/>
      </c>
      <c r="L940" s="26">
        <f>$D940&amp;"|"&amp;$H940</f>
        <v/>
      </c>
    </row>
    <row r="941" ht="15" customHeight="1" s="22">
      <c r="A941" s="36" t="n">
        <v>46292</v>
      </c>
      <c r="B941" t="inlineStr">
        <is>
          <t>Sun</t>
        </is>
      </c>
      <c r="C941" t="inlineStr">
        <is>
          <t>Pull + Legs</t>
        </is>
      </c>
      <c r="D941" t="inlineStr">
        <is>
          <t>Standing Cable Press</t>
        </is>
      </c>
      <c r="E941" t="inlineStr">
        <is>
          <t>Cable</t>
        </is>
      </c>
      <c r="F941" t="inlineStr">
        <is>
          <t>kg</t>
        </is>
      </c>
      <c r="G941" t="n">
        <v>2</v>
      </c>
      <c r="H941" t="n">
        <v>15</v>
      </c>
      <c r="I941" t="n">
        <v>8</v>
      </c>
      <c r="J941" t="inlineStr">
        <is>
          <t>N</t>
        </is>
      </c>
      <c r="K941" s="26">
        <f>IF($J941="Y","",IF($F941="BW",$I941,$H941*$I941))</f>
        <v/>
      </c>
      <c r="L941" s="26">
        <f>$D941&amp;"|"&amp;$H941</f>
        <v/>
      </c>
    </row>
    <row r="942" ht="15" customHeight="1" s="22">
      <c r="A942" s="36" t="n">
        <v>46292</v>
      </c>
      <c r="B942" t="inlineStr">
        <is>
          <t>Sun</t>
        </is>
      </c>
      <c r="C942" t="inlineStr">
        <is>
          <t>Pull + Legs</t>
        </is>
      </c>
      <c r="D942" t="inlineStr">
        <is>
          <t>Standing Cable Press</t>
        </is>
      </c>
      <c r="E942" t="inlineStr">
        <is>
          <t>Cable</t>
        </is>
      </c>
      <c r="F942" t="inlineStr">
        <is>
          <t>kg</t>
        </is>
      </c>
      <c r="G942" t="n">
        <v>3</v>
      </c>
      <c r="H942" t="n">
        <v>15</v>
      </c>
      <c r="I942" t="n">
        <v>8</v>
      </c>
      <c r="J942" t="inlineStr">
        <is>
          <t>N</t>
        </is>
      </c>
      <c r="K942" s="26">
        <f>IF($J942="Y","",IF($F942="BW",$I942,$H942*$I942))</f>
        <v/>
      </c>
      <c r="L942" s="26">
        <f>$D942&amp;"|"&amp;$H942</f>
        <v/>
      </c>
    </row>
    <row r="943" ht="15" customHeight="1" s="22">
      <c r="A943" s="36" t="n">
        <v>46292</v>
      </c>
      <c r="B943" t="inlineStr">
        <is>
          <t>Sun</t>
        </is>
      </c>
      <c r="C943" t="inlineStr">
        <is>
          <t>Pull + Legs</t>
        </is>
      </c>
      <c r="D943" t="inlineStr">
        <is>
          <t>Standing Cable Press</t>
        </is>
      </c>
      <c r="E943" t="inlineStr">
        <is>
          <t>Cable</t>
        </is>
      </c>
      <c r="F943" t="inlineStr">
        <is>
          <t>kg</t>
        </is>
      </c>
      <c r="G943" t="n">
        <v>4</v>
      </c>
      <c r="H943" t="n">
        <v>15</v>
      </c>
      <c r="I943" t="n">
        <v>8</v>
      </c>
      <c r="J943" t="inlineStr">
        <is>
          <t>N</t>
        </is>
      </c>
      <c r="K943" s="26">
        <f>IF($J943="Y","",IF($F943="BW",$I943,$H943*$I943))</f>
        <v/>
      </c>
      <c r="L943" s="26">
        <f>$D943&amp;"|"&amp;$H943</f>
        <v/>
      </c>
    </row>
    <row r="944" ht="15" customHeight="1" s="22">
      <c r="A944" s="36" t="n">
        <v>46292</v>
      </c>
      <c r="B944" t="inlineStr">
        <is>
          <t>Sun</t>
        </is>
      </c>
      <c r="C944" t="inlineStr">
        <is>
          <t>Pull + Legs</t>
        </is>
      </c>
      <c r="D944" t="inlineStr">
        <is>
          <t>Tricep Pulldown</t>
        </is>
      </c>
      <c r="E944" t="inlineStr">
        <is>
          <t>Cable</t>
        </is>
      </c>
      <c r="F944" t="inlineStr">
        <is>
          <t>kg</t>
        </is>
      </c>
      <c r="G944" t="n">
        <v>1</v>
      </c>
      <c r="H944" t="n">
        <v>12.5</v>
      </c>
      <c r="I944" t="n">
        <v>8</v>
      </c>
      <c r="J944" t="inlineStr">
        <is>
          <t>Y</t>
        </is>
      </c>
      <c r="K944" s="26">
        <f>IF($J944="Y","",IF($F944="BW",$I944,$H944*$I944))</f>
        <v/>
      </c>
      <c r="L944" s="26">
        <f>$D944&amp;"|"&amp;$H944</f>
        <v/>
      </c>
    </row>
    <row r="945" ht="15" customHeight="1" s="22">
      <c r="A945" s="36" t="n">
        <v>46292</v>
      </c>
      <c r="B945" t="inlineStr">
        <is>
          <t>Sun</t>
        </is>
      </c>
      <c r="C945" t="inlineStr">
        <is>
          <t>Pull + Legs</t>
        </is>
      </c>
      <c r="D945" t="inlineStr">
        <is>
          <t>Tricep Pulldown</t>
        </is>
      </c>
      <c r="E945" t="inlineStr">
        <is>
          <t>Cable</t>
        </is>
      </c>
      <c r="F945" t="inlineStr">
        <is>
          <t>kg</t>
        </is>
      </c>
      <c r="G945" t="n">
        <v>2</v>
      </c>
      <c r="H945" t="n">
        <v>20</v>
      </c>
      <c r="I945" t="n">
        <v>8</v>
      </c>
      <c r="J945" t="inlineStr">
        <is>
          <t>N</t>
        </is>
      </c>
      <c r="K945" s="26">
        <f>IF($J945="Y","",IF($F945="BW",$I945,$H945*$I945))</f>
        <v/>
      </c>
      <c r="L945" s="26">
        <f>$D945&amp;"|"&amp;$H945</f>
        <v/>
      </c>
    </row>
    <row r="946" ht="15" customHeight="1" s="22">
      <c r="A946" s="36" t="n">
        <v>46292</v>
      </c>
      <c r="B946" t="inlineStr">
        <is>
          <t>Sun</t>
        </is>
      </c>
      <c r="C946" t="inlineStr">
        <is>
          <t>Pull + Legs</t>
        </is>
      </c>
      <c r="D946" t="inlineStr">
        <is>
          <t>Tricep Pulldown</t>
        </is>
      </c>
      <c r="E946" t="inlineStr">
        <is>
          <t>Cable</t>
        </is>
      </c>
      <c r="F946" t="inlineStr">
        <is>
          <t>kg</t>
        </is>
      </c>
      <c r="G946" t="n">
        <v>3</v>
      </c>
      <c r="H946" t="n">
        <v>20</v>
      </c>
      <c r="I946" t="n">
        <v>8</v>
      </c>
      <c r="J946" t="inlineStr">
        <is>
          <t>N</t>
        </is>
      </c>
      <c r="K946" s="26">
        <f>IF($J946="Y","",IF($F946="BW",$I946,$H946*$I946))</f>
        <v/>
      </c>
      <c r="L946" s="26">
        <f>$D946&amp;"|"&amp;$H946</f>
        <v/>
      </c>
    </row>
    <row r="947" ht="15" customHeight="1" s="22">
      <c r="A947" s="36" t="n">
        <v>46294</v>
      </c>
      <c r="B947" t="inlineStr">
        <is>
          <t>Tue</t>
        </is>
      </c>
      <c r="C947" t="inlineStr">
        <is>
          <t>Cardio + Push</t>
        </is>
      </c>
      <c r="D947" t="inlineStr">
        <is>
          <t>Bench Press (DB)</t>
        </is>
      </c>
      <c r="E947" t="inlineStr">
        <is>
          <t>Dumbbell</t>
        </is>
      </c>
      <c r="F947" t="inlineStr">
        <is>
          <t>lbs</t>
        </is>
      </c>
      <c r="G947" t="n">
        <v>1</v>
      </c>
      <c r="H947" t="n">
        <v>20</v>
      </c>
      <c r="I947" t="n">
        <v>8</v>
      </c>
      <c r="J947" t="inlineStr">
        <is>
          <t>Y</t>
        </is>
      </c>
      <c r="K947" s="26">
        <f>IF($J947="Y","",IF($F947="BW",$I947,$H947*$I947))</f>
        <v/>
      </c>
      <c r="L947" s="26">
        <f>$D947&amp;"|"&amp;$H947</f>
        <v/>
      </c>
    </row>
    <row r="948" ht="15" customHeight="1" s="22">
      <c r="A948" s="36" t="n">
        <v>46294</v>
      </c>
      <c r="B948" t="inlineStr">
        <is>
          <t>Tue</t>
        </is>
      </c>
      <c r="C948" t="inlineStr">
        <is>
          <t>Cardio + Push</t>
        </is>
      </c>
      <c r="D948" t="inlineStr">
        <is>
          <t>Bench Press (DB)</t>
        </is>
      </c>
      <c r="E948" t="inlineStr">
        <is>
          <t>Dumbbell</t>
        </is>
      </c>
      <c r="F948" t="inlineStr">
        <is>
          <t>lbs</t>
        </is>
      </c>
      <c r="G948" t="n">
        <v>2</v>
      </c>
      <c r="H948" t="n">
        <v>30</v>
      </c>
      <c r="I948" t="n">
        <v>8</v>
      </c>
      <c r="J948" t="inlineStr">
        <is>
          <t>N</t>
        </is>
      </c>
      <c r="K948" s="26">
        <f>IF($J948="Y","",IF($F948="BW",$I948,$H948*$I948))</f>
        <v/>
      </c>
      <c r="L948" s="26">
        <f>$D948&amp;"|"&amp;$H948</f>
        <v/>
      </c>
    </row>
    <row r="949" ht="15" customHeight="1" s="22">
      <c r="A949" s="36" t="n">
        <v>46294</v>
      </c>
      <c r="B949" t="inlineStr">
        <is>
          <t>Tue</t>
        </is>
      </c>
      <c r="C949" t="inlineStr">
        <is>
          <t>Cardio + Push</t>
        </is>
      </c>
      <c r="D949" t="inlineStr">
        <is>
          <t>Bench Press (DB)</t>
        </is>
      </c>
      <c r="E949" t="inlineStr">
        <is>
          <t>Dumbbell</t>
        </is>
      </c>
      <c r="F949" t="inlineStr">
        <is>
          <t>lbs</t>
        </is>
      </c>
      <c r="G949" t="n">
        <v>3</v>
      </c>
      <c r="H949" t="n">
        <v>40</v>
      </c>
      <c r="I949" t="n">
        <v>8</v>
      </c>
      <c r="J949" t="inlineStr">
        <is>
          <t>N</t>
        </is>
      </c>
      <c r="K949" s="26">
        <f>IF($J949="Y","",IF($F949="BW",$I949,$H949*$I949))</f>
        <v/>
      </c>
      <c r="L949" s="26">
        <f>$D949&amp;"|"&amp;$H949</f>
        <v/>
      </c>
    </row>
    <row r="950" ht="15" customHeight="1" s="22">
      <c r="A950" s="36" t="n">
        <v>46294</v>
      </c>
      <c r="B950" t="inlineStr">
        <is>
          <t>Tue</t>
        </is>
      </c>
      <c r="C950" t="inlineStr">
        <is>
          <t>Cardio + Push</t>
        </is>
      </c>
      <c r="D950" t="inlineStr">
        <is>
          <t>Bench Press (DB)</t>
        </is>
      </c>
      <c r="E950" t="inlineStr">
        <is>
          <t>Dumbbell</t>
        </is>
      </c>
      <c r="F950" t="inlineStr">
        <is>
          <t>lbs</t>
        </is>
      </c>
      <c r="G950" t="n">
        <v>4</v>
      </c>
      <c r="H950" t="n">
        <v>45</v>
      </c>
      <c r="I950" t="n">
        <v>8</v>
      </c>
      <c r="J950" t="inlineStr">
        <is>
          <t>N</t>
        </is>
      </c>
      <c r="K950" s="26">
        <f>IF($J950="Y","",IF($F950="BW",$I950,$H950*$I950))</f>
        <v/>
      </c>
      <c r="L950" s="26">
        <f>$D950&amp;"|"&amp;$H950</f>
        <v/>
      </c>
    </row>
    <row r="951" ht="15" customHeight="1" s="22">
      <c r="A951" s="36" t="n">
        <v>46294</v>
      </c>
      <c r="B951" t="inlineStr">
        <is>
          <t>Tue</t>
        </is>
      </c>
      <c r="C951" t="inlineStr">
        <is>
          <t>Cardio + Push</t>
        </is>
      </c>
      <c r="D951" t="inlineStr">
        <is>
          <t>Bench Press (DB)</t>
        </is>
      </c>
      <c r="E951" t="inlineStr">
        <is>
          <t>Dumbbell</t>
        </is>
      </c>
      <c r="F951" t="inlineStr">
        <is>
          <t>lbs</t>
        </is>
      </c>
      <c r="G951" t="n">
        <v>5</v>
      </c>
      <c r="H951" t="n">
        <v>45</v>
      </c>
      <c r="I951" t="n">
        <v>8</v>
      </c>
      <c r="J951" t="inlineStr">
        <is>
          <t>N</t>
        </is>
      </c>
      <c r="K951" s="26">
        <f>IF($J951="Y","",IF($F951="BW",$I951,$H951*$I951))</f>
        <v/>
      </c>
      <c r="L951" s="26">
        <f>$D951&amp;"|"&amp;$H951</f>
        <v/>
      </c>
    </row>
    <row r="952" ht="15" customHeight="1" s="22">
      <c r="A952" s="36" t="n">
        <v>46294</v>
      </c>
      <c r="B952" t="inlineStr">
        <is>
          <t>Tue</t>
        </is>
      </c>
      <c r="C952" t="inlineStr">
        <is>
          <t>Cardio + Push</t>
        </is>
      </c>
      <c r="D952" t="inlineStr">
        <is>
          <t>Incline Bench (DB)</t>
        </is>
      </c>
      <c r="E952" t="inlineStr">
        <is>
          <t>Dumbbell</t>
        </is>
      </c>
      <c r="F952" t="inlineStr">
        <is>
          <t>lbs</t>
        </is>
      </c>
      <c r="G952" t="n">
        <v>1</v>
      </c>
      <c r="H952" t="n">
        <v>25</v>
      </c>
      <c r="I952" t="n">
        <v>8</v>
      </c>
      <c r="J952" t="inlineStr">
        <is>
          <t>Y</t>
        </is>
      </c>
      <c r="K952" s="26">
        <f>IF($J952="Y","",IF($F952="BW",$I952,$H952*$I952))</f>
        <v/>
      </c>
      <c r="L952" s="26">
        <f>$D952&amp;"|"&amp;$H952</f>
        <v/>
      </c>
    </row>
    <row r="953" ht="15" customHeight="1" s="22">
      <c r="A953" s="36" t="n">
        <v>46294</v>
      </c>
      <c r="B953" t="inlineStr">
        <is>
          <t>Tue</t>
        </is>
      </c>
      <c r="C953" t="inlineStr">
        <is>
          <t>Cardio + Push</t>
        </is>
      </c>
      <c r="D953" t="inlineStr">
        <is>
          <t>Incline Bench (DB)</t>
        </is>
      </c>
      <c r="E953" t="inlineStr">
        <is>
          <t>Dumbbell</t>
        </is>
      </c>
      <c r="F953" t="inlineStr">
        <is>
          <t>lbs</t>
        </is>
      </c>
      <c r="G953" t="n">
        <v>2</v>
      </c>
      <c r="H953" t="n">
        <v>40</v>
      </c>
      <c r="I953" t="n">
        <v>8</v>
      </c>
      <c r="J953" t="inlineStr">
        <is>
          <t>N</t>
        </is>
      </c>
      <c r="K953" s="26">
        <f>IF($J953="Y","",IF($F953="BW",$I953,$H953*$I953))</f>
        <v/>
      </c>
      <c r="L953" s="26">
        <f>$D953&amp;"|"&amp;$H953</f>
        <v/>
      </c>
    </row>
    <row r="954" ht="15" customHeight="1" s="22">
      <c r="A954" s="36" t="n">
        <v>46294</v>
      </c>
      <c r="B954" t="inlineStr">
        <is>
          <t>Tue</t>
        </is>
      </c>
      <c r="C954" t="inlineStr">
        <is>
          <t>Cardio + Push</t>
        </is>
      </c>
      <c r="D954" t="inlineStr">
        <is>
          <t>Incline Bench (DB)</t>
        </is>
      </c>
      <c r="E954" t="inlineStr">
        <is>
          <t>Dumbbell</t>
        </is>
      </c>
      <c r="F954" t="inlineStr">
        <is>
          <t>lbs</t>
        </is>
      </c>
      <c r="G954" t="n">
        <v>3</v>
      </c>
      <c r="H954" t="n">
        <v>40</v>
      </c>
      <c r="I954" t="n">
        <v>8</v>
      </c>
      <c r="J954" t="inlineStr">
        <is>
          <t>N</t>
        </is>
      </c>
      <c r="K954" s="26">
        <f>IF($J954="Y","",IF($F954="BW",$I954,$H954*$I954))</f>
        <v/>
      </c>
      <c r="L954" s="26">
        <f>$D954&amp;"|"&amp;$H954</f>
        <v/>
      </c>
    </row>
    <row r="955" ht="15" customHeight="1" s="22">
      <c r="A955" s="36" t="n">
        <v>46294</v>
      </c>
      <c r="B955" t="inlineStr">
        <is>
          <t>Tue</t>
        </is>
      </c>
      <c r="C955" t="inlineStr">
        <is>
          <t>Cardio + Push</t>
        </is>
      </c>
      <c r="D955" t="inlineStr">
        <is>
          <t>Incline Bench (DB)</t>
        </is>
      </c>
      <c r="E955" t="inlineStr">
        <is>
          <t>Dumbbell</t>
        </is>
      </c>
      <c r="F955" t="inlineStr">
        <is>
          <t>lbs</t>
        </is>
      </c>
      <c r="G955" t="n">
        <v>4</v>
      </c>
      <c r="H955" t="n">
        <v>40</v>
      </c>
      <c r="I955" t="n">
        <v>8</v>
      </c>
      <c r="J955" t="inlineStr">
        <is>
          <t>N</t>
        </is>
      </c>
      <c r="K955" s="26">
        <f>IF($J955="Y","",IF($F955="BW",$I955,$H955*$I955))</f>
        <v/>
      </c>
      <c r="L955" s="26">
        <f>$D955&amp;"|"&amp;$H955</f>
        <v/>
      </c>
    </row>
    <row r="956" ht="15" customHeight="1" s="22">
      <c r="A956" s="36" t="n">
        <v>46297</v>
      </c>
      <c r="B956" t="inlineStr">
        <is>
          <t>Fri</t>
        </is>
      </c>
      <c r="C956" t="inlineStr">
        <is>
          <t>Cardio + Pull</t>
        </is>
      </c>
      <c r="D956" t="inlineStr">
        <is>
          <t>DB Rows</t>
        </is>
      </c>
      <c r="E956" t="inlineStr">
        <is>
          <t>Dumbbell</t>
        </is>
      </c>
      <c r="F956" t="inlineStr">
        <is>
          <t>lbs</t>
        </is>
      </c>
      <c r="G956" t="n">
        <v>1</v>
      </c>
      <c r="H956" t="n">
        <v>20</v>
      </c>
      <c r="I956" t="n">
        <v>8</v>
      </c>
      <c r="J956" t="inlineStr">
        <is>
          <t>N</t>
        </is>
      </c>
      <c r="K956" s="26">
        <f>IF($J956="Y","",IF($F956="BW",$I956,$H956*$I956))</f>
        <v/>
      </c>
      <c r="L956" s="26">
        <f>$D956&amp;"|"&amp;$H956</f>
        <v/>
      </c>
    </row>
    <row r="957" ht="15" customHeight="1" s="22">
      <c r="A957" s="36" t="n">
        <v>46297</v>
      </c>
      <c r="B957" t="inlineStr">
        <is>
          <t>Fri</t>
        </is>
      </c>
      <c r="C957" t="inlineStr">
        <is>
          <t>Cardio + Pull</t>
        </is>
      </c>
      <c r="D957" t="inlineStr">
        <is>
          <t>DB Rows</t>
        </is>
      </c>
      <c r="E957" t="inlineStr">
        <is>
          <t>Dumbbell</t>
        </is>
      </c>
      <c r="F957" t="inlineStr">
        <is>
          <t>lbs</t>
        </is>
      </c>
      <c r="G957" t="n">
        <v>2</v>
      </c>
      <c r="H957" t="n">
        <v>30</v>
      </c>
      <c r="I957" t="n">
        <v>8</v>
      </c>
      <c r="J957" t="inlineStr">
        <is>
          <t>N</t>
        </is>
      </c>
      <c r="K957" s="26">
        <f>IF($J957="Y","",IF($F957="BW",$I957,$H957*$I957))</f>
        <v/>
      </c>
      <c r="L957" s="26">
        <f>$D957&amp;"|"&amp;$H957</f>
        <v/>
      </c>
    </row>
    <row r="958" ht="15" customHeight="1" s="22">
      <c r="A958" s="36" t="n">
        <v>46297</v>
      </c>
      <c r="B958" t="inlineStr">
        <is>
          <t>Fri</t>
        </is>
      </c>
      <c r="C958" t="inlineStr">
        <is>
          <t>Cardio + Pull</t>
        </is>
      </c>
      <c r="D958" t="inlineStr">
        <is>
          <t>DB Rows</t>
        </is>
      </c>
      <c r="E958" t="inlineStr">
        <is>
          <t>Dumbbell</t>
        </is>
      </c>
      <c r="F958" t="inlineStr">
        <is>
          <t>lbs</t>
        </is>
      </c>
      <c r="G958" t="n">
        <v>3</v>
      </c>
      <c r="H958" t="n">
        <v>35</v>
      </c>
      <c r="I958" t="n">
        <v>8</v>
      </c>
      <c r="J958" t="inlineStr">
        <is>
          <t>N</t>
        </is>
      </c>
      <c r="K958" s="26">
        <f>IF($J958="Y","",IF($F958="BW",$I958,$H958*$I958))</f>
        <v/>
      </c>
      <c r="L958" s="26">
        <f>$D958&amp;"|"&amp;$H958</f>
        <v/>
      </c>
    </row>
    <row r="959" ht="15" customHeight="1" s="22">
      <c r="A959" s="36" t="n">
        <v>46297</v>
      </c>
      <c r="B959" t="inlineStr">
        <is>
          <t>Fri</t>
        </is>
      </c>
      <c r="C959" t="inlineStr">
        <is>
          <t>Cardio + Pull</t>
        </is>
      </c>
      <c r="D959" t="inlineStr">
        <is>
          <t>DB Rows</t>
        </is>
      </c>
      <c r="E959" t="inlineStr">
        <is>
          <t>Dumbbell</t>
        </is>
      </c>
      <c r="F959" t="inlineStr">
        <is>
          <t>lbs</t>
        </is>
      </c>
      <c r="G959" t="n">
        <v>4</v>
      </c>
      <c r="H959" t="n">
        <v>35</v>
      </c>
      <c r="I959" t="n">
        <v>8</v>
      </c>
      <c r="J959" t="inlineStr">
        <is>
          <t>N</t>
        </is>
      </c>
      <c r="K959" s="26">
        <f>IF($J959="Y","",IF($F959="BW",$I959,$H959*$I959))</f>
        <v/>
      </c>
      <c r="L959" s="26">
        <f>$D959&amp;"|"&amp;$H959</f>
        <v/>
      </c>
    </row>
    <row r="960" ht="15" customHeight="1" s="22">
      <c r="A960" s="36" t="n">
        <v>46297</v>
      </c>
      <c r="B960" t="inlineStr">
        <is>
          <t>Fri</t>
        </is>
      </c>
      <c r="C960" t="inlineStr">
        <is>
          <t>Cardio + Pull</t>
        </is>
      </c>
      <c r="D960" t="inlineStr">
        <is>
          <t>Single Arm Lat Pulldown</t>
        </is>
      </c>
      <c r="E960" t="inlineStr">
        <is>
          <t>Cable</t>
        </is>
      </c>
      <c r="F960" t="inlineStr">
        <is>
          <t>kg</t>
        </is>
      </c>
      <c r="G960" t="n">
        <v>1</v>
      </c>
      <c r="H960" t="n">
        <v>15</v>
      </c>
      <c r="I960" t="n">
        <v>8</v>
      </c>
      <c r="J960" t="inlineStr">
        <is>
          <t>Y</t>
        </is>
      </c>
      <c r="K960" s="26">
        <f>IF($J960="Y","",IF($F960="BW",$I960,$H960*$I960))</f>
        <v/>
      </c>
      <c r="L960" s="26">
        <f>$D960&amp;"|"&amp;$H960</f>
        <v/>
      </c>
    </row>
    <row r="961" ht="15" customHeight="1" s="22">
      <c r="A961" s="36" t="n">
        <v>46297</v>
      </c>
      <c r="B961" t="inlineStr">
        <is>
          <t>Fri</t>
        </is>
      </c>
      <c r="C961" t="inlineStr">
        <is>
          <t>Cardio + Pull</t>
        </is>
      </c>
      <c r="D961" t="inlineStr">
        <is>
          <t>Single Arm Lat Pulldown</t>
        </is>
      </c>
      <c r="E961" t="inlineStr">
        <is>
          <t>Cable</t>
        </is>
      </c>
      <c r="F961" t="inlineStr">
        <is>
          <t>kg</t>
        </is>
      </c>
      <c r="G961" t="n">
        <v>2</v>
      </c>
      <c r="H961" t="n">
        <v>20</v>
      </c>
      <c r="I961" t="n">
        <v>8</v>
      </c>
      <c r="J961" t="inlineStr">
        <is>
          <t>N</t>
        </is>
      </c>
      <c r="K961" s="26">
        <f>IF($J961="Y","",IF($F961="BW",$I961,$H961*$I961))</f>
        <v/>
      </c>
      <c r="L961" s="26">
        <f>$D961&amp;"|"&amp;$H961</f>
        <v/>
      </c>
    </row>
    <row r="962" ht="15" customHeight="1" s="22">
      <c r="A962" s="36" t="n">
        <v>46297</v>
      </c>
      <c r="B962" t="inlineStr">
        <is>
          <t>Fri</t>
        </is>
      </c>
      <c r="C962" t="inlineStr">
        <is>
          <t>Cardio + Pull</t>
        </is>
      </c>
      <c r="D962" t="inlineStr">
        <is>
          <t>Single Arm Lat Pulldown</t>
        </is>
      </c>
      <c r="E962" t="inlineStr">
        <is>
          <t>Cable</t>
        </is>
      </c>
      <c r="F962" t="inlineStr">
        <is>
          <t>kg</t>
        </is>
      </c>
      <c r="G962" t="n">
        <v>3</v>
      </c>
      <c r="H962" t="n">
        <v>22.5</v>
      </c>
      <c r="I962" t="n">
        <v>8</v>
      </c>
      <c r="J962" t="inlineStr">
        <is>
          <t>N</t>
        </is>
      </c>
      <c r="K962" s="26">
        <f>IF($J962="Y","",IF($F962="BW",$I962,$H962*$I962))</f>
        <v/>
      </c>
      <c r="L962" s="26">
        <f>$D962&amp;"|"&amp;$H962</f>
        <v/>
      </c>
    </row>
    <row r="963" ht="15" customHeight="1" s="22">
      <c r="A963" s="36" t="n">
        <v>46301</v>
      </c>
      <c r="B963" t="inlineStr">
        <is>
          <t>Tue</t>
        </is>
      </c>
      <c r="C963" t="inlineStr">
        <is>
          <t>Cardio + Push + Legs</t>
        </is>
      </c>
      <c r="D963" t="inlineStr">
        <is>
          <t>Bench Press (Smith)</t>
        </is>
      </c>
      <c r="E963" t="inlineStr">
        <is>
          <t>Smith</t>
        </is>
      </c>
      <c r="F963" t="inlineStr">
        <is>
          <t>lbs</t>
        </is>
      </c>
      <c r="G963" t="n">
        <v>1</v>
      </c>
      <c r="H963" t="n">
        <v>20</v>
      </c>
      <c r="I963" t="n">
        <v>8</v>
      </c>
      <c r="J963" t="inlineStr">
        <is>
          <t>Y</t>
        </is>
      </c>
      <c r="K963" s="26">
        <f>IF($J963="Y","",IF($F963="BW",$I963,$H963*$I963))</f>
        <v/>
      </c>
      <c r="L963" s="26">
        <f>$D963&amp;"|"&amp;$H963</f>
        <v/>
      </c>
    </row>
    <row r="964" ht="15" customHeight="1" s="22">
      <c r="A964" s="36" t="n">
        <v>46301</v>
      </c>
      <c r="B964" t="inlineStr">
        <is>
          <t>Tue</t>
        </is>
      </c>
      <c r="C964" t="inlineStr">
        <is>
          <t>Cardio + Push + Legs</t>
        </is>
      </c>
      <c r="D964" t="inlineStr">
        <is>
          <t>Bench Press (Smith)</t>
        </is>
      </c>
      <c r="E964" t="inlineStr">
        <is>
          <t>Smith</t>
        </is>
      </c>
      <c r="F964" t="inlineStr">
        <is>
          <t>lbs</t>
        </is>
      </c>
      <c r="G964" t="n">
        <v>2</v>
      </c>
      <c r="H964" t="n">
        <v>60</v>
      </c>
      <c r="I964" t="n">
        <v>8</v>
      </c>
      <c r="J964" t="inlineStr">
        <is>
          <t>N</t>
        </is>
      </c>
      <c r="K964" s="26">
        <f>IF($J964="Y","",IF($F964="BW",$I964,$H964*$I964))</f>
        <v/>
      </c>
      <c r="L964" s="26">
        <f>$D964&amp;"|"&amp;$H964</f>
        <v/>
      </c>
    </row>
    <row r="965" ht="15" customHeight="1" s="22">
      <c r="A965" s="36" t="n">
        <v>46301</v>
      </c>
      <c r="B965" t="inlineStr">
        <is>
          <t>Tue</t>
        </is>
      </c>
      <c r="C965" t="inlineStr">
        <is>
          <t>Cardio + Push + Legs</t>
        </is>
      </c>
      <c r="D965" t="inlineStr">
        <is>
          <t>Bench Press (Smith)</t>
        </is>
      </c>
      <c r="E965" t="inlineStr">
        <is>
          <t>Smith</t>
        </is>
      </c>
      <c r="F965" t="inlineStr">
        <is>
          <t>lbs</t>
        </is>
      </c>
      <c r="G965" t="n">
        <v>3</v>
      </c>
      <c r="H965" t="n">
        <v>75</v>
      </c>
      <c r="I965" t="n">
        <v>8</v>
      </c>
      <c r="J965" t="inlineStr">
        <is>
          <t>N</t>
        </is>
      </c>
      <c r="K965" s="26">
        <f>IF($J965="Y","",IF($F965="BW",$I965,$H965*$I965))</f>
        <v/>
      </c>
      <c r="L965" s="26">
        <f>$D965&amp;"|"&amp;$H965</f>
        <v/>
      </c>
    </row>
    <row r="966" ht="15" customHeight="1" s="22">
      <c r="A966" s="36" t="n">
        <v>46301</v>
      </c>
      <c r="B966" t="inlineStr">
        <is>
          <t>Tue</t>
        </is>
      </c>
      <c r="C966" t="inlineStr">
        <is>
          <t>Cardio + Push + Legs</t>
        </is>
      </c>
      <c r="D966" t="inlineStr">
        <is>
          <t>Bench Press (Smith)</t>
        </is>
      </c>
      <c r="E966" t="inlineStr">
        <is>
          <t>Smith</t>
        </is>
      </c>
      <c r="F966" t="inlineStr">
        <is>
          <t>lbs</t>
        </is>
      </c>
      <c r="G966" t="n">
        <v>4</v>
      </c>
      <c r="H966" t="n">
        <v>90</v>
      </c>
      <c r="I966" t="n">
        <v>8</v>
      </c>
      <c r="J966" t="inlineStr">
        <is>
          <t>N</t>
        </is>
      </c>
      <c r="K966" s="26">
        <f>IF($J966="Y","",IF($F966="BW",$I966,$H966*$I966))</f>
        <v/>
      </c>
      <c r="L966" s="26">
        <f>$D966&amp;"|"&amp;$H966</f>
        <v/>
      </c>
    </row>
    <row r="967" ht="15" customHeight="1" s="22">
      <c r="A967" s="36" t="n">
        <v>46301</v>
      </c>
      <c r="B967" t="inlineStr">
        <is>
          <t>Tue</t>
        </is>
      </c>
      <c r="C967" t="inlineStr">
        <is>
          <t>Cardio + Push + Legs</t>
        </is>
      </c>
      <c r="D967" t="inlineStr">
        <is>
          <t>Incline Bench (Smith)</t>
        </is>
      </c>
      <c r="E967" t="inlineStr">
        <is>
          <t>Smith</t>
        </is>
      </c>
      <c r="F967" t="inlineStr">
        <is>
          <t>lbs</t>
        </is>
      </c>
      <c r="G967" t="n">
        <v>1</v>
      </c>
      <c r="H967" t="n">
        <v>35</v>
      </c>
      <c r="I967" t="n">
        <v>8</v>
      </c>
      <c r="J967" t="inlineStr">
        <is>
          <t>N</t>
        </is>
      </c>
      <c r="K967" s="26">
        <f>IF($J967="Y","",IF($F967="BW",$I967,$H967*$I967))</f>
        <v/>
      </c>
      <c r="L967" s="26">
        <f>$D967&amp;"|"&amp;$H967</f>
        <v/>
      </c>
    </row>
    <row r="968" ht="15" customHeight="1" s="22">
      <c r="A968" s="36" t="n">
        <v>46301</v>
      </c>
      <c r="B968" t="inlineStr">
        <is>
          <t>Tue</t>
        </is>
      </c>
      <c r="C968" t="inlineStr">
        <is>
          <t>Cardio + Push + Legs</t>
        </is>
      </c>
      <c r="D968" t="inlineStr">
        <is>
          <t>Incline Bench (Smith)</t>
        </is>
      </c>
      <c r="E968" t="inlineStr">
        <is>
          <t>Smith</t>
        </is>
      </c>
      <c r="F968" t="inlineStr">
        <is>
          <t>lbs</t>
        </is>
      </c>
      <c r="G968" t="n">
        <v>2</v>
      </c>
      <c r="H968" t="n">
        <v>60</v>
      </c>
      <c r="I968" t="n">
        <v>8</v>
      </c>
      <c r="J968" t="inlineStr">
        <is>
          <t>N</t>
        </is>
      </c>
      <c r="K968" s="26">
        <f>IF($J968="Y","",IF($F968="BW",$I968,$H968*$I968))</f>
        <v/>
      </c>
      <c r="L968" s="26">
        <f>$D968&amp;"|"&amp;$H968</f>
        <v/>
      </c>
    </row>
    <row r="969" ht="15" customHeight="1" s="22">
      <c r="A969" s="36" t="n">
        <v>46301</v>
      </c>
      <c r="B969" t="inlineStr">
        <is>
          <t>Tue</t>
        </is>
      </c>
      <c r="C969" t="inlineStr">
        <is>
          <t>Cardio + Push + Legs</t>
        </is>
      </c>
      <c r="D969" t="inlineStr">
        <is>
          <t>Incline Bench (Smith)</t>
        </is>
      </c>
      <c r="E969" t="inlineStr">
        <is>
          <t>Smith</t>
        </is>
      </c>
      <c r="F969" t="inlineStr">
        <is>
          <t>lbs</t>
        </is>
      </c>
      <c r="G969" t="n">
        <v>3</v>
      </c>
      <c r="H969" t="n">
        <v>70</v>
      </c>
      <c r="I969" t="n">
        <v>8</v>
      </c>
      <c r="J969" t="inlineStr">
        <is>
          <t>N</t>
        </is>
      </c>
      <c r="K969" s="26">
        <f>IF($J969="Y","",IF($F969="BW",$I969,$H969*$I969))</f>
        <v/>
      </c>
      <c r="L969" s="26">
        <f>$D969&amp;"|"&amp;$H969</f>
        <v/>
      </c>
    </row>
    <row r="970" ht="15" customHeight="1" s="22">
      <c r="A970" s="36" t="n">
        <v>46301</v>
      </c>
      <c r="B970" t="inlineStr">
        <is>
          <t>Tue</t>
        </is>
      </c>
      <c r="C970" t="inlineStr">
        <is>
          <t>Cardio + Push + Legs</t>
        </is>
      </c>
      <c r="D970" t="inlineStr">
        <is>
          <t>Incline Bench (Smith)</t>
        </is>
      </c>
      <c r="E970" t="inlineStr">
        <is>
          <t>Smith</t>
        </is>
      </c>
      <c r="F970" t="inlineStr">
        <is>
          <t>lbs</t>
        </is>
      </c>
      <c r="G970" t="n">
        <v>4</v>
      </c>
      <c r="H970" t="n">
        <v>70</v>
      </c>
      <c r="I970" t="n">
        <v>8</v>
      </c>
      <c r="J970" t="inlineStr">
        <is>
          <t>N</t>
        </is>
      </c>
      <c r="K970" s="26">
        <f>IF($J970="Y","",IF($F970="BW",$I970,$H970*$I970))</f>
        <v/>
      </c>
      <c r="L970" s="26">
        <f>$D970&amp;"|"&amp;$H970</f>
        <v/>
      </c>
    </row>
    <row r="971" ht="15" customHeight="1" s="22">
      <c r="A971" s="36" t="n">
        <v>46301</v>
      </c>
      <c r="B971" t="inlineStr">
        <is>
          <t>Tue</t>
        </is>
      </c>
      <c r="C971" t="inlineStr">
        <is>
          <t>Cardio + Push + Legs</t>
        </is>
      </c>
      <c r="D971" t="inlineStr">
        <is>
          <t>Standing Cable Press</t>
        </is>
      </c>
      <c r="E971" t="inlineStr">
        <is>
          <t>Cable</t>
        </is>
      </c>
      <c r="F971" t="inlineStr">
        <is>
          <t>kg</t>
        </is>
      </c>
      <c r="G971" t="n">
        <v>1</v>
      </c>
      <c r="H971" t="n">
        <v>10</v>
      </c>
      <c r="I971" t="n">
        <v>8</v>
      </c>
      <c r="J971" t="inlineStr">
        <is>
          <t>N</t>
        </is>
      </c>
      <c r="K971" s="26">
        <f>IF($J971="Y","",IF($F971="BW",$I971,$H971*$I971))</f>
        <v/>
      </c>
      <c r="L971" s="26">
        <f>$D971&amp;"|"&amp;$H971</f>
        <v/>
      </c>
    </row>
    <row r="972" ht="15" customHeight="1" s="22">
      <c r="A972" s="36" t="n">
        <v>46301</v>
      </c>
      <c r="B972" t="inlineStr">
        <is>
          <t>Tue</t>
        </is>
      </c>
      <c r="C972" t="inlineStr">
        <is>
          <t>Cardio + Push + Legs</t>
        </is>
      </c>
      <c r="D972" t="inlineStr">
        <is>
          <t>Standing Cable Press</t>
        </is>
      </c>
      <c r="E972" t="inlineStr">
        <is>
          <t>Cable</t>
        </is>
      </c>
      <c r="F972" t="inlineStr">
        <is>
          <t>kg</t>
        </is>
      </c>
      <c r="G972" t="n">
        <v>2</v>
      </c>
      <c r="H972" t="n">
        <v>12.5</v>
      </c>
      <c r="I972" t="n">
        <v>8</v>
      </c>
      <c r="J972" t="inlineStr">
        <is>
          <t>N</t>
        </is>
      </c>
      <c r="K972" s="26">
        <f>IF($J972="Y","",IF($F972="BW",$I972,$H972*$I972))</f>
        <v/>
      </c>
      <c r="L972" s="26">
        <f>$D972&amp;"|"&amp;$H972</f>
        <v/>
      </c>
    </row>
    <row r="973" ht="15" customHeight="1" s="22">
      <c r="A973" s="36" t="n">
        <v>46301</v>
      </c>
      <c r="B973" t="inlineStr">
        <is>
          <t>Tue</t>
        </is>
      </c>
      <c r="C973" t="inlineStr">
        <is>
          <t>Cardio + Push + Legs</t>
        </is>
      </c>
      <c r="D973" t="inlineStr">
        <is>
          <t>Standing Cable Press</t>
        </is>
      </c>
      <c r="E973" t="inlineStr">
        <is>
          <t>Cable</t>
        </is>
      </c>
      <c r="F973" t="inlineStr">
        <is>
          <t>kg</t>
        </is>
      </c>
      <c r="G973" t="n">
        <v>3</v>
      </c>
      <c r="H973" t="n">
        <v>12.5</v>
      </c>
      <c r="I973" t="n">
        <v>8</v>
      </c>
      <c r="J973" t="inlineStr">
        <is>
          <t>N</t>
        </is>
      </c>
      <c r="K973" s="26">
        <f>IF($J973="Y","",IF($F973="BW",$I973,$H973*$I973))</f>
        <v/>
      </c>
      <c r="L973" s="26">
        <f>$D973&amp;"|"&amp;$H973</f>
        <v/>
      </c>
    </row>
    <row r="974" ht="15" customHeight="1" s="22">
      <c r="A974" s="36" t="n">
        <v>46301</v>
      </c>
      <c r="B974" t="inlineStr">
        <is>
          <t>Tue</t>
        </is>
      </c>
      <c r="C974" t="inlineStr">
        <is>
          <t>Cardio + Push + Legs</t>
        </is>
      </c>
      <c r="D974" t="inlineStr">
        <is>
          <t>DB Flyes</t>
        </is>
      </c>
      <c r="E974" t="inlineStr">
        <is>
          <t>Dumbbell</t>
        </is>
      </c>
      <c r="F974" t="inlineStr">
        <is>
          <t>lbs</t>
        </is>
      </c>
      <c r="G974" t="n">
        <v>1</v>
      </c>
      <c r="H974" t="n">
        <v>10</v>
      </c>
      <c r="I974" t="n">
        <v>8</v>
      </c>
      <c r="J974" t="inlineStr">
        <is>
          <t>N</t>
        </is>
      </c>
      <c r="K974" s="26">
        <f>IF($J974="Y","",IF($F974="BW",$I974,$H974*$I974))</f>
        <v/>
      </c>
      <c r="L974" s="26">
        <f>$D974&amp;"|"&amp;$H974</f>
        <v/>
      </c>
    </row>
    <row r="975" ht="15" customHeight="1" s="22">
      <c r="A975" s="36" t="n">
        <v>46301</v>
      </c>
      <c r="B975" t="inlineStr">
        <is>
          <t>Tue</t>
        </is>
      </c>
      <c r="C975" t="inlineStr">
        <is>
          <t>Cardio + Push + Legs</t>
        </is>
      </c>
      <c r="D975" t="inlineStr">
        <is>
          <t>DB Flyes</t>
        </is>
      </c>
      <c r="E975" t="inlineStr">
        <is>
          <t>Dumbbell</t>
        </is>
      </c>
      <c r="F975" t="inlineStr">
        <is>
          <t>lbs</t>
        </is>
      </c>
      <c r="G975" t="n">
        <v>2</v>
      </c>
      <c r="H975" t="n">
        <v>10</v>
      </c>
      <c r="I975" t="n">
        <v>8</v>
      </c>
      <c r="J975" t="inlineStr">
        <is>
          <t>N</t>
        </is>
      </c>
      <c r="K975" s="26">
        <f>IF($J975="Y","",IF($F975="BW",$I975,$H975*$I975))</f>
        <v/>
      </c>
      <c r="L975" s="26">
        <f>$D975&amp;"|"&amp;$H975</f>
        <v/>
      </c>
    </row>
    <row r="976" ht="15" customHeight="1" s="22">
      <c r="A976" s="36" t="n">
        <v>46301</v>
      </c>
      <c r="B976" t="inlineStr">
        <is>
          <t>Tue</t>
        </is>
      </c>
      <c r="C976" t="inlineStr">
        <is>
          <t>Cardio + Push + Legs</t>
        </is>
      </c>
      <c r="D976" t="inlineStr">
        <is>
          <t>DB Flyes</t>
        </is>
      </c>
      <c r="E976" t="inlineStr">
        <is>
          <t>Dumbbell</t>
        </is>
      </c>
      <c r="F976" t="inlineStr">
        <is>
          <t>lbs</t>
        </is>
      </c>
      <c r="G976" t="n">
        <v>3</v>
      </c>
      <c r="H976" t="n">
        <v>10</v>
      </c>
      <c r="I976" t="n">
        <v>8</v>
      </c>
      <c r="J976" t="inlineStr">
        <is>
          <t>N</t>
        </is>
      </c>
      <c r="K976" s="26">
        <f>IF($J976="Y","",IF($F976="BW",$I976,$H976*$I976))</f>
        <v/>
      </c>
      <c r="L976" s="26">
        <f>$D976&amp;"|"&amp;$H976</f>
        <v/>
      </c>
    </row>
    <row r="977" ht="15" customHeight="1" s="22">
      <c r="A977" s="36" t="n">
        <v>46301</v>
      </c>
      <c r="B977" t="inlineStr">
        <is>
          <t>Tue</t>
        </is>
      </c>
      <c r="C977" t="inlineStr">
        <is>
          <t>Cardio + Push + Legs</t>
        </is>
      </c>
      <c r="D977" t="inlineStr">
        <is>
          <t>Tricep Pulldown</t>
        </is>
      </c>
      <c r="E977" t="inlineStr">
        <is>
          <t>Cable</t>
        </is>
      </c>
      <c r="F977" t="inlineStr">
        <is>
          <t>kg</t>
        </is>
      </c>
      <c r="G977" t="n">
        <v>1</v>
      </c>
      <c r="H977" t="n">
        <v>12.5</v>
      </c>
      <c r="I977" t="n">
        <v>8</v>
      </c>
      <c r="J977" t="inlineStr">
        <is>
          <t>Y</t>
        </is>
      </c>
      <c r="K977" s="26">
        <f>IF($J977="Y","",IF($F977="BW",$I977,$H977*$I977))</f>
        <v/>
      </c>
      <c r="L977" s="26">
        <f>$D977&amp;"|"&amp;$H977</f>
        <v/>
      </c>
    </row>
    <row r="978" ht="15" customHeight="1" s="22">
      <c r="A978" s="36" t="n">
        <v>46301</v>
      </c>
      <c r="B978" t="inlineStr">
        <is>
          <t>Tue</t>
        </is>
      </c>
      <c r="C978" t="inlineStr">
        <is>
          <t>Cardio + Push + Legs</t>
        </is>
      </c>
      <c r="D978" t="inlineStr">
        <is>
          <t>Tricep Pulldown</t>
        </is>
      </c>
      <c r="E978" t="inlineStr">
        <is>
          <t>Cable</t>
        </is>
      </c>
      <c r="F978" t="inlineStr">
        <is>
          <t>kg</t>
        </is>
      </c>
      <c r="G978" t="n">
        <v>2</v>
      </c>
      <c r="H978" t="n">
        <v>20</v>
      </c>
      <c r="I978" t="n">
        <v>8</v>
      </c>
      <c r="J978" t="inlineStr">
        <is>
          <t>N</t>
        </is>
      </c>
      <c r="K978" s="26">
        <f>IF($J978="Y","",IF($F978="BW",$I978,$H978*$I978))</f>
        <v/>
      </c>
      <c r="L978" s="26">
        <f>$D978&amp;"|"&amp;$H978</f>
        <v/>
      </c>
    </row>
    <row r="979" ht="15" customHeight="1" s="22">
      <c r="A979" s="36" t="n">
        <v>46301</v>
      </c>
      <c r="B979" t="inlineStr">
        <is>
          <t>Tue</t>
        </is>
      </c>
      <c r="C979" t="inlineStr">
        <is>
          <t>Cardio + Push + Legs</t>
        </is>
      </c>
      <c r="D979" t="inlineStr">
        <is>
          <t>Tricep Pulldown</t>
        </is>
      </c>
      <c r="E979" t="inlineStr">
        <is>
          <t>Cable</t>
        </is>
      </c>
      <c r="F979" t="inlineStr">
        <is>
          <t>kg</t>
        </is>
      </c>
      <c r="G979" t="n">
        <v>3</v>
      </c>
      <c r="H979" t="n">
        <v>20</v>
      </c>
      <c r="I979" t="n">
        <v>8</v>
      </c>
      <c r="J979" t="inlineStr">
        <is>
          <t>N</t>
        </is>
      </c>
      <c r="K979" s="26">
        <f>IF($J979="Y","",IF($F979="BW",$I979,$H979*$I979))</f>
        <v/>
      </c>
      <c r="L979" s="26">
        <f>$D979&amp;"|"&amp;$H979</f>
        <v/>
      </c>
    </row>
    <row r="980" ht="15" customHeight="1" s="22">
      <c r="A980" s="36" t="n">
        <v>46301</v>
      </c>
      <c r="B980" t="inlineStr">
        <is>
          <t>Tue</t>
        </is>
      </c>
      <c r="C980" t="inlineStr">
        <is>
          <t>Cardio + Push + Legs</t>
        </is>
      </c>
      <c r="D980" t="inlineStr">
        <is>
          <t>Tricep Pulldown</t>
        </is>
      </c>
      <c r="E980" t="inlineStr">
        <is>
          <t>Cable</t>
        </is>
      </c>
      <c r="F980" t="inlineStr">
        <is>
          <t>kg</t>
        </is>
      </c>
      <c r="G980" t="n">
        <v>4</v>
      </c>
      <c r="H980" t="n">
        <v>20</v>
      </c>
      <c r="I980" t="n">
        <v>8</v>
      </c>
      <c r="J980" t="inlineStr">
        <is>
          <t>N</t>
        </is>
      </c>
      <c r="K980" s="26">
        <f>IF($J980="Y","",IF($F980="BW",$I980,$H980*$I980))</f>
        <v/>
      </c>
      <c r="L980" s="26">
        <f>$D980&amp;"|"&amp;$H980</f>
        <v/>
      </c>
    </row>
    <row r="981" ht="15" customHeight="1" s="22">
      <c r="A981" s="36" t="n">
        <v>46301</v>
      </c>
      <c r="B981" t="inlineStr">
        <is>
          <t>Tue</t>
        </is>
      </c>
      <c r="C981" t="inlineStr">
        <is>
          <t>Cardio + Push + Legs</t>
        </is>
      </c>
      <c r="D981" t="inlineStr">
        <is>
          <t>Lateral Raises</t>
        </is>
      </c>
      <c r="E981" t="inlineStr">
        <is>
          <t>Dumbbell</t>
        </is>
      </c>
      <c r="F981" t="inlineStr">
        <is>
          <t>lbs</t>
        </is>
      </c>
      <c r="G981" t="n">
        <v>1</v>
      </c>
      <c r="H981" t="n">
        <v>10</v>
      </c>
      <c r="I981" t="n">
        <v>8</v>
      </c>
      <c r="J981" t="inlineStr">
        <is>
          <t>N</t>
        </is>
      </c>
      <c r="K981" s="26">
        <f>IF($J981="Y","",IF($F981="BW",$I981,$H981*$I981))</f>
        <v/>
      </c>
      <c r="L981" s="26">
        <f>$D981&amp;"|"&amp;$H981</f>
        <v/>
      </c>
    </row>
    <row r="982" ht="15" customHeight="1" s="22">
      <c r="A982" s="36" t="n">
        <v>46301</v>
      </c>
      <c r="B982" t="inlineStr">
        <is>
          <t>Tue</t>
        </is>
      </c>
      <c r="C982" t="inlineStr">
        <is>
          <t>Cardio + Push + Legs</t>
        </is>
      </c>
      <c r="D982" t="inlineStr">
        <is>
          <t>Lateral Raises</t>
        </is>
      </c>
      <c r="E982" t="inlineStr">
        <is>
          <t>Dumbbell</t>
        </is>
      </c>
      <c r="F982" t="inlineStr">
        <is>
          <t>lbs</t>
        </is>
      </c>
      <c r="G982" t="n">
        <v>2</v>
      </c>
      <c r="H982" t="n">
        <v>10</v>
      </c>
      <c r="I982" t="n">
        <v>8</v>
      </c>
      <c r="J982" t="inlineStr">
        <is>
          <t>N</t>
        </is>
      </c>
      <c r="K982" s="26">
        <f>IF($J982="Y","",IF($F982="BW",$I982,$H982*$I982))</f>
        <v/>
      </c>
      <c r="L982" s="26">
        <f>$D982&amp;"|"&amp;$H982</f>
        <v/>
      </c>
    </row>
    <row r="983" ht="15" customHeight="1" s="22">
      <c r="A983" s="36" t="n">
        <v>46301</v>
      </c>
      <c r="B983" t="inlineStr">
        <is>
          <t>Tue</t>
        </is>
      </c>
      <c r="C983" t="inlineStr">
        <is>
          <t>Cardio + Push + Legs</t>
        </is>
      </c>
      <c r="D983" t="inlineStr">
        <is>
          <t>Lateral Raises</t>
        </is>
      </c>
      <c r="E983" t="inlineStr">
        <is>
          <t>Dumbbell</t>
        </is>
      </c>
      <c r="F983" t="inlineStr">
        <is>
          <t>lbs</t>
        </is>
      </c>
      <c r="G983" t="n">
        <v>3</v>
      </c>
      <c r="H983" t="n">
        <v>10</v>
      </c>
      <c r="I983" t="n">
        <v>8</v>
      </c>
      <c r="J983" t="inlineStr">
        <is>
          <t>N</t>
        </is>
      </c>
      <c r="K983" s="26">
        <f>IF($J983="Y","",IF($F983="BW",$I983,$H983*$I983))</f>
        <v/>
      </c>
      <c r="L983" s="26">
        <f>$D983&amp;"|"&amp;$H983</f>
        <v/>
      </c>
    </row>
    <row r="984" ht="15" customHeight="1" s="22">
      <c r="A984" s="36" t="n">
        <v>46301</v>
      </c>
      <c r="B984" t="inlineStr">
        <is>
          <t>Tue</t>
        </is>
      </c>
      <c r="C984" t="inlineStr">
        <is>
          <t>Cardio + Push + Legs</t>
        </is>
      </c>
      <c r="D984" t="inlineStr">
        <is>
          <t>Squats</t>
        </is>
      </c>
      <c r="E984" t="inlineStr">
        <is>
          <t>Smith</t>
        </is>
      </c>
      <c r="F984" t="inlineStr">
        <is>
          <t>lbs</t>
        </is>
      </c>
      <c r="G984" t="n">
        <v>1</v>
      </c>
      <c r="H984" t="n">
        <v>20</v>
      </c>
      <c r="I984" t="n">
        <v>8</v>
      </c>
      <c r="J984" t="inlineStr">
        <is>
          <t>Y</t>
        </is>
      </c>
      <c r="K984" s="26">
        <f>IF($J984="Y","",IF($F984="BW",$I984,$H984*$I984))</f>
        <v/>
      </c>
      <c r="L984" s="26">
        <f>$D984&amp;"|"&amp;$H984</f>
        <v/>
      </c>
    </row>
    <row r="985" ht="15" customHeight="1" s="22">
      <c r="A985" s="36" t="n">
        <v>46301</v>
      </c>
      <c r="B985" t="inlineStr">
        <is>
          <t>Tue</t>
        </is>
      </c>
      <c r="C985" t="inlineStr">
        <is>
          <t>Cardio + Push + Legs</t>
        </is>
      </c>
      <c r="D985" t="inlineStr">
        <is>
          <t>Squats</t>
        </is>
      </c>
      <c r="E985" t="inlineStr">
        <is>
          <t>Smith</t>
        </is>
      </c>
      <c r="F985" t="inlineStr">
        <is>
          <t>lbs</t>
        </is>
      </c>
      <c r="G985" t="n">
        <v>2</v>
      </c>
      <c r="H985" t="n">
        <v>40</v>
      </c>
      <c r="I985" t="n">
        <v>8</v>
      </c>
      <c r="J985" t="inlineStr">
        <is>
          <t>N</t>
        </is>
      </c>
      <c r="K985" s="26">
        <f>IF($J985="Y","",IF($F985="BW",$I985,$H985*$I985))</f>
        <v/>
      </c>
      <c r="L985" s="26">
        <f>$D985&amp;"|"&amp;$H985</f>
        <v/>
      </c>
    </row>
    <row r="986" ht="15" customHeight="1" s="22">
      <c r="A986" s="36" t="n">
        <v>46301</v>
      </c>
      <c r="B986" t="inlineStr">
        <is>
          <t>Tue</t>
        </is>
      </c>
      <c r="C986" t="inlineStr">
        <is>
          <t>Cardio + Push + Legs</t>
        </is>
      </c>
      <c r="D986" t="inlineStr">
        <is>
          <t>Squats</t>
        </is>
      </c>
      <c r="E986" t="inlineStr">
        <is>
          <t>Smith</t>
        </is>
      </c>
      <c r="F986" t="inlineStr">
        <is>
          <t>lbs</t>
        </is>
      </c>
      <c r="G986" t="n">
        <v>3</v>
      </c>
      <c r="H986" t="n">
        <v>40</v>
      </c>
      <c r="I986" t="n">
        <v>8</v>
      </c>
      <c r="J986" t="inlineStr">
        <is>
          <t>N</t>
        </is>
      </c>
      <c r="K986" s="26">
        <f>IF($J986="Y","",IF($F986="BW",$I986,$H986*$I986))</f>
        <v/>
      </c>
      <c r="L986" s="26">
        <f>$D986&amp;"|"&amp;$H986</f>
        <v/>
      </c>
    </row>
    <row r="987" ht="15" customHeight="1" s="22">
      <c r="A987" s="36" t="n">
        <v>46301</v>
      </c>
      <c r="B987" t="inlineStr">
        <is>
          <t>Tue</t>
        </is>
      </c>
      <c r="C987" t="inlineStr">
        <is>
          <t>Cardio + Push + Legs</t>
        </is>
      </c>
      <c r="D987" t="inlineStr">
        <is>
          <t>Squats</t>
        </is>
      </c>
      <c r="E987" t="inlineStr">
        <is>
          <t>Smith</t>
        </is>
      </c>
      <c r="F987" t="inlineStr">
        <is>
          <t>lbs</t>
        </is>
      </c>
      <c r="G987" t="n">
        <v>4</v>
      </c>
      <c r="H987" t="n">
        <v>40</v>
      </c>
      <c r="I987" t="n">
        <v>8</v>
      </c>
      <c r="J987" t="inlineStr">
        <is>
          <t>N</t>
        </is>
      </c>
      <c r="K987" s="26">
        <f>IF($J987="Y","",IF($F987="BW",$I987,$H987*$I987))</f>
        <v/>
      </c>
      <c r="L987" s="26">
        <f>$D987&amp;"|"&amp;$H987</f>
        <v/>
      </c>
    </row>
    <row r="988" ht="15" customHeight="1" s="22">
      <c r="A988" s="36" t="n">
        <v>46303</v>
      </c>
      <c r="B988" t="inlineStr">
        <is>
          <t>Thu</t>
        </is>
      </c>
      <c r="C988" t="inlineStr">
        <is>
          <t>Cardio + Pull</t>
        </is>
      </c>
      <c r="D988" t="inlineStr">
        <is>
          <t>Smith Rows</t>
        </is>
      </c>
      <c r="E988" t="inlineStr">
        <is>
          <t>Smith</t>
        </is>
      </c>
      <c r="F988" t="inlineStr">
        <is>
          <t>lbs</t>
        </is>
      </c>
      <c r="G988" t="n">
        <v>1</v>
      </c>
      <c r="H988" t="n">
        <v>20</v>
      </c>
      <c r="I988" t="n">
        <v>8</v>
      </c>
      <c r="J988" t="inlineStr">
        <is>
          <t>Y</t>
        </is>
      </c>
      <c r="K988" s="26">
        <f>IF($J988="Y","",IF($F988="BW",$I988,$H988*$I988))</f>
        <v/>
      </c>
      <c r="L988" s="26">
        <f>$D988&amp;"|"&amp;$H988</f>
        <v/>
      </c>
    </row>
    <row r="989" ht="15" customHeight="1" s="22">
      <c r="A989" s="36" t="n">
        <v>46303</v>
      </c>
      <c r="B989" t="inlineStr">
        <is>
          <t>Thu</t>
        </is>
      </c>
      <c r="C989" t="inlineStr">
        <is>
          <t>Cardio + Pull</t>
        </is>
      </c>
      <c r="D989" t="inlineStr">
        <is>
          <t>Smith Rows</t>
        </is>
      </c>
      <c r="E989" t="inlineStr">
        <is>
          <t>Smith</t>
        </is>
      </c>
      <c r="F989" t="inlineStr">
        <is>
          <t>lbs</t>
        </is>
      </c>
      <c r="G989" t="n">
        <v>2</v>
      </c>
      <c r="H989" t="n">
        <v>45</v>
      </c>
      <c r="I989" t="n">
        <v>8</v>
      </c>
      <c r="J989" t="inlineStr">
        <is>
          <t>N</t>
        </is>
      </c>
      <c r="K989" s="26">
        <f>IF($J989="Y","",IF($F989="BW",$I989,$H989*$I989))</f>
        <v/>
      </c>
      <c r="L989" s="26">
        <f>$D989&amp;"|"&amp;$H989</f>
        <v/>
      </c>
    </row>
    <row r="990" ht="15" customHeight="1" s="22">
      <c r="A990" s="36" t="n">
        <v>46303</v>
      </c>
      <c r="B990" t="inlineStr">
        <is>
          <t>Thu</t>
        </is>
      </c>
      <c r="C990" t="inlineStr">
        <is>
          <t>Cardio + Pull</t>
        </is>
      </c>
      <c r="D990" t="inlineStr">
        <is>
          <t>Smith Rows</t>
        </is>
      </c>
      <c r="E990" t="inlineStr">
        <is>
          <t>Smith</t>
        </is>
      </c>
      <c r="F990" t="inlineStr">
        <is>
          <t>lbs</t>
        </is>
      </c>
      <c r="G990" t="n">
        <v>3</v>
      </c>
      <c r="H990" t="n">
        <v>60</v>
      </c>
      <c r="I990" t="n">
        <v>8</v>
      </c>
      <c r="J990" t="inlineStr">
        <is>
          <t>N</t>
        </is>
      </c>
      <c r="K990" s="26">
        <f>IF($J990="Y","",IF($F990="BW",$I990,$H990*$I990))</f>
        <v/>
      </c>
      <c r="L990" s="26">
        <f>$D990&amp;"|"&amp;$H990</f>
        <v/>
      </c>
    </row>
    <row r="991" ht="15" customHeight="1" s="22">
      <c r="A991" s="36" t="n">
        <v>46303</v>
      </c>
      <c r="B991" t="inlineStr">
        <is>
          <t>Thu</t>
        </is>
      </c>
      <c r="C991" t="inlineStr">
        <is>
          <t>Cardio + Pull</t>
        </is>
      </c>
      <c r="D991" t="inlineStr">
        <is>
          <t>Smith Rows</t>
        </is>
      </c>
      <c r="E991" t="inlineStr">
        <is>
          <t>Smith</t>
        </is>
      </c>
      <c r="F991" t="inlineStr">
        <is>
          <t>lbs</t>
        </is>
      </c>
      <c r="G991" t="n">
        <v>4</v>
      </c>
      <c r="H991" t="n">
        <v>60</v>
      </c>
      <c r="I991" t="n">
        <v>8</v>
      </c>
      <c r="J991" t="inlineStr">
        <is>
          <t>N</t>
        </is>
      </c>
      <c r="K991" s="26">
        <f>IF($J991="Y","",IF($F991="BW",$I991,$H991*$I991))</f>
        <v/>
      </c>
      <c r="L991" s="26">
        <f>$D991&amp;"|"&amp;$H991</f>
        <v/>
      </c>
    </row>
    <row r="992" ht="15" customHeight="1" s="22">
      <c r="A992" s="36" t="n">
        <v>46303</v>
      </c>
      <c r="B992" t="inlineStr">
        <is>
          <t>Thu</t>
        </is>
      </c>
      <c r="C992" t="inlineStr">
        <is>
          <t>Cardio + Pull</t>
        </is>
      </c>
      <c r="D992" t="inlineStr">
        <is>
          <t>Smith Rows</t>
        </is>
      </c>
      <c r="E992" t="inlineStr">
        <is>
          <t>Smith</t>
        </is>
      </c>
      <c r="F992" t="inlineStr">
        <is>
          <t>lbs</t>
        </is>
      </c>
      <c r="G992" t="n">
        <v>5</v>
      </c>
      <c r="H992" t="n">
        <v>65</v>
      </c>
      <c r="I992" t="n">
        <v>8</v>
      </c>
      <c r="J992" t="inlineStr">
        <is>
          <t>N</t>
        </is>
      </c>
      <c r="K992" s="26">
        <f>IF($J992="Y","",IF($F992="BW",$I992,$H992*$I992))</f>
        <v/>
      </c>
      <c r="L992" s="26">
        <f>$D992&amp;"|"&amp;$H992</f>
        <v/>
      </c>
    </row>
    <row r="993" ht="15" customHeight="1" s="22">
      <c r="A993" s="36" t="n">
        <v>46303</v>
      </c>
      <c r="B993" t="inlineStr">
        <is>
          <t>Thu</t>
        </is>
      </c>
      <c r="C993" t="inlineStr">
        <is>
          <t>Cardio + Pull</t>
        </is>
      </c>
      <c r="D993" t="inlineStr">
        <is>
          <t>Shrugs</t>
        </is>
      </c>
      <c r="E993" t="inlineStr">
        <is>
          <t>Dumbbell</t>
        </is>
      </c>
      <c r="F993" t="inlineStr">
        <is>
          <t>lbs</t>
        </is>
      </c>
      <c r="G993" t="n">
        <v>1</v>
      </c>
      <c r="H993" t="n">
        <v>20</v>
      </c>
      <c r="I993" t="n">
        <v>8</v>
      </c>
      <c r="J993" t="inlineStr">
        <is>
          <t>N</t>
        </is>
      </c>
      <c r="K993" s="26">
        <f>IF($J993="Y","",IF($F993="BW",$I993,$H993*$I993))</f>
        <v/>
      </c>
      <c r="L993" s="26">
        <f>$D993&amp;"|"&amp;$H993</f>
        <v/>
      </c>
    </row>
    <row r="994" ht="15" customHeight="1" s="22">
      <c r="A994" s="36" t="n">
        <v>46303</v>
      </c>
      <c r="B994" t="inlineStr">
        <is>
          <t>Thu</t>
        </is>
      </c>
      <c r="C994" t="inlineStr">
        <is>
          <t>Cardio + Pull</t>
        </is>
      </c>
      <c r="D994" t="inlineStr">
        <is>
          <t>Shrugs</t>
        </is>
      </c>
      <c r="E994" t="inlineStr">
        <is>
          <t>Dumbbell</t>
        </is>
      </c>
      <c r="F994" t="inlineStr">
        <is>
          <t>lbs</t>
        </is>
      </c>
      <c r="G994" t="n">
        <v>2</v>
      </c>
      <c r="H994" t="n">
        <v>35</v>
      </c>
      <c r="I994" t="n">
        <v>8</v>
      </c>
      <c r="J994" t="inlineStr">
        <is>
          <t>N</t>
        </is>
      </c>
      <c r="K994" s="26">
        <f>IF($J994="Y","",IF($F994="BW",$I994,$H994*$I994))</f>
        <v/>
      </c>
      <c r="L994" s="26">
        <f>$D994&amp;"|"&amp;$H994</f>
        <v/>
      </c>
    </row>
    <row r="995" ht="15" customHeight="1" s="22">
      <c r="A995" s="36" t="n">
        <v>46303</v>
      </c>
      <c r="B995" t="inlineStr">
        <is>
          <t>Thu</t>
        </is>
      </c>
      <c r="C995" t="inlineStr">
        <is>
          <t>Cardio + Pull</t>
        </is>
      </c>
      <c r="D995" t="inlineStr">
        <is>
          <t>Shrugs</t>
        </is>
      </c>
      <c r="E995" t="inlineStr">
        <is>
          <t>Dumbbell</t>
        </is>
      </c>
      <c r="F995" t="inlineStr">
        <is>
          <t>lbs</t>
        </is>
      </c>
      <c r="G995" t="n">
        <v>3</v>
      </c>
      <c r="H995" t="n">
        <v>45</v>
      </c>
      <c r="I995" t="n">
        <v>8</v>
      </c>
      <c r="J995" t="inlineStr">
        <is>
          <t>N</t>
        </is>
      </c>
      <c r="K995" s="26">
        <f>IF($J995="Y","",IF($F995="BW",$I995,$H995*$I995))</f>
        <v/>
      </c>
      <c r="L995" s="26">
        <f>$D995&amp;"|"&amp;$H995</f>
        <v/>
      </c>
    </row>
    <row r="996" ht="15" customHeight="1" s="22">
      <c r="A996" s="36" t="n">
        <v>46303</v>
      </c>
      <c r="B996" t="inlineStr">
        <is>
          <t>Thu</t>
        </is>
      </c>
      <c r="C996" t="inlineStr">
        <is>
          <t>Cardio + Pull</t>
        </is>
      </c>
      <c r="D996" t="inlineStr">
        <is>
          <t>Shrugs</t>
        </is>
      </c>
      <c r="E996" t="inlineStr">
        <is>
          <t>Dumbbell</t>
        </is>
      </c>
      <c r="F996" t="inlineStr">
        <is>
          <t>lbs</t>
        </is>
      </c>
      <c r="G996" t="n">
        <v>4</v>
      </c>
      <c r="H996" t="n">
        <v>45</v>
      </c>
      <c r="I996" t="n">
        <v>8</v>
      </c>
      <c r="J996" t="inlineStr">
        <is>
          <t>N</t>
        </is>
      </c>
      <c r="K996" s="26">
        <f>IF($J996="Y","",IF($F996="BW",$I996,$H996*$I996))</f>
        <v/>
      </c>
      <c r="L996" s="26">
        <f>$D996&amp;"|"&amp;$H996</f>
        <v/>
      </c>
    </row>
    <row r="997" ht="15" customHeight="1" s="22">
      <c r="A997" s="36" t="n">
        <v>46303</v>
      </c>
      <c r="B997" t="inlineStr">
        <is>
          <t>Thu</t>
        </is>
      </c>
      <c r="C997" t="inlineStr">
        <is>
          <t>Cardio + Pull</t>
        </is>
      </c>
      <c r="D997" t="inlineStr">
        <is>
          <t>Bicep Curls (DB)</t>
        </is>
      </c>
      <c r="E997" t="inlineStr">
        <is>
          <t>Dumbbell</t>
        </is>
      </c>
      <c r="F997" t="inlineStr">
        <is>
          <t>lbs</t>
        </is>
      </c>
      <c r="G997" t="n">
        <v>1</v>
      </c>
      <c r="H997" t="n">
        <v>20</v>
      </c>
      <c r="I997" t="n">
        <v>8</v>
      </c>
      <c r="J997" t="inlineStr">
        <is>
          <t>N</t>
        </is>
      </c>
      <c r="K997" s="26">
        <f>IF($J997="Y","",IF($F997="BW",$I997,$H997*$I997))</f>
        <v/>
      </c>
      <c r="L997" s="26">
        <f>$D997&amp;"|"&amp;$H997</f>
        <v/>
      </c>
    </row>
    <row r="998" ht="15" customHeight="1" s="22">
      <c r="A998" s="36" t="n">
        <v>46303</v>
      </c>
      <c r="B998" t="inlineStr">
        <is>
          <t>Thu</t>
        </is>
      </c>
      <c r="C998" t="inlineStr">
        <is>
          <t>Cardio + Pull</t>
        </is>
      </c>
      <c r="D998" t="inlineStr">
        <is>
          <t>Bicep Curls (DB)</t>
        </is>
      </c>
      <c r="E998" t="inlineStr">
        <is>
          <t>Dumbbell</t>
        </is>
      </c>
      <c r="F998" t="inlineStr">
        <is>
          <t>lbs</t>
        </is>
      </c>
      <c r="G998" t="n">
        <v>2</v>
      </c>
      <c r="H998" t="n">
        <v>25</v>
      </c>
      <c r="I998" t="n">
        <v>8</v>
      </c>
      <c r="J998" t="inlineStr">
        <is>
          <t>N</t>
        </is>
      </c>
      <c r="K998" s="26">
        <f>IF($J998="Y","",IF($F998="BW",$I998,$H998*$I998))</f>
        <v/>
      </c>
      <c r="L998" s="26">
        <f>$D998&amp;"|"&amp;$H998</f>
        <v/>
      </c>
    </row>
    <row r="999" ht="15" customHeight="1" s="22">
      <c r="A999" s="36" t="n">
        <v>46303</v>
      </c>
      <c r="B999" t="inlineStr">
        <is>
          <t>Thu</t>
        </is>
      </c>
      <c r="C999" t="inlineStr">
        <is>
          <t>Cardio + Pull</t>
        </is>
      </c>
      <c r="D999" t="inlineStr">
        <is>
          <t>Bicep Curls (DB)</t>
        </is>
      </c>
      <c r="E999" t="inlineStr">
        <is>
          <t>Dumbbell</t>
        </is>
      </c>
      <c r="F999" t="inlineStr">
        <is>
          <t>lbs</t>
        </is>
      </c>
      <c r="G999" t="n">
        <v>3</v>
      </c>
      <c r="H999" t="n">
        <v>25</v>
      </c>
      <c r="I999" t="n">
        <v>8</v>
      </c>
      <c r="J999" t="inlineStr">
        <is>
          <t>N</t>
        </is>
      </c>
      <c r="K999" s="26">
        <f>IF($J999="Y","",IF($F999="BW",$I999,$H999*$I999))</f>
        <v/>
      </c>
      <c r="L999" s="26">
        <f>$D999&amp;"|"&amp;$H999</f>
        <v/>
      </c>
    </row>
    <row r="1000" ht="15" customHeight="1" s="22">
      <c r="A1000" s="36" t="n">
        <v>46303</v>
      </c>
      <c r="B1000" t="inlineStr">
        <is>
          <t>Thu</t>
        </is>
      </c>
      <c r="C1000" t="inlineStr">
        <is>
          <t>Cardio + Pull</t>
        </is>
      </c>
      <c r="D1000" t="inlineStr">
        <is>
          <t>Bicep Curls (DB)</t>
        </is>
      </c>
      <c r="E1000" t="inlineStr">
        <is>
          <t>Dumbbell</t>
        </is>
      </c>
      <c r="F1000" t="inlineStr">
        <is>
          <t>lbs</t>
        </is>
      </c>
      <c r="G1000" t="n">
        <v>4</v>
      </c>
      <c r="H1000" t="n">
        <v>25</v>
      </c>
      <c r="I1000" t="n">
        <v>8</v>
      </c>
      <c r="J1000" t="inlineStr">
        <is>
          <t>N</t>
        </is>
      </c>
      <c r="K1000" s="26">
        <f>IF($J1000="Y","",IF($F1000="BW",$I1000,$H1000*$I1000))</f>
        <v/>
      </c>
      <c r="L1000" s="26">
        <f>$D1000&amp;"|"&amp;$H1000</f>
        <v/>
      </c>
    </row>
    <row r="1001" ht="15" customHeight="1" s="22">
      <c r="A1001" s="36" t="n">
        <v>46303</v>
      </c>
      <c r="B1001" t="inlineStr">
        <is>
          <t>Thu</t>
        </is>
      </c>
      <c r="C1001" t="inlineStr">
        <is>
          <t>Cardio + Pull</t>
        </is>
      </c>
      <c r="D1001" t="inlineStr">
        <is>
          <t>DB Rows</t>
        </is>
      </c>
      <c r="E1001" t="inlineStr">
        <is>
          <t>Dumbbell</t>
        </is>
      </c>
      <c r="F1001" t="inlineStr">
        <is>
          <t>lbs</t>
        </is>
      </c>
      <c r="G1001" t="n">
        <v>1</v>
      </c>
      <c r="H1001" t="n">
        <v>20</v>
      </c>
      <c r="I1001" t="n">
        <v>8</v>
      </c>
      <c r="J1001" t="inlineStr">
        <is>
          <t>Y</t>
        </is>
      </c>
      <c r="K1001" s="26">
        <f>IF($J1001="Y","",IF($F1001="BW",$I1001,$H1001*$I1001))</f>
        <v/>
      </c>
      <c r="L1001" s="26">
        <f>$D1001&amp;"|"&amp;$H1001</f>
        <v/>
      </c>
    </row>
    <row r="1002" ht="15" customHeight="1" s="22">
      <c r="A1002" s="36" t="n">
        <v>46303</v>
      </c>
      <c r="B1002" t="inlineStr">
        <is>
          <t>Thu</t>
        </is>
      </c>
      <c r="C1002" t="inlineStr">
        <is>
          <t>Cardio + Pull</t>
        </is>
      </c>
      <c r="D1002" t="inlineStr">
        <is>
          <t>DB Rows</t>
        </is>
      </c>
      <c r="E1002" t="inlineStr">
        <is>
          <t>Dumbbell</t>
        </is>
      </c>
      <c r="F1002" t="inlineStr">
        <is>
          <t>lbs</t>
        </is>
      </c>
      <c r="G1002" t="n">
        <v>2</v>
      </c>
      <c r="H1002" t="n">
        <v>30</v>
      </c>
      <c r="I1002" t="n">
        <v>8</v>
      </c>
      <c r="J1002" t="inlineStr">
        <is>
          <t>N</t>
        </is>
      </c>
      <c r="K1002" s="26">
        <f>IF($J1002="Y","",IF($F1002="BW",$I1002,$H1002*$I1002))</f>
        <v/>
      </c>
      <c r="L1002" s="26">
        <f>$D1002&amp;"|"&amp;$H1002</f>
        <v/>
      </c>
    </row>
    <row r="1003" ht="15" customHeight="1" s="22">
      <c r="A1003" s="36" t="n">
        <v>46303</v>
      </c>
      <c r="B1003" t="inlineStr">
        <is>
          <t>Thu</t>
        </is>
      </c>
      <c r="C1003" t="inlineStr">
        <is>
          <t>Cardio + Pull</t>
        </is>
      </c>
      <c r="D1003" t="inlineStr">
        <is>
          <t>DB Rows</t>
        </is>
      </c>
      <c r="E1003" t="inlineStr">
        <is>
          <t>Dumbbell</t>
        </is>
      </c>
      <c r="F1003" t="inlineStr">
        <is>
          <t>lbs</t>
        </is>
      </c>
      <c r="G1003" t="n">
        <v>3</v>
      </c>
      <c r="H1003" t="n">
        <v>35</v>
      </c>
      <c r="I1003" t="n">
        <v>8</v>
      </c>
      <c r="J1003" t="inlineStr">
        <is>
          <t>N</t>
        </is>
      </c>
      <c r="K1003" s="26">
        <f>IF($J1003="Y","",IF($F1003="BW",$I1003,$H1003*$I1003))</f>
        <v/>
      </c>
      <c r="L1003" s="26">
        <f>$D1003&amp;"|"&amp;$H1003</f>
        <v/>
      </c>
    </row>
    <row r="1004" ht="15" customHeight="1" s="22">
      <c r="A1004" s="36" t="n">
        <v>46303</v>
      </c>
      <c r="B1004" t="inlineStr">
        <is>
          <t>Thu</t>
        </is>
      </c>
      <c r="C1004" t="inlineStr">
        <is>
          <t>Cardio + Pull</t>
        </is>
      </c>
      <c r="D1004" t="inlineStr">
        <is>
          <t>DB Rows</t>
        </is>
      </c>
      <c r="E1004" t="inlineStr">
        <is>
          <t>Dumbbell</t>
        </is>
      </c>
      <c r="F1004" t="inlineStr">
        <is>
          <t>lbs</t>
        </is>
      </c>
      <c r="G1004" t="n">
        <v>4</v>
      </c>
      <c r="H1004" t="n">
        <v>35</v>
      </c>
      <c r="I1004" t="n">
        <v>8</v>
      </c>
      <c r="J1004" t="inlineStr">
        <is>
          <t>N</t>
        </is>
      </c>
      <c r="K1004" s="26">
        <f>IF($J1004="Y","",IF($F1004="BW",$I1004,$H1004*$I1004))</f>
        <v/>
      </c>
      <c r="L1004" s="26">
        <f>$D1004&amp;"|"&amp;$H1004</f>
        <v/>
      </c>
    </row>
    <row r="1005" ht="15" customHeight="1" s="22">
      <c r="A1005" s="36" t="n">
        <v>46304</v>
      </c>
      <c r="B1005" t="inlineStr">
        <is>
          <t>Fri</t>
        </is>
      </c>
      <c r="C1005" t="inlineStr">
        <is>
          <t>Push + Legs</t>
        </is>
      </c>
      <c r="D1005" t="inlineStr">
        <is>
          <t>Bench Press (Smith)</t>
        </is>
      </c>
      <c r="E1005" t="inlineStr">
        <is>
          <t>Smith</t>
        </is>
      </c>
      <c r="F1005" t="inlineStr">
        <is>
          <t>lbs</t>
        </is>
      </c>
      <c r="G1005" t="n">
        <v>1</v>
      </c>
      <c r="H1005" t="n">
        <v>20</v>
      </c>
      <c r="I1005" t="n">
        <v>8</v>
      </c>
      <c r="J1005" t="inlineStr">
        <is>
          <t>Y</t>
        </is>
      </c>
      <c r="K1005" s="26">
        <f>IF($J1005="Y","",IF($F1005="BW",$I1005,$H1005*$I1005))</f>
        <v/>
      </c>
      <c r="L1005" s="26">
        <f>$D1005&amp;"|"&amp;$H1005</f>
        <v/>
      </c>
    </row>
    <row r="1006" ht="15" customHeight="1" s="22">
      <c r="A1006" s="36" t="n">
        <v>46304</v>
      </c>
      <c r="B1006" t="inlineStr">
        <is>
          <t>Fri</t>
        </is>
      </c>
      <c r="C1006" t="inlineStr">
        <is>
          <t>Push + Legs</t>
        </is>
      </c>
      <c r="D1006" t="inlineStr">
        <is>
          <t>Bench Press (Smith)</t>
        </is>
      </c>
      <c r="E1006" t="inlineStr">
        <is>
          <t>Smith</t>
        </is>
      </c>
      <c r="F1006" t="inlineStr">
        <is>
          <t>lbs</t>
        </is>
      </c>
      <c r="G1006" t="n">
        <v>2</v>
      </c>
      <c r="H1006" t="n">
        <v>50</v>
      </c>
      <c r="I1006" t="n">
        <v>8</v>
      </c>
      <c r="J1006" t="inlineStr">
        <is>
          <t>N</t>
        </is>
      </c>
      <c r="K1006" s="26">
        <f>IF($J1006="Y","",IF($F1006="BW",$I1006,$H1006*$I1006))</f>
        <v/>
      </c>
      <c r="L1006" s="26">
        <f>$D1006&amp;"|"&amp;$H1006</f>
        <v/>
      </c>
    </row>
    <row r="1007" ht="15" customHeight="1" s="22">
      <c r="A1007" s="36" t="n">
        <v>46304</v>
      </c>
      <c r="B1007" t="inlineStr">
        <is>
          <t>Fri</t>
        </is>
      </c>
      <c r="C1007" t="inlineStr">
        <is>
          <t>Push + Legs</t>
        </is>
      </c>
      <c r="D1007" t="inlineStr">
        <is>
          <t>Bench Press (Smith)</t>
        </is>
      </c>
      <c r="E1007" t="inlineStr">
        <is>
          <t>Smith</t>
        </is>
      </c>
      <c r="F1007" t="inlineStr">
        <is>
          <t>lbs</t>
        </is>
      </c>
      <c r="G1007" t="n">
        <v>3</v>
      </c>
      <c r="H1007" t="n">
        <v>75</v>
      </c>
      <c r="I1007" t="n">
        <v>8</v>
      </c>
      <c r="J1007" t="inlineStr">
        <is>
          <t>N</t>
        </is>
      </c>
      <c r="K1007" s="26">
        <f>IF($J1007="Y","",IF($F1007="BW",$I1007,$H1007*$I1007))</f>
        <v/>
      </c>
      <c r="L1007" s="26">
        <f>$D1007&amp;"|"&amp;$H1007</f>
        <v/>
      </c>
    </row>
    <row r="1008" ht="15" customHeight="1" s="22">
      <c r="A1008" s="36" t="n">
        <v>46304</v>
      </c>
      <c r="B1008" t="inlineStr">
        <is>
          <t>Fri</t>
        </is>
      </c>
      <c r="C1008" t="inlineStr">
        <is>
          <t>Push + Legs</t>
        </is>
      </c>
      <c r="D1008" t="inlineStr">
        <is>
          <t>Bench Press (Smith)</t>
        </is>
      </c>
      <c r="E1008" t="inlineStr">
        <is>
          <t>Smith</t>
        </is>
      </c>
      <c r="F1008" t="inlineStr">
        <is>
          <t>lbs</t>
        </is>
      </c>
      <c r="G1008" t="n">
        <v>4</v>
      </c>
      <c r="H1008" t="n">
        <v>100</v>
      </c>
      <c r="I1008" t="n">
        <v>8</v>
      </c>
      <c r="J1008" t="inlineStr">
        <is>
          <t>N</t>
        </is>
      </c>
      <c r="K1008" s="26">
        <f>IF($J1008="Y","",IF($F1008="BW",$I1008,$H1008*$I1008))</f>
        <v/>
      </c>
      <c r="L1008" s="26">
        <f>$D1008&amp;"|"&amp;$H1008</f>
        <v/>
      </c>
    </row>
    <row r="1009" ht="15" customHeight="1" s="22">
      <c r="A1009" s="36" t="n">
        <v>46304</v>
      </c>
      <c r="B1009" t="inlineStr">
        <is>
          <t>Fri</t>
        </is>
      </c>
      <c r="C1009" t="inlineStr">
        <is>
          <t>Push + Legs</t>
        </is>
      </c>
      <c r="D1009" t="inlineStr">
        <is>
          <t>Bench Press (Smith)</t>
        </is>
      </c>
      <c r="E1009" t="inlineStr">
        <is>
          <t>Smith</t>
        </is>
      </c>
      <c r="F1009" t="inlineStr">
        <is>
          <t>lbs</t>
        </is>
      </c>
      <c r="G1009" t="n">
        <v>5</v>
      </c>
      <c r="H1009" t="n">
        <v>100</v>
      </c>
      <c r="I1009" t="n">
        <v>8</v>
      </c>
      <c r="J1009" t="inlineStr">
        <is>
          <t>N</t>
        </is>
      </c>
      <c r="K1009" s="26">
        <f>IF($J1009="Y","",IF($F1009="BW",$I1009,$H1009*$I1009))</f>
        <v/>
      </c>
      <c r="L1009" s="26">
        <f>$D1009&amp;"|"&amp;$H1009</f>
        <v/>
      </c>
    </row>
    <row r="1010" ht="15" customHeight="1" s="22">
      <c r="A1010" s="36" t="n">
        <v>46304</v>
      </c>
      <c r="B1010" t="inlineStr">
        <is>
          <t>Fri</t>
        </is>
      </c>
      <c r="C1010" t="inlineStr">
        <is>
          <t>Push + Legs</t>
        </is>
      </c>
      <c r="D1010" t="inlineStr">
        <is>
          <t>Bench Press (Smith)</t>
        </is>
      </c>
      <c r="E1010" t="inlineStr">
        <is>
          <t>Smith</t>
        </is>
      </c>
      <c r="F1010" t="inlineStr">
        <is>
          <t>lbs</t>
        </is>
      </c>
      <c r="G1010" t="n">
        <v>6</v>
      </c>
      <c r="H1010" t="n">
        <v>100</v>
      </c>
      <c r="I1010" t="n">
        <v>8</v>
      </c>
      <c r="J1010" t="inlineStr">
        <is>
          <t>N</t>
        </is>
      </c>
      <c r="K1010" s="26">
        <f>IF($J1010="Y","",IF($F1010="BW",$I1010,$H1010*$I1010))</f>
        <v/>
      </c>
      <c r="L1010" s="26">
        <f>$D1010&amp;"|"&amp;$H1010</f>
        <v/>
      </c>
    </row>
    <row r="1011" ht="15" customHeight="1" s="22">
      <c r="A1011" s="36" t="n">
        <v>46304</v>
      </c>
      <c r="B1011" t="inlineStr">
        <is>
          <t>Fri</t>
        </is>
      </c>
      <c r="C1011" t="inlineStr">
        <is>
          <t>Push + Legs</t>
        </is>
      </c>
      <c r="D1011" t="inlineStr">
        <is>
          <t>Incline Bench (DB)</t>
        </is>
      </c>
      <c r="E1011" t="inlineStr">
        <is>
          <t>Dumbbell</t>
        </is>
      </c>
      <c r="F1011" t="inlineStr">
        <is>
          <t>lbs</t>
        </is>
      </c>
      <c r="G1011" t="n">
        <v>1</v>
      </c>
      <c r="H1011" t="n">
        <v>25</v>
      </c>
      <c r="I1011" t="n">
        <v>8</v>
      </c>
      <c r="J1011" t="inlineStr">
        <is>
          <t>Y</t>
        </is>
      </c>
      <c r="K1011" s="26">
        <f>IF($J1011="Y","",IF($F1011="BW",$I1011,$H1011*$I1011))</f>
        <v/>
      </c>
      <c r="L1011" s="26">
        <f>$D1011&amp;"|"&amp;$H1011</f>
        <v/>
      </c>
    </row>
    <row r="1012" ht="15" customHeight="1" s="22">
      <c r="A1012" s="36" t="n">
        <v>46304</v>
      </c>
      <c r="B1012" t="inlineStr">
        <is>
          <t>Fri</t>
        </is>
      </c>
      <c r="C1012" t="inlineStr">
        <is>
          <t>Push + Legs</t>
        </is>
      </c>
      <c r="D1012" t="inlineStr">
        <is>
          <t>Incline Bench (DB)</t>
        </is>
      </c>
      <c r="E1012" t="inlineStr">
        <is>
          <t>Dumbbell</t>
        </is>
      </c>
      <c r="F1012" t="inlineStr">
        <is>
          <t>lbs</t>
        </is>
      </c>
      <c r="G1012" t="n">
        <v>2</v>
      </c>
      <c r="H1012" t="n">
        <v>40</v>
      </c>
      <c r="I1012" t="n">
        <v>8</v>
      </c>
      <c r="J1012" t="inlineStr">
        <is>
          <t>N</t>
        </is>
      </c>
      <c r="K1012" s="26">
        <f>IF($J1012="Y","",IF($F1012="BW",$I1012,$H1012*$I1012))</f>
        <v/>
      </c>
      <c r="L1012" s="26">
        <f>$D1012&amp;"|"&amp;$H1012</f>
        <v/>
      </c>
    </row>
    <row r="1013" ht="15" customHeight="1" s="22">
      <c r="A1013" s="36" t="n">
        <v>46304</v>
      </c>
      <c r="B1013" t="inlineStr">
        <is>
          <t>Fri</t>
        </is>
      </c>
      <c r="C1013" t="inlineStr">
        <is>
          <t>Push + Legs</t>
        </is>
      </c>
      <c r="D1013" t="inlineStr">
        <is>
          <t>Incline Bench (DB)</t>
        </is>
      </c>
      <c r="E1013" t="inlineStr">
        <is>
          <t>Dumbbell</t>
        </is>
      </c>
      <c r="F1013" t="inlineStr">
        <is>
          <t>lbs</t>
        </is>
      </c>
      <c r="G1013" t="n">
        <v>3</v>
      </c>
      <c r="H1013" t="n">
        <v>40</v>
      </c>
      <c r="I1013" t="n">
        <v>8</v>
      </c>
      <c r="J1013" t="inlineStr">
        <is>
          <t>N</t>
        </is>
      </c>
      <c r="K1013" s="26">
        <f>IF($J1013="Y","",IF($F1013="BW",$I1013,$H1013*$I1013))</f>
        <v/>
      </c>
      <c r="L1013" s="26">
        <f>$D1013&amp;"|"&amp;$H1013</f>
        <v/>
      </c>
    </row>
    <row r="1014" ht="15" customHeight="1" s="22">
      <c r="A1014" s="36" t="n">
        <v>46304</v>
      </c>
      <c r="B1014" t="inlineStr">
        <is>
          <t>Fri</t>
        </is>
      </c>
      <c r="C1014" t="inlineStr">
        <is>
          <t>Push + Legs</t>
        </is>
      </c>
      <c r="D1014" t="inlineStr">
        <is>
          <t>Incline Bench (DB)</t>
        </is>
      </c>
      <c r="E1014" t="inlineStr">
        <is>
          <t>Dumbbell</t>
        </is>
      </c>
      <c r="F1014" t="inlineStr">
        <is>
          <t>lbs</t>
        </is>
      </c>
      <c r="G1014" t="n">
        <v>4</v>
      </c>
      <c r="H1014" t="n">
        <v>40</v>
      </c>
      <c r="I1014" t="n">
        <v>8</v>
      </c>
      <c r="J1014" t="inlineStr">
        <is>
          <t>N</t>
        </is>
      </c>
      <c r="K1014" s="26">
        <f>IF($J1014="Y","",IF($F1014="BW",$I1014,$H1014*$I1014))</f>
        <v/>
      </c>
      <c r="L1014" s="26">
        <f>$D1014&amp;"|"&amp;$H1014</f>
        <v/>
      </c>
    </row>
    <row r="1015" ht="15" customHeight="1" s="22">
      <c r="A1015" s="36" t="n">
        <v>46304</v>
      </c>
      <c r="B1015" t="inlineStr">
        <is>
          <t>Fri</t>
        </is>
      </c>
      <c r="C1015" t="inlineStr">
        <is>
          <t>Push + Legs</t>
        </is>
      </c>
      <c r="D1015" t="inlineStr">
        <is>
          <t>DB Flyes</t>
        </is>
      </c>
      <c r="E1015" t="inlineStr">
        <is>
          <t>Dumbbell</t>
        </is>
      </c>
      <c r="F1015" t="inlineStr">
        <is>
          <t>lbs</t>
        </is>
      </c>
      <c r="G1015" t="n">
        <v>1</v>
      </c>
      <c r="H1015" t="n">
        <v>10</v>
      </c>
      <c r="I1015" t="n">
        <v>8</v>
      </c>
      <c r="J1015" t="inlineStr">
        <is>
          <t>N</t>
        </is>
      </c>
      <c r="K1015" s="26">
        <f>IF($J1015="Y","",IF($F1015="BW",$I1015,$H1015*$I1015))</f>
        <v/>
      </c>
      <c r="L1015" s="26">
        <f>$D1015&amp;"|"&amp;$H1015</f>
        <v/>
      </c>
    </row>
    <row r="1016" ht="15" customHeight="1" s="22">
      <c r="A1016" s="36" t="n">
        <v>46304</v>
      </c>
      <c r="B1016" t="inlineStr">
        <is>
          <t>Fri</t>
        </is>
      </c>
      <c r="C1016" t="inlineStr">
        <is>
          <t>Push + Legs</t>
        </is>
      </c>
      <c r="D1016" t="inlineStr">
        <is>
          <t>DB Flyes</t>
        </is>
      </c>
      <c r="E1016" t="inlineStr">
        <is>
          <t>Dumbbell</t>
        </is>
      </c>
      <c r="F1016" t="inlineStr">
        <is>
          <t>lbs</t>
        </is>
      </c>
      <c r="G1016" t="n">
        <v>2</v>
      </c>
      <c r="H1016" t="n">
        <v>15</v>
      </c>
      <c r="I1016" t="n">
        <v>8</v>
      </c>
      <c r="J1016" t="inlineStr">
        <is>
          <t>N</t>
        </is>
      </c>
      <c r="K1016" s="26">
        <f>IF($J1016="Y","",IF($F1016="BW",$I1016,$H1016*$I1016))</f>
        <v/>
      </c>
      <c r="L1016" s="26">
        <f>$D1016&amp;"|"&amp;$H1016</f>
        <v/>
      </c>
    </row>
    <row r="1017" ht="15" customHeight="1" s="22">
      <c r="A1017" s="36" t="n">
        <v>46304</v>
      </c>
      <c r="B1017" t="inlineStr">
        <is>
          <t>Fri</t>
        </is>
      </c>
      <c r="C1017" t="inlineStr">
        <is>
          <t>Push + Legs</t>
        </is>
      </c>
      <c r="D1017" t="inlineStr">
        <is>
          <t>DB Flyes</t>
        </is>
      </c>
      <c r="E1017" t="inlineStr">
        <is>
          <t>Dumbbell</t>
        </is>
      </c>
      <c r="F1017" t="inlineStr">
        <is>
          <t>lbs</t>
        </is>
      </c>
      <c r="G1017" t="n">
        <v>3</v>
      </c>
      <c r="H1017" t="n">
        <v>15</v>
      </c>
      <c r="I1017" t="n">
        <v>8</v>
      </c>
      <c r="J1017" t="inlineStr">
        <is>
          <t>N</t>
        </is>
      </c>
      <c r="K1017" s="26">
        <f>IF($J1017="Y","",IF($F1017="BW",$I1017,$H1017*$I1017))</f>
        <v/>
      </c>
      <c r="L1017" s="26">
        <f>$D1017&amp;"|"&amp;$H1017</f>
        <v/>
      </c>
    </row>
    <row r="1018" ht="15" customHeight="1" s="22">
      <c r="A1018" s="36" t="n">
        <v>46304</v>
      </c>
      <c r="B1018" t="inlineStr">
        <is>
          <t>Fri</t>
        </is>
      </c>
      <c r="C1018" t="inlineStr">
        <is>
          <t>Push + Legs</t>
        </is>
      </c>
      <c r="D1018" t="inlineStr">
        <is>
          <t>Squats</t>
        </is>
      </c>
      <c r="E1018" t="inlineStr">
        <is>
          <t>Smith</t>
        </is>
      </c>
      <c r="F1018" t="inlineStr">
        <is>
          <t>lbs</t>
        </is>
      </c>
      <c r="G1018" t="n">
        <v>1</v>
      </c>
      <c r="H1018" t="n">
        <v>20</v>
      </c>
      <c r="I1018" t="n">
        <v>8</v>
      </c>
      <c r="J1018" t="inlineStr">
        <is>
          <t>Y</t>
        </is>
      </c>
      <c r="K1018" s="26">
        <f>IF($J1018="Y","",IF($F1018="BW",$I1018,$H1018*$I1018))</f>
        <v/>
      </c>
      <c r="L1018" s="26">
        <f>$D1018&amp;"|"&amp;$H1018</f>
        <v/>
      </c>
    </row>
    <row r="1019" ht="15" customHeight="1" s="22">
      <c r="A1019" s="36" t="n">
        <v>46304</v>
      </c>
      <c r="B1019" t="inlineStr">
        <is>
          <t>Fri</t>
        </is>
      </c>
      <c r="C1019" t="inlineStr">
        <is>
          <t>Push + Legs</t>
        </is>
      </c>
      <c r="D1019" t="inlineStr">
        <is>
          <t>Squats</t>
        </is>
      </c>
      <c r="E1019" t="inlineStr">
        <is>
          <t>Smith</t>
        </is>
      </c>
      <c r="F1019" t="inlineStr">
        <is>
          <t>lbs</t>
        </is>
      </c>
      <c r="G1019" t="n">
        <v>2</v>
      </c>
      <c r="H1019" t="n">
        <v>40</v>
      </c>
      <c r="I1019" t="n">
        <v>8</v>
      </c>
      <c r="J1019" t="inlineStr">
        <is>
          <t>N</t>
        </is>
      </c>
      <c r="K1019" s="26">
        <f>IF($J1019="Y","",IF($F1019="BW",$I1019,$H1019*$I1019))</f>
        <v/>
      </c>
      <c r="L1019" s="26">
        <f>$D1019&amp;"|"&amp;$H1019</f>
        <v/>
      </c>
    </row>
    <row r="1020" ht="15" customHeight="1" s="22">
      <c r="A1020" s="36" t="n">
        <v>46304</v>
      </c>
      <c r="B1020" t="inlineStr">
        <is>
          <t>Fri</t>
        </is>
      </c>
      <c r="C1020" t="inlineStr">
        <is>
          <t>Push + Legs</t>
        </is>
      </c>
      <c r="D1020" t="inlineStr">
        <is>
          <t>Squats</t>
        </is>
      </c>
      <c r="E1020" t="inlineStr">
        <is>
          <t>Smith</t>
        </is>
      </c>
      <c r="F1020" t="inlineStr">
        <is>
          <t>lbs</t>
        </is>
      </c>
      <c r="G1020" t="n">
        <v>3</v>
      </c>
      <c r="H1020" t="n">
        <v>40</v>
      </c>
      <c r="I1020" t="n">
        <v>8</v>
      </c>
      <c r="J1020" t="inlineStr">
        <is>
          <t>N</t>
        </is>
      </c>
      <c r="K1020" s="26">
        <f>IF($J1020="Y","",IF($F1020="BW",$I1020,$H1020*$I1020))</f>
        <v/>
      </c>
      <c r="L1020" s="26">
        <f>$D1020&amp;"|"&amp;$H1020</f>
        <v/>
      </c>
    </row>
    <row r="1021" ht="15" customHeight="1" s="22">
      <c r="A1021" s="36" t="n">
        <v>46304</v>
      </c>
      <c r="B1021" t="inlineStr">
        <is>
          <t>Fri</t>
        </is>
      </c>
      <c r="C1021" t="inlineStr">
        <is>
          <t>Push + Legs</t>
        </is>
      </c>
      <c r="D1021" t="inlineStr">
        <is>
          <t>Squats</t>
        </is>
      </c>
      <c r="E1021" t="inlineStr">
        <is>
          <t>Smith</t>
        </is>
      </c>
      <c r="F1021" t="inlineStr">
        <is>
          <t>lbs</t>
        </is>
      </c>
      <c r="G1021" t="n">
        <v>4</v>
      </c>
      <c r="H1021" t="n">
        <v>40</v>
      </c>
      <c r="I1021" t="n">
        <v>8</v>
      </c>
      <c r="J1021" t="inlineStr">
        <is>
          <t>N</t>
        </is>
      </c>
      <c r="K1021" s="26">
        <f>IF($J1021="Y","",IF($F1021="BW",$I1021,$H1021*$I1021))</f>
        <v/>
      </c>
      <c r="L1021" s="26">
        <f>$D1021&amp;"|"&amp;$H1021</f>
        <v/>
      </c>
    </row>
    <row r="1022" ht="15" customHeight="1" s="22">
      <c r="A1022" s="36" t="n">
        <v>46304</v>
      </c>
      <c r="B1022" t="inlineStr">
        <is>
          <t>Fri</t>
        </is>
      </c>
      <c r="C1022" t="inlineStr">
        <is>
          <t>Push + Legs</t>
        </is>
      </c>
      <c r="D1022" t="inlineStr">
        <is>
          <t>RDLs</t>
        </is>
      </c>
      <c r="E1022" t="inlineStr">
        <is>
          <t>Smith</t>
        </is>
      </c>
      <c r="F1022" t="inlineStr">
        <is>
          <t>lbs</t>
        </is>
      </c>
      <c r="G1022" t="n">
        <v>1</v>
      </c>
      <c r="H1022" t="n">
        <v>20</v>
      </c>
      <c r="I1022" t="n">
        <v>8</v>
      </c>
      <c r="J1022" t="inlineStr">
        <is>
          <t>Y</t>
        </is>
      </c>
      <c r="K1022" s="26">
        <f>IF($J1022="Y","",IF($F1022="BW",$I1022,$H1022*$I1022))</f>
        <v/>
      </c>
      <c r="L1022" s="26">
        <f>$D1022&amp;"|"&amp;$H1022</f>
        <v/>
      </c>
    </row>
    <row r="1023" ht="15" customHeight="1" s="22">
      <c r="A1023" s="36" t="n">
        <v>46304</v>
      </c>
      <c r="B1023" t="inlineStr">
        <is>
          <t>Fri</t>
        </is>
      </c>
      <c r="C1023" t="inlineStr">
        <is>
          <t>Push + Legs</t>
        </is>
      </c>
      <c r="D1023" t="inlineStr">
        <is>
          <t>RDLs</t>
        </is>
      </c>
      <c r="E1023" t="inlineStr">
        <is>
          <t>Smith</t>
        </is>
      </c>
      <c r="F1023" t="inlineStr">
        <is>
          <t>lbs</t>
        </is>
      </c>
      <c r="G1023" t="n">
        <v>2</v>
      </c>
      <c r="H1023" t="n">
        <v>50</v>
      </c>
      <c r="I1023" t="n">
        <v>8</v>
      </c>
      <c r="J1023" t="inlineStr">
        <is>
          <t>N</t>
        </is>
      </c>
      <c r="K1023" s="26">
        <f>IF($J1023="Y","",IF($F1023="BW",$I1023,$H1023*$I1023))</f>
        <v/>
      </c>
      <c r="L1023" s="26">
        <f>$D1023&amp;"|"&amp;$H1023</f>
        <v/>
      </c>
    </row>
    <row r="1024" ht="15" customHeight="1" s="22">
      <c r="A1024" s="36" t="n">
        <v>46304</v>
      </c>
      <c r="B1024" t="inlineStr">
        <is>
          <t>Fri</t>
        </is>
      </c>
      <c r="C1024" t="inlineStr">
        <is>
          <t>Push + Legs</t>
        </is>
      </c>
      <c r="D1024" t="inlineStr">
        <is>
          <t>RDLs</t>
        </is>
      </c>
      <c r="E1024" t="inlineStr">
        <is>
          <t>Smith</t>
        </is>
      </c>
      <c r="F1024" t="inlineStr">
        <is>
          <t>lbs</t>
        </is>
      </c>
      <c r="G1024" t="n">
        <v>3</v>
      </c>
      <c r="H1024" t="n">
        <v>60</v>
      </c>
      <c r="I1024" t="n">
        <v>8</v>
      </c>
      <c r="J1024" t="inlineStr">
        <is>
          <t>N</t>
        </is>
      </c>
      <c r="K1024" s="26">
        <f>IF($J1024="Y","",IF($F1024="BW",$I1024,$H1024*$I1024))</f>
        <v/>
      </c>
      <c r="L1024" s="26">
        <f>$D1024&amp;"|"&amp;$H1024</f>
        <v/>
      </c>
    </row>
    <row r="1025" ht="15" customHeight="1" s="22">
      <c r="A1025" s="36" t="n">
        <v>46304</v>
      </c>
      <c r="B1025" t="inlineStr">
        <is>
          <t>Fri</t>
        </is>
      </c>
      <c r="C1025" t="inlineStr">
        <is>
          <t>Push + Legs</t>
        </is>
      </c>
      <c r="D1025" t="inlineStr">
        <is>
          <t>RDLs</t>
        </is>
      </c>
      <c r="E1025" t="inlineStr">
        <is>
          <t>Smith</t>
        </is>
      </c>
      <c r="F1025" t="inlineStr">
        <is>
          <t>lbs</t>
        </is>
      </c>
      <c r="G1025" t="n">
        <v>4</v>
      </c>
      <c r="H1025" t="n">
        <v>60</v>
      </c>
      <c r="I1025" t="n">
        <v>8</v>
      </c>
      <c r="J1025" t="inlineStr">
        <is>
          <t>N</t>
        </is>
      </c>
      <c r="K1025" s="26">
        <f>IF($J1025="Y","",IF($F1025="BW",$I1025,$H1025*$I1025))</f>
        <v/>
      </c>
      <c r="L1025" s="26">
        <f>$D1025&amp;"|"&amp;$H1025</f>
        <v/>
      </c>
    </row>
    <row r="1026" ht="15" customHeight="1" s="22">
      <c r="A1026" s="36" t="n">
        <v>46304</v>
      </c>
      <c r="B1026" t="inlineStr">
        <is>
          <t>Fri</t>
        </is>
      </c>
      <c r="C1026" t="inlineStr">
        <is>
          <t>Push + Legs</t>
        </is>
      </c>
      <c r="D1026" t="inlineStr">
        <is>
          <t>RDLs</t>
        </is>
      </c>
      <c r="E1026" t="inlineStr">
        <is>
          <t>Smith</t>
        </is>
      </c>
      <c r="F1026" t="inlineStr">
        <is>
          <t>lbs</t>
        </is>
      </c>
      <c r="G1026" t="n">
        <v>5</v>
      </c>
      <c r="H1026" t="n">
        <v>60</v>
      </c>
      <c r="I1026" t="n">
        <v>8</v>
      </c>
      <c r="J1026" t="inlineStr">
        <is>
          <t>N</t>
        </is>
      </c>
      <c r="K1026" s="26">
        <f>IF($J1026="Y","",IF($F1026="BW",$I1026,$H1026*$I1026))</f>
        <v/>
      </c>
      <c r="L1026" s="26">
        <f>$D1026&amp;"|"&amp;$H1026</f>
        <v/>
      </c>
    </row>
    <row r="1027" ht="15" customHeight="1" s="22">
      <c r="K1027" s="26" t="n"/>
      <c r="L1027" s="26" t="n"/>
    </row>
    <row r="1028" ht="15" customHeight="1" s="22">
      <c r="K1028" s="26" t="n"/>
      <c r="L1028" s="26" t="n"/>
    </row>
    <row r="1029" ht="15" customHeight="1" s="22">
      <c r="K1029" s="26" t="n"/>
      <c r="L1029" s="26" t="n"/>
    </row>
    <row r="1030" ht="15" customHeight="1" s="22">
      <c r="K1030" s="26" t="n"/>
      <c r="L1030" s="26" t="n"/>
    </row>
    <row r="1031" ht="15" customHeight="1" s="22">
      <c r="K1031" s="26" t="n"/>
      <c r="L1031" s="26" t="n"/>
    </row>
    <row r="1032" ht="15" customHeight="1" s="22">
      <c r="K1032" s="26" t="n"/>
      <c r="L1032" s="26" t="n"/>
    </row>
    <row r="1033" ht="15" customHeight="1" s="22">
      <c r="K1033" s="26" t="n"/>
      <c r="L1033" s="26" t="n"/>
    </row>
    <row r="1034" ht="15" customHeight="1" s="22">
      <c r="K1034" s="26" t="n"/>
      <c r="L1034" s="26" t="n"/>
    </row>
    <row r="1035" ht="15" customHeight="1" s="22">
      <c r="K1035" s="26" t="n"/>
      <c r="L1035" s="26" t="n"/>
    </row>
    <row r="1036" ht="15" customHeight="1" s="22">
      <c r="K1036" s="26" t="n"/>
      <c r="L1036" s="26" t="n"/>
    </row>
    <row r="1037" ht="15" customHeight="1" s="22">
      <c r="K1037" s="26" t="n"/>
      <c r="L1037" s="26" t="n"/>
    </row>
    <row r="1038" ht="15" customHeight="1" s="22">
      <c r="K1038" s="26" t="n"/>
      <c r="L1038" s="26" t="n"/>
    </row>
    <row r="1039" ht="15" customHeight="1" s="22">
      <c r="K1039" s="26" t="n"/>
      <c r="L1039" s="26" t="n"/>
    </row>
    <row r="1040" ht="15" customHeight="1" s="22">
      <c r="K1040" s="26" t="n"/>
      <c r="L1040" s="26" t="n"/>
    </row>
    <row r="1041" ht="15" customHeight="1" s="22">
      <c r="K1041" s="26" t="n"/>
      <c r="L1041" s="26" t="n"/>
    </row>
    <row r="1042" ht="15" customHeight="1" s="22">
      <c r="K1042" s="26" t="n"/>
      <c r="L1042" s="26" t="n"/>
    </row>
    <row r="1043" ht="15" customHeight="1" s="22">
      <c r="K1043" s="26" t="n"/>
      <c r="L1043" s="26" t="n"/>
    </row>
    <row r="1044" ht="15" customHeight="1" s="22">
      <c r="K1044" s="26" t="n"/>
      <c r="L1044" s="26" t="n"/>
    </row>
    <row r="1045" ht="15" customHeight="1" s="22">
      <c r="K1045" s="26" t="n"/>
      <c r="L1045" s="26" t="n"/>
    </row>
    <row r="1046" ht="15" customHeight="1" s="22">
      <c r="K1046" s="26" t="n"/>
      <c r="L1046" s="26" t="n"/>
    </row>
    <row r="1047" ht="15" customHeight="1" s="22">
      <c r="K1047" s="26" t="n"/>
      <c r="L1047" s="26" t="n"/>
    </row>
    <row r="1048" ht="15" customHeight="1" s="22">
      <c r="K1048" s="26" t="n"/>
      <c r="L1048" s="26" t="n"/>
    </row>
    <row r="1049" ht="15" customHeight="1" s="22">
      <c r="K1049" s="26" t="n"/>
      <c r="L1049" s="26" t="n"/>
    </row>
    <row r="1050" ht="15" customHeight="1" s="22">
      <c r="K1050" s="26" t="n"/>
      <c r="L1050" s="26" t="n"/>
    </row>
    <row r="1051" ht="15" customHeight="1" s="22">
      <c r="K1051" s="26" t="n"/>
      <c r="L1051" s="26" t="n"/>
    </row>
    <row r="1052" ht="15" customHeight="1" s="22">
      <c r="K1052" s="26" t="n"/>
      <c r="L1052" s="26" t="n"/>
    </row>
    <row r="1053" ht="15" customHeight="1" s="22">
      <c r="K1053" s="26" t="n"/>
      <c r="L1053" s="26" t="n"/>
    </row>
    <row r="1054" ht="15" customHeight="1" s="22">
      <c r="K1054" s="26" t="n"/>
      <c r="L1054" s="26" t="n"/>
    </row>
    <row r="1055" ht="15" customHeight="1" s="22">
      <c r="K1055" s="26" t="n"/>
      <c r="L1055" s="26" t="n"/>
    </row>
    <row r="1056" ht="15" customHeight="1" s="22">
      <c r="K1056" s="26" t="n"/>
      <c r="L1056" s="26" t="n"/>
    </row>
    <row r="1057" ht="15" customHeight="1" s="22">
      <c r="K1057" s="26" t="n"/>
      <c r="L1057" s="26" t="n"/>
    </row>
    <row r="1058" ht="15" customHeight="1" s="22">
      <c r="K1058" s="26" t="n"/>
      <c r="L1058" s="26" t="n"/>
    </row>
    <row r="1059" ht="15" customHeight="1" s="22">
      <c r="K1059" s="26" t="n"/>
      <c r="L1059" s="26" t="n"/>
    </row>
    <row r="1060" ht="15" customHeight="1" s="22">
      <c r="K1060" s="26" t="n"/>
      <c r="L1060" s="26" t="n"/>
    </row>
    <row r="1061" ht="15" customHeight="1" s="22">
      <c r="K1061" s="26" t="n"/>
      <c r="L1061" s="26" t="n"/>
    </row>
    <row r="1062" ht="15" customHeight="1" s="22">
      <c r="K1062" s="26" t="n"/>
      <c r="L1062" s="26" t="n"/>
    </row>
    <row r="1063" ht="15" customHeight="1" s="22">
      <c r="K1063" s="26" t="n"/>
      <c r="L1063" s="26" t="n"/>
    </row>
    <row r="1064" ht="15" customHeight="1" s="22">
      <c r="K1064" s="26" t="n"/>
      <c r="L1064" s="26" t="n"/>
    </row>
    <row r="1065" ht="15" customHeight="1" s="22">
      <c r="K1065" s="26" t="n"/>
      <c r="L1065" s="26" t="n"/>
    </row>
    <row r="1066" ht="15" customHeight="1" s="22">
      <c r="K1066" s="26" t="n"/>
      <c r="L1066" s="26" t="n"/>
    </row>
    <row r="1067" ht="15" customHeight="1" s="22">
      <c r="K1067" s="26" t="n"/>
      <c r="L1067" s="26" t="n"/>
    </row>
    <row r="1068" ht="15" customHeight="1" s="22">
      <c r="K1068" s="26" t="n"/>
      <c r="L1068" s="26" t="n"/>
    </row>
    <row r="1069" ht="15" customHeight="1" s="22">
      <c r="K1069" s="26" t="n"/>
      <c r="L1069" s="26" t="n"/>
    </row>
    <row r="1070" ht="15" customHeight="1" s="22">
      <c r="K1070" s="26" t="n"/>
      <c r="L1070" s="26" t="n"/>
    </row>
    <row r="1071" ht="15" customHeight="1" s="22">
      <c r="K1071" s="26" t="n"/>
      <c r="L1071" s="26" t="n"/>
    </row>
    <row r="1072" ht="15" customHeight="1" s="22">
      <c r="K1072" s="26" t="n"/>
      <c r="L1072" s="26" t="n"/>
    </row>
    <row r="1073" ht="15" customHeight="1" s="22">
      <c r="K1073" s="26" t="n"/>
      <c r="L1073" s="26" t="n"/>
    </row>
    <row r="1074" ht="15" customHeight="1" s="22">
      <c r="K1074" s="26" t="n"/>
      <c r="L1074" s="26" t="n"/>
    </row>
    <row r="1075" ht="15" customHeight="1" s="22">
      <c r="K1075" s="26" t="n"/>
      <c r="L1075" s="26" t="n"/>
    </row>
    <row r="1076" ht="15" customHeight="1" s="22">
      <c r="K1076" s="26" t="n"/>
      <c r="L1076" s="26" t="n"/>
    </row>
    <row r="1077" ht="15" customHeight="1" s="22">
      <c r="K1077" s="26" t="n"/>
      <c r="L1077" s="26" t="n"/>
    </row>
    <row r="1078" ht="15" customHeight="1" s="22">
      <c r="K1078" s="26" t="n"/>
      <c r="L1078" s="26" t="n"/>
    </row>
    <row r="1079" ht="15" customHeight="1" s="22">
      <c r="K1079" s="26" t="n"/>
      <c r="L1079" s="26" t="n"/>
    </row>
    <row r="1080" ht="15" customHeight="1" s="22">
      <c r="K1080" s="26" t="n"/>
      <c r="L1080" s="26" t="n"/>
    </row>
    <row r="1081" ht="15" customHeight="1" s="22">
      <c r="K1081" s="26" t="n"/>
      <c r="L1081" s="26" t="n"/>
    </row>
    <row r="1082" ht="15" customHeight="1" s="22">
      <c r="K1082" s="26" t="n"/>
      <c r="L1082" s="26" t="n"/>
    </row>
    <row r="1083" ht="15" customHeight="1" s="22">
      <c r="K1083" s="26" t="n"/>
      <c r="L1083" s="26" t="n"/>
    </row>
    <row r="1084" ht="15" customHeight="1" s="22">
      <c r="K1084" s="26" t="n"/>
      <c r="L1084" s="26" t="n"/>
    </row>
    <row r="1085" ht="15" customHeight="1" s="22">
      <c r="K1085" s="26" t="n"/>
      <c r="L1085" s="26" t="n"/>
    </row>
    <row r="1086" ht="15" customHeight="1" s="22">
      <c r="K1086" s="26" t="n"/>
      <c r="L1086" s="26" t="n"/>
    </row>
    <row r="1087" ht="15" customHeight="1" s="22">
      <c r="K1087" s="26" t="n"/>
      <c r="L1087" s="26" t="n"/>
    </row>
    <row r="1088" ht="15" customHeight="1" s="22">
      <c r="K1088" s="26" t="n"/>
      <c r="L1088" s="26" t="n"/>
    </row>
    <row r="1089" ht="15" customHeight="1" s="22">
      <c r="K1089" s="26" t="n"/>
      <c r="L1089" s="26" t="n"/>
    </row>
    <row r="1090" ht="15" customHeight="1" s="22">
      <c r="K1090" s="26" t="n"/>
      <c r="L1090" s="26" t="n"/>
    </row>
    <row r="1091" ht="15" customHeight="1" s="22">
      <c r="K1091" s="26" t="n"/>
      <c r="L1091" s="26" t="n"/>
    </row>
    <row r="1092" ht="15" customHeight="1" s="22">
      <c r="K1092" s="26" t="n"/>
      <c r="L1092" s="26" t="n"/>
    </row>
    <row r="1093" ht="15" customHeight="1" s="22">
      <c r="K1093" s="26" t="n"/>
      <c r="L1093" s="26" t="n"/>
    </row>
    <row r="1094" ht="15" customHeight="1" s="22">
      <c r="K1094" s="26" t="n"/>
      <c r="L1094" s="26" t="n"/>
    </row>
    <row r="1095" ht="15" customHeight="1" s="22">
      <c r="K1095" s="26" t="n"/>
      <c r="L1095" s="26" t="n"/>
    </row>
    <row r="1096" ht="15" customHeight="1" s="22">
      <c r="K1096" s="26" t="n"/>
      <c r="L1096" s="26" t="n"/>
    </row>
    <row r="1097" ht="15" customHeight="1" s="22">
      <c r="K1097" s="26" t="n"/>
      <c r="L1097" s="26" t="n"/>
    </row>
    <row r="1098" ht="15" customHeight="1" s="22">
      <c r="K1098" s="26" t="n"/>
      <c r="L1098" s="26" t="n"/>
    </row>
    <row r="1099" ht="15" customHeight="1" s="22">
      <c r="K1099" s="26" t="n"/>
      <c r="L1099" s="26" t="n"/>
    </row>
    <row r="1100" ht="15" customHeight="1" s="22">
      <c r="K1100" s="26" t="n"/>
      <c r="L1100" s="26" t="n"/>
    </row>
    <row r="1101" ht="15" customHeight="1" s="22">
      <c r="K1101" s="26" t="n"/>
      <c r="L1101" s="26" t="n"/>
    </row>
    <row r="1102" ht="15" customHeight="1" s="22">
      <c r="K1102" s="26" t="n"/>
      <c r="L1102" s="26" t="n"/>
    </row>
    <row r="1103" ht="15" customHeight="1" s="22">
      <c r="K1103" s="26" t="n"/>
      <c r="L1103" s="26" t="n"/>
    </row>
    <row r="1104" ht="15" customHeight="1" s="22">
      <c r="K1104" s="26" t="n"/>
      <c r="L1104" s="26" t="n"/>
    </row>
    <row r="1105" ht="15" customHeight="1" s="22">
      <c r="K1105" s="26" t="n"/>
      <c r="L1105" s="26" t="n"/>
    </row>
    <row r="1106" ht="15" customHeight="1" s="22">
      <c r="K1106" s="26" t="n"/>
      <c r="L1106" s="26" t="n"/>
    </row>
    <row r="1107" ht="15" customHeight="1" s="22">
      <c r="K1107" s="26" t="n"/>
      <c r="L1107" s="26" t="n"/>
    </row>
    <row r="1108" ht="15" customHeight="1" s="22">
      <c r="K1108" s="26" t="n"/>
      <c r="L1108" s="26" t="n"/>
    </row>
    <row r="1109" ht="15" customHeight="1" s="22">
      <c r="K1109" s="26" t="n"/>
      <c r="L1109" s="26" t="n"/>
    </row>
    <row r="1110" ht="15" customHeight="1" s="22">
      <c r="K1110" s="26" t="n"/>
      <c r="L1110" s="26" t="n"/>
    </row>
    <row r="1111" ht="15" customHeight="1" s="22">
      <c r="K1111" s="26" t="n"/>
      <c r="L1111" s="26" t="n"/>
    </row>
    <row r="1112" ht="15" customHeight="1" s="22">
      <c r="K1112" s="26" t="n"/>
      <c r="L1112" s="26" t="n"/>
    </row>
    <row r="1113" ht="15" customHeight="1" s="22">
      <c r="K1113" s="26" t="n"/>
      <c r="L1113" s="26" t="n"/>
    </row>
    <row r="1114" ht="15" customHeight="1" s="22">
      <c r="K1114" s="26" t="n"/>
      <c r="L1114" s="26" t="n"/>
    </row>
    <row r="1115" ht="15" customHeight="1" s="22">
      <c r="K1115" s="26" t="n"/>
      <c r="L1115" s="26" t="n"/>
    </row>
    <row r="1116" ht="15" customHeight="1" s="22">
      <c r="K1116" s="26" t="n"/>
      <c r="L1116" s="26" t="n"/>
    </row>
    <row r="1117" ht="15" customHeight="1" s="22">
      <c r="K1117" s="26" t="n"/>
      <c r="L1117" s="26" t="n"/>
    </row>
    <row r="1118" ht="15" customHeight="1" s="22">
      <c r="K1118" s="26" t="n"/>
      <c r="L1118" s="26" t="n"/>
    </row>
    <row r="1119" ht="15" customHeight="1" s="22">
      <c r="K1119" s="26" t="n"/>
      <c r="L1119" s="26" t="n"/>
    </row>
    <row r="1120" ht="15" customHeight="1" s="22">
      <c r="K1120" s="26" t="n"/>
      <c r="L1120" s="26" t="n"/>
    </row>
    <row r="1121" ht="15" customHeight="1" s="22">
      <c r="K1121" s="26" t="n"/>
      <c r="L1121" s="26" t="n"/>
    </row>
    <row r="1122" ht="15" customHeight="1" s="22">
      <c r="K1122" s="26" t="n"/>
      <c r="L1122" s="26" t="n"/>
    </row>
    <row r="1123" ht="15" customHeight="1" s="22">
      <c r="K1123" s="26" t="n"/>
      <c r="L1123" s="26" t="n"/>
    </row>
    <row r="1124" ht="15" customHeight="1" s="22">
      <c r="K1124" s="26" t="n"/>
      <c r="L1124" s="26" t="n"/>
    </row>
    <row r="1125" ht="15" customHeight="1" s="22">
      <c r="K1125" s="26" t="n"/>
      <c r="L1125" s="26" t="n"/>
    </row>
    <row r="1126" ht="15" customHeight="1" s="22">
      <c r="K1126" s="26" t="n"/>
      <c r="L1126" s="26" t="n"/>
    </row>
    <row r="1127" ht="15" customHeight="1" s="22">
      <c r="K1127" s="26" t="n"/>
      <c r="L1127" s="26" t="n"/>
    </row>
    <row r="1128" ht="15" customHeight="1" s="22">
      <c r="K1128" s="26" t="n"/>
      <c r="L1128" s="26" t="n"/>
    </row>
    <row r="1129" ht="15" customHeight="1" s="22">
      <c r="K1129" s="26" t="n"/>
      <c r="L1129" s="26" t="n"/>
    </row>
    <row r="1130" ht="15" customHeight="1" s="22">
      <c r="K1130" s="26" t="n"/>
      <c r="L1130" s="26" t="n"/>
    </row>
    <row r="1131" ht="15" customHeight="1" s="22">
      <c r="K1131" s="26" t="n"/>
      <c r="L1131" s="26" t="n"/>
    </row>
    <row r="1132" ht="15" customHeight="1" s="22">
      <c r="K1132" s="26" t="n"/>
      <c r="L1132" s="26" t="n"/>
    </row>
    <row r="1133" ht="15" customHeight="1" s="22">
      <c r="K1133" s="26" t="n"/>
      <c r="L1133" s="26" t="n"/>
    </row>
    <row r="1134" ht="15" customHeight="1" s="22">
      <c r="K1134" s="26" t="n"/>
      <c r="L1134" s="26" t="n"/>
    </row>
    <row r="1135" ht="15" customHeight="1" s="22">
      <c r="K1135" s="26" t="n"/>
      <c r="L1135" s="26" t="n"/>
    </row>
    <row r="1136" ht="15" customHeight="1" s="22">
      <c r="K1136" s="26" t="n"/>
      <c r="L1136" s="26" t="n"/>
    </row>
    <row r="1137" ht="15" customHeight="1" s="22">
      <c r="K1137" s="26" t="n"/>
      <c r="L1137" s="26" t="n"/>
    </row>
    <row r="1138" ht="15" customHeight="1" s="22">
      <c r="K1138" s="26" t="n"/>
      <c r="L1138" s="26" t="n"/>
    </row>
    <row r="1139" ht="15" customHeight="1" s="22">
      <c r="K1139" s="26" t="n"/>
      <c r="L1139" s="26" t="n"/>
    </row>
    <row r="1140" ht="15" customHeight="1" s="22">
      <c r="K1140" s="26" t="n"/>
      <c r="L1140" s="26" t="n"/>
    </row>
    <row r="1141" ht="15" customHeight="1" s="22">
      <c r="K1141" s="26" t="n"/>
      <c r="L1141" s="26" t="n"/>
    </row>
    <row r="1142" ht="15" customHeight="1" s="22">
      <c r="K1142" s="26" t="n"/>
      <c r="L1142" s="26" t="n"/>
    </row>
    <row r="1143" ht="15" customHeight="1" s="22">
      <c r="K1143" s="26" t="n"/>
      <c r="L1143" s="26" t="n"/>
    </row>
    <row r="1144" ht="15" customHeight="1" s="22">
      <c r="K1144" s="26" t="n"/>
      <c r="L1144" s="26" t="n"/>
    </row>
    <row r="1145" ht="15" customHeight="1" s="22">
      <c r="K1145" s="26" t="n"/>
      <c r="L1145" s="26" t="n"/>
    </row>
    <row r="1146" ht="15" customHeight="1" s="22">
      <c r="K1146" s="26" t="n"/>
      <c r="L1146" s="26" t="n"/>
    </row>
    <row r="1147" ht="15" customHeight="1" s="22">
      <c r="K1147" s="26" t="n"/>
      <c r="L1147" s="26" t="n"/>
    </row>
    <row r="1148" ht="15" customHeight="1" s="22">
      <c r="K1148" s="26" t="n"/>
      <c r="L1148" s="26" t="n"/>
    </row>
    <row r="1149" ht="15" customHeight="1" s="22">
      <c r="K1149" s="26" t="n"/>
      <c r="L1149" s="26" t="n"/>
    </row>
    <row r="1150" ht="15" customHeight="1" s="22">
      <c r="K1150" s="26" t="n"/>
      <c r="L1150" s="26" t="n"/>
    </row>
    <row r="1151" ht="15" customHeight="1" s="22">
      <c r="K1151" s="26" t="n"/>
      <c r="L1151" s="26" t="n"/>
    </row>
    <row r="1152" ht="15" customHeight="1" s="22">
      <c r="K1152" s="26" t="n"/>
      <c r="L1152" s="26" t="n"/>
    </row>
    <row r="1153" ht="15" customHeight="1" s="22">
      <c r="K1153" s="26" t="n"/>
      <c r="L1153" s="26" t="n"/>
    </row>
    <row r="1154" ht="15" customHeight="1" s="22">
      <c r="K1154" s="26" t="n"/>
      <c r="L1154" s="26" t="n"/>
    </row>
    <row r="1155" ht="15" customHeight="1" s="22">
      <c r="K1155" s="26" t="n"/>
      <c r="L1155" s="26" t="n"/>
    </row>
    <row r="1156" ht="15" customHeight="1" s="22">
      <c r="K1156" s="26" t="n"/>
      <c r="L1156" s="26" t="n"/>
    </row>
    <row r="1157" ht="15" customHeight="1" s="22">
      <c r="K1157" s="26" t="n"/>
      <c r="L1157" s="26" t="n"/>
    </row>
    <row r="1158" ht="15" customHeight="1" s="22">
      <c r="K1158" s="26" t="n"/>
      <c r="L1158" s="26" t="n"/>
    </row>
    <row r="1159" ht="15" customHeight="1" s="22">
      <c r="K1159" s="26" t="n"/>
      <c r="L1159" s="26" t="n"/>
    </row>
    <row r="1160" ht="15" customHeight="1" s="22">
      <c r="K1160" s="26" t="n"/>
      <c r="L1160" s="26" t="n"/>
    </row>
    <row r="1161" ht="15" customHeight="1" s="22">
      <c r="K1161" s="26" t="n"/>
      <c r="L1161" s="26" t="n"/>
    </row>
    <row r="1162" ht="15" customHeight="1" s="22">
      <c r="K1162" s="26" t="n"/>
      <c r="L1162" s="26" t="n"/>
    </row>
    <row r="1163" ht="15" customHeight="1" s="22">
      <c r="K1163" s="26" t="n"/>
      <c r="L1163" s="26" t="n"/>
    </row>
    <row r="1164" ht="15" customHeight="1" s="22">
      <c r="K1164" s="26" t="n"/>
      <c r="L1164" s="26" t="n"/>
    </row>
    <row r="1165" ht="15" customHeight="1" s="22">
      <c r="K1165" s="26" t="n"/>
      <c r="L1165" s="26" t="n"/>
    </row>
    <row r="1166" ht="15" customHeight="1" s="22">
      <c r="K1166" s="26" t="n"/>
      <c r="L1166" s="26" t="n"/>
    </row>
    <row r="1167" ht="15" customHeight="1" s="22">
      <c r="K1167" s="26" t="n"/>
      <c r="L1167" s="26" t="n"/>
    </row>
    <row r="1168" ht="15" customHeight="1" s="22">
      <c r="K1168" s="26" t="n"/>
      <c r="L1168" s="26" t="n"/>
    </row>
    <row r="1169" ht="15" customHeight="1" s="22">
      <c r="K1169" s="26" t="n"/>
      <c r="L1169" s="26" t="n"/>
    </row>
    <row r="1170" ht="15" customHeight="1" s="22">
      <c r="K1170" s="26" t="n"/>
      <c r="L1170" s="26" t="n"/>
    </row>
    <row r="1171" ht="15" customHeight="1" s="22">
      <c r="K1171" s="26" t="n"/>
      <c r="L1171" s="26" t="n"/>
    </row>
    <row r="1172" ht="15" customHeight="1" s="22">
      <c r="K1172" s="26" t="n"/>
      <c r="L1172" s="26" t="n"/>
    </row>
    <row r="1173" ht="15" customHeight="1" s="22">
      <c r="K1173" s="26" t="n"/>
      <c r="L1173" s="26" t="n"/>
    </row>
    <row r="1174" ht="15" customHeight="1" s="22">
      <c r="K1174" s="26" t="n"/>
      <c r="L1174" s="26" t="n"/>
    </row>
    <row r="1175" ht="15" customHeight="1" s="22">
      <c r="K1175" s="26" t="n"/>
      <c r="L1175" s="26" t="n"/>
    </row>
    <row r="1176" ht="15" customHeight="1" s="22">
      <c r="K1176" s="26" t="n"/>
      <c r="L1176" s="26" t="n"/>
    </row>
    <row r="1177" ht="15" customHeight="1" s="22">
      <c r="K1177" s="26" t="n"/>
      <c r="L1177" s="26" t="n"/>
    </row>
    <row r="1178" ht="15" customHeight="1" s="22">
      <c r="K1178" s="26" t="n"/>
      <c r="L1178" s="26" t="n"/>
    </row>
    <row r="1179" ht="15" customHeight="1" s="22">
      <c r="K1179" s="26" t="n"/>
      <c r="L1179" s="26" t="n"/>
    </row>
    <row r="1180" ht="15" customHeight="1" s="22">
      <c r="K1180" s="26" t="n"/>
      <c r="L1180" s="26" t="n"/>
    </row>
    <row r="1181" ht="15" customHeight="1" s="22">
      <c r="K1181" s="26" t="n"/>
      <c r="L1181" s="26" t="n"/>
    </row>
    <row r="1182" ht="15" customHeight="1" s="22">
      <c r="K1182" s="26" t="n"/>
      <c r="L1182" s="26" t="n"/>
    </row>
    <row r="1183" ht="15" customHeight="1" s="22">
      <c r="K1183" s="26" t="n"/>
      <c r="L1183" s="26" t="n"/>
    </row>
    <row r="1184" ht="15" customHeight="1" s="22">
      <c r="K1184" s="26" t="n"/>
      <c r="L1184" s="26" t="n"/>
    </row>
    <row r="1185" ht="15" customHeight="1" s="22">
      <c r="K1185" s="26" t="n"/>
      <c r="L1185" s="26" t="n"/>
    </row>
    <row r="1186" ht="15" customHeight="1" s="22">
      <c r="K1186" s="26" t="n"/>
      <c r="L1186" s="26" t="n"/>
    </row>
    <row r="1187" ht="15" customHeight="1" s="22">
      <c r="K1187" s="26" t="n"/>
      <c r="L1187" s="26" t="n"/>
    </row>
    <row r="1188" ht="15" customHeight="1" s="22">
      <c r="K1188" s="26" t="n"/>
      <c r="L1188" s="26" t="n"/>
    </row>
    <row r="1189" ht="15" customHeight="1" s="22">
      <c r="K1189" s="26" t="n"/>
      <c r="L1189" s="26" t="n"/>
    </row>
    <row r="1190" ht="15" customHeight="1" s="22">
      <c r="K1190" s="26" t="n"/>
      <c r="L1190" s="26" t="n"/>
    </row>
    <row r="1191" ht="15" customHeight="1" s="22">
      <c r="K1191" s="26" t="n"/>
      <c r="L1191" s="26" t="n"/>
    </row>
    <row r="1192" ht="15" customHeight="1" s="22">
      <c r="K1192" s="26" t="n"/>
      <c r="L1192" s="26" t="n"/>
    </row>
    <row r="1193" ht="15" customHeight="1" s="22">
      <c r="K1193" s="26" t="n"/>
      <c r="L1193" s="26" t="n"/>
    </row>
    <row r="1194" ht="15" customHeight="1" s="22">
      <c r="K1194" s="26" t="n"/>
      <c r="L1194" s="26" t="n"/>
    </row>
    <row r="1195" ht="15" customHeight="1" s="22">
      <c r="K1195" s="26" t="n"/>
      <c r="L1195" s="26" t="n"/>
    </row>
    <row r="1196" ht="15" customHeight="1" s="22">
      <c r="K1196" s="26" t="n"/>
      <c r="L1196" s="26" t="n"/>
    </row>
    <row r="1197" ht="15" customHeight="1" s="22">
      <c r="K1197" s="26" t="n"/>
      <c r="L1197" s="26" t="n"/>
    </row>
    <row r="1198" ht="15" customHeight="1" s="22">
      <c r="K1198" s="26" t="n"/>
      <c r="L1198" s="26" t="n"/>
    </row>
    <row r="1199" ht="15" customHeight="1" s="22">
      <c r="K1199" s="26" t="n"/>
      <c r="L1199" s="26" t="n"/>
    </row>
    <row r="1200" ht="15" customHeight="1" s="22">
      <c r="K1200" s="26" t="n"/>
      <c r="L1200" s="26" t="n"/>
    </row>
    <row r="1201" ht="15" customHeight="1" s="22">
      <c r="K1201" s="26" t="n"/>
      <c r="L1201" s="26" t="n"/>
    </row>
    <row r="1202" ht="15" customHeight="1" s="22">
      <c r="K1202" s="26" t="n"/>
      <c r="L1202" s="26" t="n"/>
    </row>
    <row r="1203" ht="15" customHeight="1" s="22">
      <c r="K1203" s="26" t="n"/>
      <c r="L1203" s="26" t="n"/>
    </row>
    <row r="1204" ht="15" customHeight="1" s="22">
      <c r="K1204" s="26" t="n"/>
      <c r="L1204" s="26" t="n"/>
    </row>
    <row r="1205" ht="15" customHeight="1" s="22">
      <c r="K1205" s="26" t="n"/>
      <c r="L1205" s="26" t="n"/>
    </row>
    <row r="1206" ht="15" customHeight="1" s="22">
      <c r="K1206" s="26" t="n"/>
      <c r="L1206" s="26" t="n"/>
    </row>
    <row r="1207" ht="15" customHeight="1" s="22">
      <c r="K1207" s="26" t="n"/>
      <c r="L1207" s="26" t="n"/>
    </row>
    <row r="1208" ht="15" customHeight="1" s="22">
      <c r="K1208" s="26" t="n"/>
      <c r="L1208" s="26" t="n"/>
    </row>
    <row r="1209" ht="15" customHeight="1" s="22">
      <c r="K1209" s="26" t="n"/>
      <c r="L1209" s="26" t="n"/>
    </row>
    <row r="1210" ht="15" customHeight="1" s="22">
      <c r="K1210" s="26" t="n"/>
      <c r="L1210" s="26" t="n"/>
    </row>
    <row r="1211" ht="15" customHeight="1" s="22">
      <c r="K1211" s="26" t="n"/>
      <c r="L1211" s="26" t="n"/>
    </row>
    <row r="1212" ht="15" customHeight="1" s="22">
      <c r="K1212" s="26" t="n"/>
      <c r="L1212" s="26" t="n"/>
    </row>
    <row r="1213" ht="15" customHeight="1" s="22">
      <c r="K1213" s="26" t="n"/>
      <c r="L1213" s="26" t="n"/>
    </row>
    <row r="1214" ht="15" customHeight="1" s="22">
      <c r="K1214" s="26" t="n"/>
      <c r="L1214" s="26" t="n"/>
    </row>
    <row r="1215" ht="15" customHeight="1" s="22">
      <c r="K1215" s="26" t="n"/>
      <c r="L1215" s="26" t="n"/>
    </row>
    <row r="1216" ht="15" customHeight="1" s="22">
      <c r="K1216" s="26" t="n"/>
      <c r="L1216" s="26" t="n"/>
    </row>
    <row r="1217" ht="15" customHeight="1" s="22">
      <c r="K1217" s="26" t="n"/>
      <c r="L1217" s="26" t="n"/>
    </row>
    <row r="1218" ht="15" customHeight="1" s="22">
      <c r="K1218" s="26" t="n"/>
      <c r="L1218" s="26" t="n"/>
    </row>
    <row r="1219" ht="15" customHeight="1" s="22">
      <c r="K1219" s="26" t="n"/>
      <c r="L1219" s="26" t="n"/>
    </row>
    <row r="1220" ht="15" customHeight="1" s="22">
      <c r="K1220" s="26" t="n"/>
      <c r="L1220" s="26" t="n"/>
    </row>
    <row r="1221" ht="15" customHeight="1" s="22">
      <c r="K1221" s="26" t="n"/>
      <c r="L1221" s="26" t="n"/>
    </row>
    <row r="1222" ht="15" customHeight="1" s="22">
      <c r="K1222" s="26" t="n"/>
      <c r="L1222" s="26" t="n"/>
    </row>
    <row r="1223" ht="15" customHeight="1" s="22">
      <c r="K1223" s="26" t="n"/>
      <c r="L1223" s="26" t="n"/>
    </row>
    <row r="1224" ht="15" customHeight="1" s="22">
      <c r="K1224" s="26" t="n"/>
      <c r="L1224" s="26" t="n"/>
    </row>
    <row r="1225" ht="15" customHeight="1" s="22">
      <c r="K1225" s="26" t="n"/>
      <c r="L1225" s="26" t="n"/>
    </row>
    <row r="1226" ht="15" customHeight="1" s="22">
      <c r="K1226" s="26" t="n"/>
      <c r="L1226" s="26" t="n"/>
    </row>
    <row r="1227" ht="15" customHeight="1" s="22">
      <c r="K1227" s="26" t="n"/>
      <c r="L1227" s="26" t="n"/>
    </row>
    <row r="1228" ht="15" customHeight="1" s="22">
      <c r="K1228" s="26" t="n"/>
      <c r="L1228" s="26" t="n"/>
    </row>
    <row r="1229" ht="15" customHeight="1" s="22">
      <c r="K1229" s="26" t="n"/>
      <c r="L1229" s="26" t="n"/>
    </row>
    <row r="1230" ht="15" customHeight="1" s="22">
      <c r="K1230" s="26" t="n"/>
      <c r="L1230" s="26" t="n"/>
    </row>
    <row r="1231" ht="15" customHeight="1" s="22">
      <c r="K1231" s="26" t="n"/>
      <c r="L1231" s="26" t="n"/>
    </row>
    <row r="1232" ht="15" customHeight="1" s="22">
      <c r="K1232" s="26" t="n"/>
      <c r="L1232" s="26" t="n"/>
    </row>
    <row r="1233" ht="15" customHeight="1" s="22">
      <c r="K1233" s="26" t="n"/>
      <c r="L1233" s="26" t="n"/>
    </row>
    <row r="1234" ht="15" customHeight="1" s="22">
      <c r="K1234" s="26" t="n"/>
      <c r="L1234" s="26" t="n"/>
    </row>
    <row r="1235" ht="15" customHeight="1" s="22">
      <c r="K1235" s="26" t="n"/>
      <c r="L1235" s="26" t="n"/>
    </row>
    <row r="1236" ht="15" customHeight="1" s="22">
      <c r="K1236" s="26" t="n"/>
      <c r="L1236" s="26" t="n"/>
    </row>
    <row r="1237" ht="15" customHeight="1" s="22">
      <c r="K1237" s="26" t="n"/>
      <c r="L1237" s="26" t="n"/>
    </row>
    <row r="1238" ht="15" customHeight="1" s="22">
      <c r="K1238" s="26" t="n"/>
      <c r="L1238" s="26" t="n"/>
    </row>
    <row r="1239" ht="15" customHeight="1" s="22">
      <c r="K1239" s="26" t="n"/>
      <c r="L1239" s="26" t="n"/>
    </row>
    <row r="1240" ht="15" customHeight="1" s="22">
      <c r="K1240" s="26" t="n"/>
      <c r="L1240" s="26" t="n"/>
    </row>
    <row r="1241" ht="15" customHeight="1" s="22">
      <c r="K1241" s="26" t="n"/>
      <c r="L1241" s="26" t="n"/>
    </row>
    <row r="1242" ht="15" customHeight="1" s="22">
      <c r="K1242" s="26" t="n"/>
      <c r="L1242" s="26" t="n"/>
    </row>
    <row r="1243" ht="15" customHeight="1" s="22">
      <c r="K1243" s="26" t="n"/>
      <c r="L1243" s="26" t="n"/>
    </row>
    <row r="1244" ht="15" customHeight="1" s="22">
      <c r="K1244" s="26" t="n"/>
      <c r="L1244" s="26" t="n"/>
    </row>
    <row r="1245" ht="15" customHeight="1" s="22">
      <c r="K1245" s="26" t="n"/>
      <c r="L1245" s="26" t="n"/>
    </row>
    <row r="1246" ht="15" customHeight="1" s="22">
      <c r="K1246" s="26" t="n"/>
      <c r="L1246" s="26" t="n"/>
    </row>
    <row r="1247" ht="15" customHeight="1" s="22">
      <c r="K1247" s="26" t="n"/>
      <c r="L1247" s="26" t="n"/>
    </row>
    <row r="1248" ht="15" customHeight="1" s="22">
      <c r="K1248" s="26" t="n"/>
      <c r="L1248" s="26" t="n"/>
    </row>
    <row r="1249" ht="15" customHeight="1" s="22">
      <c r="K1249" s="26" t="n"/>
      <c r="L1249" s="26" t="n"/>
    </row>
    <row r="1250" ht="15" customHeight="1" s="22">
      <c r="K1250" s="26" t="n"/>
      <c r="L1250" s="26" t="n"/>
    </row>
    <row r="1251" ht="15" customHeight="1" s="22">
      <c r="K1251" s="26" t="n"/>
      <c r="L1251" s="26" t="n"/>
    </row>
    <row r="1252" ht="15" customHeight="1" s="22">
      <c r="K1252" s="26" t="n"/>
      <c r="L1252" s="26" t="n"/>
    </row>
    <row r="1253" ht="15" customHeight="1" s="22">
      <c r="K1253" s="26" t="n"/>
      <c r="L1253" s="26" t="n"/>
    </row>
    <row r="1254" ht="15" customHeight="1" s="22">
      <c r="K1254" s="26" t="n"/>
      <c r="L1254" s="26" t="n"/>
    </row>
    <row r="1255" ht="15" customHeight="1" s="22">
      <c r="K1255" s="26" t="n"/>
      <c r="L1255" s="26" t="n"/>
    </row>
    <row r="1256" ht="15" customHeight="1" s="22">
      <c r="K1256" s="26" t="n"/>
      <c r="L1256" s="26" t="n"/>
    </row>
    <row r="1257" ht="15" customHeight="1" s="22">
      <c r="K1257" s="26" t="n"/>
      <c r="L1257" s="26" t="n"/>
    </row>
    <row r="1258" ht="15" customHeight="1" s="22">
      <c r="K1258" s="26" t="n"/>
      <c r="L1258" s="26" t="n"/>
    </row>
    <row r="1259" ht="15" customHeight="1" s="22">
      <c r="K1259" s="26" t="n"/>
      <c r="L1259" s="26" t="n"/>
    </row>
    <row r="1260" ht="15" customHeight="1" s="22">
      <c r="K1260" s="26" t="n"/>
      <c r="L1260" s="26" t="n"/>
    </row>
    <row r="1261" ht="15" customHeight="1" s="22">
      <c r="K1261" s="26" t="n"/>
      <c r="L1261" s="26" t="n"/>
    </row>
    <row r="1262" ht="15" customHeight="1" s="22">
      <c r="K1262" s="26" t="n"/>
      <c r="L1262" s="26" t="n"/>
    </row>
    <row r="1263" ht="15" customHeight="1" s="22">
      <c r="K1263" s="26" t="n"/>
      <c r="L1263" s="26" t="n"/>
    </row>
    <row r="1264" ht="15" customHeight="1" s="22">
      <c r="K1264" s="26" t="n"/>
      <c r="L1264" s="26" t="n"/>
    </row>
    <row r="1265" ht="15" customHeight="1" s="22">
      <c r="K1265" s="26" t="n"/>
      <c r="L1265" s="26" t="n"/>
    </row>
    <row r="1266" ht="15" customHeight="1" s="22">
      <c r="K1266" s="26" t="n"/>
      <c r="L1266" s="26" t="n"/>
    </row>
    <row r="1267" ht="15" customHeight="1" s="22">
      <c r="K1267" s="26" t="n"/>
      <c r="L1267" s="26" t="n"/>
    </row>
    <row r="1268" ht="15" customHeight="1" s="22">
      <c r="K1268" s="26" t="n"/>
      <c r="L1268" s="26" t="n"/>
    </row>
    <row r="1269" ht="15" customHeight="1" s="22">
      <c r="K1269" s="26" t="n"/>
      <c r="L1269" s="26" t="n"/>
    </row>
    <row r="1270" ht="15" customHeight="1" s="22">
      <c r="K1270" s="26" t="n"/>
      <c r="L1270" s="26" t="n"/>
    </row>
    <row r="1271" ht="15" customHeight="1" s="22">
      <c r="K1271" s="26" t="n"/>
      <c r="L1271" s="26" t="n"/>
    </row>
    <row r="1272" ht="15" customHeight="1" s="22">
      <c r="K1272" s="26" t="n"/>
      <c r="L1272" s="26" t="n"/>
    </row>
    <row r="1273" ht="15" customHeight="1" s="22">
      <c r="K1273" s="26" t="n"/>
      <c r="L1273" s="26" t="n"/>
    </row>
    <row r="1274" ht="15" customHeight="1" s="22">
      <c r="K1274" s="26" t="n"/>
      <c r="L1274" s="26" t="n"/>
    </row>
    <row r="1275" ht="15" customHeight="1" s="22">
      <c r="K1275" s="26" t="n"/>
      <c r="L1275" s="26" t="n"/>
    </row>
    <row r="1276" ht="15" customHeight="1" s="22">
      <c r="K1276" s="26" t="n"/>
      <c r="L1276" s="26" t="n"/>
    </row>
    <row r="1277" ht="15" customHeight="1" s="22">
      <c r="K1277" s="26" t="n"/>
      <c r="L1277" s="26" t="n"/>
    </row>
    <row r="1278" ht="15" customHeight="1" s="22">
      <c r="K1278" s="26" t="n"/>
      <c r="L1278" s="26" t="n"/>
    </row>
    <row r="1279" ht="15" customHeight="1" s="22">
      <c r="K1279" s="26" t="n"/>
      <c r="L1279" s="26" t="n"/>
    </row>
    <row r="1280" ht="15" customHeight="1" s="22">
      <c r="K1280" s="26" t="n"/>
      <c r="L1280" s="26" t="n"/>
    </row>
    <row r="1281" ht="15" customHeight="1" s="22">
      <c r="K1281" s="26" t="n"/>
      <c r="L1281" s="26" t="n"/>
    </row>
    <row r="1282" ht="15" customHeight="1" s="22">
      <c r="K1282" s="26" t="n"/>
      <c r="L1282" s="26" t="n"/>
    </row>
    <row r="1283" ht="15" customHeight="1" s="22">
      <c r="K1283" s="26" t="n"/>
      <c r="L1283" s="26" t="n"/>
    </row>
    <row r="1284" ht="15" customHeight="1" s="22">
      <c r="K1284" s="26" t="n"/>
      <c r="L1284" s="26" t="n"/>
    </row>
    <row r="1285" ht="15" customHeight="1" s="22">
      <c r="K1285" s="26" t="n"/>
      <c r="L1285" s="26" t="n"/>
    </row>
    <row r="1286" ht="15" customHeight="1" s="22">
      <c r="K1286" s="26" t="n"/>
      <c r="L1286" s="26" t="n"/>
    </row>
    <row r="1287" ht="15" customHeight="1" s="22">
      <c r="K1287" s="26" t="n"/>
      <c r="L1287" s="26" t="n"/>
    </row>
    <row r="1288" ht="15" customHeight="1" s="22">
      <c r="K1288" s="26" t="n"/>
      <c r="L1288" s="26" t="n"/>
    </row>
    <row r="1289" ht="15" customHeight="1" s="22">
      <c r="K1289" s="26" t="n"/>
      <c r="L1289" s="26" t="n"/>
    </row>
    <row r="1290" ht="15" customHeight="1" s="22">
      <c r="K1290" s="26" t="n"/>
      <c r="L1290" s="26" t="n"/>
    </row>
    <row r="1291" ht="15" customHeight="1" s="22">
      <c r="K1291" s="26" t="n"/>
      <c r="L1291" s="26" t="n"/>
    </row>
    <row r="1292" ht="15" customHeight="1" s="22">
      <c r="K1292" s="26" t="n"/>
      <c r="L1292" s="26" t="n"/>
    </row>
    <row r="1293" ht="15" customHeight="1" s="22">
      <c r="K1293" s="26" t="n"/>
      <c r="L1293" s="26" t="n"/>
    </row>
    <row r="1294" ht="15" customHeight="1" s="22">
      <c r="K1294" s="26" t="n"/>
      <c r="L1294" s="26" t="n"/>
    </row>
    <row r="1295" ht="15" customHeight="1" s="22">
      <c r="K1295" s="26" t="n"/>
      <c r="L1295" s="26" t="n"/>
    </row>
    <row r="1296" ht="15" customHeight="1" s="22">
      <c r="K1296" s="26" t="n"/>
      <c r="L1296" s="26" t="n"/>
    </row>
    <row r="1297" ht="15" customHeight="1" s="22">
      <c r="K1297" s="26" t="n"/>
      <c r="L1297" s="26" t="n"/>
    </row>
    <row r="1298" ht="15" customHeight="1" s="22">
      <c r="K1298" s="26" t="n"/>
      <c r="L1298" s="26" t="n"/>
    </row>
    <row r="1299" ht="15" customHeight="1" s="22">
      <c r="K1299" s="26" t="n"/>
      <c r="L1299" s="26" t="n"/>
    </row>
    <row r="1300" ht="15" customHeight="1" s="22">
      <c r="K1300" s="26" t="n"/>
      <c r="L1300" s="26" t="n"/>
    </row>
    <row r="1301" ht="15" customHeight="1" s="22">
      <c r="K1301" s="26" t="n"/>
      <c r="L1301" s="26" t="n"/>
    </row>
    <row r="1302" ht="15" customHeight="1" s="22">
      <c r="K1302" s="26" t="n"/>
      <c r="L1302" s="26" t="n"/>
    </row>
    <row r="1303" ht="15" customHeight="1" s="22">
      <c r="K1303" s="26" t="n"/>
      <c r="L1303" s="26" t="n"/>
    </row>
    <row r="1304" ht="15" customHeight="1" s="22">
      <c r="K1304" s="26" t="n"/>
      <c r="L1304" s="26" t="n"/>
    </row>
    <row r="1305" ht="15" customHeight="1" s="22">
      <c r="K1305" s="26" t="n"/>
      <c r="L1305" s="26" t="n"/>
    </row>
    <row r="1306" ht="15" customHeight="1" s="22">
      <c r="K1306" s="26" t="n"/>
      <c r="L1306" s="26" t="n"/>
    </row>
    <row r="1307" ht="15" customHeight="1" s="22">
      <c r="K1307" s="26" t="n"/>
      <c r="L1307" s="26" t="n"/>
    </row>
    <row r="1308" ht="15" customHeight="1" s="22">
      <c r="K1308" s="26" t="n"/>
      <c r="L1308" s="26" t="n"/>
    </row>
    <row r="1309" ht="15" customHeight="1" s="22">
      <c r="K1309" s="26" t="n"/>
      <c r="L1309" s="26" t="n"/>
    </row>
    <row r="1310" ht="15" customHeight="1" s="22">
      <c r="K1310" s="26" t="n"/>
      <c r="L1310" s="26" t="n"/>
    </row>
    <row r="1311" ht="15" customHeight="1" s="22">
      <c r="K1311" s="26" t="n"/>
      <c r="L1311" s="26" t="n"/>
    </row>
    <row r="1312" ht="15" customHeight="1" s="22">
      <c r="K1312" s="26" t="n"/>
      <c r="L1312" s="26" t="n"/>
    </row>
    <row r="1313" ht="15" customHeight="1" s="22">
      <c r="K1313" s="26" t="n"/>
      <c r="L1313" s="26" t="n"/>
    </row>
    <row r="1314" ht="15" customHeight="1" s="22">
      <c r="K1314" s="26" t="n"/>
      <c r="L1314" s="26" t="n"/>
    </row>
    <row r="1315" ht="15" customHeight="1" s="22">
      <c r="K1315" s="26" t="n"/>
      <c r="L1315" s="26" t="n"/>
    </row>
    <row r="1316" ht="15" customHeight="1" s="22">
      <c r="K1316" s="26" t="n"/>
      <c r="L1316" s="26" t="n"/>
    </row>
    <row r="1317" ht="15" customHeight="1" s="22">
      <c r="K1317" s="26" t="n"/>
      <c r="L1317" s="26" t="n"/>
    </row>
    <row r="1318" ht="15" customHeight="1" s="22">
      <c r="K1318" s="26" t="n"/>
      <c r="L1318" s="26" t="n"/>
    </row>
    <row r="1319" ht="15" customHeight="1" s="22">
      <c r="K1319" s="26" t="n"/>
      <c r="L1319" s="26" t="n"/>
    </row>
    <row r="1320" ht="15" customHeight="1" s="22">
      <c r="K1320" s="26" t="n"/>
      <c r="L1320" s="26" t="n"/>
    </row>
    <row r="1321" ht="15" customHeight="1" s="22">
      <c r="K1321" s="26" t="n"/>
      <c r="L1321" s="26" t="n"/>
    </row>
    <row r="1322" ht="15" customHeight="1" s="22">
      <c r="K1322" s="26" t="n"/>
      <c r="L1322" s="26" t="n"/>
    </row>
    <row r="1323" ht="15" customHeight="1" s="22">
      <c r="K1323" s="26" t="n"/>
      <c r="L1323" s="26" t="n"/>
    </row>
    <row r="1324" ht="15" customHeight="1" s="22">
      <c r="K1324" s="26" t="n"/>
      <c r="L1324" s="26" t="n"/>
    </row>
    <row r="1325" ht="15" customHeight="1" s="22">
      <c r="K1325" s="26" t="n"/>
      <c r="L1325" s="26" t="n"/>
    </row>
    <row r="1326" ht="15" customHeight="1" s="22">
      <c r="K1326" s="26" t="n"/>
      <c r="L1326" s="26" t="n"/>
    </row>
    <row r="1327" ht="15" customHeight="1" s="22">
      <c r="K1327" s="26" t="n"/>
      <c r="L1327" s="26" t="n"/>
    </row>
    <row r="1328" ht="15" customHeight="1" s="22">
      <c r="K1328" s="26" t="n"/>
      <c r="L1328" s="26" t="n"/>
    </row>
    <row r="1329" ht="15" customHeight="1" s="22">
      <c r="K1329" s="26" t="n"/>
      <c r="L1329" s="26" t="n"/>
    </row>
    <row r="1330" ht="15" customHeight="1" s="22">
      <c r="K1330" s="26" t="n"/>
      <c r="L1330" s="26" t="n"/>
    </row>
    <row r="1331" ht="15" customHeight="1" s="22">
      <c r="K1331" s="26" t="n"/>
      <c r="L1331" s="26" t="n"/>
    </row>
    <row r="1332" ht="15" customHeight="1" s="22">
      <c r="K1332" s="26" t="n"/>
      <c r="L1332" s="26" t="n"/>
    </row>
    <row r="1333" ht="15" customHeight="1" s="22">
      <c r="K1333" s="26" t="n"/>
      <c r="L1333" s="26" t="n"/>
    </row>
    <row r="1334" ht="15" customHeight="1" s="22">
      <c r="K1334" s="26" t="n"/>
      <c r="L1334" s="26" t="n"/>
    </row>
    <row r="1335" ht="15" customHeight="1" s="22">
      <c r="K1335" s="26" t="n"/>
      <c r="L1335" s="26" t="n"/>
    </row>
    <row r="1336" ht="15" customHeight="1" s="22">
      <c r="K1336" s="26" t="n"/>
      <c r="L1336" s="26" t="n"/>
    </row>
    <row r="1337" ht="15" customHeight="1" s="22">
      <c r="K1337" s="26" t="n"/>
      <c r="L1337" s="26" t="n"/>
    </row>
    <row r="1338" ht="15" customHeight="1" s="22">
      <c r="K1338" s="26" t="n"/>
      <c r="L1338" s="26" t="n"/>
    </row>
    <row r="1339" ht="15" customHeight="1" s="22">
      <c r="K1339" s="26" t="n"/>
      <c r="L1339" s="26" t="n"/>
    </row>
    <row r="1340" ht="15" customHeight="1" s="22">
      <c r="K1340" s="26" t="n"/>
      <c r="L1340" s="26" t="n"/>
    </row>
    <row r="1341" ht="15" customHeight="1" s="22">
      <c r="K1341" s="26" t="n"/>
      <c r="L1341" s="26" t="n"/>
    </row>
    <row r="1342" ht="15" customHeight="1" s="22">
      <c r="K1342" s="26" t="n"/>
      <c r="L1342" s="26" t="n"/>
    </row>
    <row r="1343" ht="15" customHeight="1" s="22">
      <c r="K1343" s="26" t="n"/>
      <c r="L1343" s="26" t="n"/>
    </row>
    <row r="1344" ht="15" customHeight="1" s="22">
      <c r="K1344" s="26" t="n"/>
      <c r="L1344" s="26" t="n"/>
    </row>
    <row r="1345" ht="15" customHeight="1" s="22">
      <c r="K1345" s="26" t="n"/>
      <c r="L1345" s="26" t="n"/>
    </row>
    <row r="1346" ht="15" customHeight="1" s="22">
      <c r="K1346" s="26" t="n"/>
      <c r="L1346" s="26" t="n"/>
    </row>
    <row r="1347" ht="15" customHeight="1" s="22">
      <c r="K1347" s="26" t="n"/>
      <c r="L1347" s="26" t="n"/>
    </row>
    <row r="1348" ht="15" customHeight="1" s="22">
      <c r="K1348" s="26" t="n"/>
      <c r="L1348" s="26" t="n"/>
    </row>
    <row r="1349" ht="15" customHeight="1" s="22">
      <c r="K1349" s="26" t="n"/>
      <c r="L1349" s="26" t="n"/>
    </row>
    <row r="1350" ht="15" customHeight="1" s="22">
      <c r="K1350" s="26" t="n"/>
      <c r="L1350" s="26" t="n"/>
    </row>
    <row r="1351" ht="15" customHeight="1" s="22">
      <c r="K1351" s="26" t="n"/>
      <c r="L1351" s="26" t="n"/>
    </row>
    <row r="1352" ht="15" customHeight="1" s="22">
      <c r="K1352" s="26" t="n"/>
      <c r="L1352" s="26" t="n"/>
    </row>
    <row r="1353" ht="15" customHeight="1" s="22">
      <c r="K1353" s="26" t="n"/>
      <c r="L1353" s="26" t="n"/>
    </row>
    <row r="1354" ht="15" customHeight="1" s="22">
      <c r="K1354" s="26" t="n"/>
      <c r="L1354" s="26" t="n"/>
    </row>
    <row r="1355" ht="15" customHeight="1" s="22">
      <c r="K1355" s="26" t="n"/>
      <c r="L1355" s="26" t="n"/>
    </row>
    <row r="1356" ht="15" customHeight="1" s="22">
      <c r="K1356" s="26" t="n"/>
      <c r="L1356" s="26" t="n"/>
    </row>
    <row r="1357" ht="15" customHeight="1" s="22">
      <c r="K1357" s="26" t="n"/>
      <c r="L1357" s="26" t="n"/>
    </row>
    <row r="1358" ht="15" customHeight="1" s="22">
      <c r="K1358" s="26" t="n"/>
      <c r="L1358" s="26" t="n"/>
    </row>
    <row r="1359" ht="15" customHeight="1" s="22">
      <c r="K1359" s="26" t="n"/>
      <c r="L1359" s="26" t="n"/>
    </row>
    <row r="1360" ht="15" customHeight="1" s="22">
      <c r="K1360" s="26" t="n"/>
      <c r="L1360" s="26" t="n"/>
    </row>
    <row r="1361" ht="15" customHeight="1" s="22">
      <c r="K1361" s="26" t="n"/>
      <c r="L1361" s="26" t="n"/>
    </row>
    <row r="1362" ht="15" customHeight="1" s="22">
      <c r="K1362" s="26" t="n"/>
      <c r="L1362" s="26" t="n"/>
    </row>
    <row r="1363" ht="15" customHeight="1" s="22">
      <c r="K1363" s="26" t="n"/>
      <c r="L1363" s="26" t="n"/>
    </row>
    <row r="1364" ht="15" customHeight="1" s="22">
      <c r="K1364" s="26" t="n"/>
      <c r="L1364" s="26" t="n"/>
    </row>
    <row r="1365" ht="15" customHeight="1" s="22">
      <c r="K1365" s="26" t="n"/>
      <c r="L1365" s="26" t="n"/>
    </row>
    <row r="1366" ht="15" customHeight="1" s="22">
      <c r="K1366" s="26" t="n"/>
      <c r="L1366" s="26" t="n"/>
    </row>
    <row r="1367" ht="15" customHeight="1" s="22">
      <c r="K1367" s="26" t="n"/>
      <c r="L1367" s="26" t="n"/>
    </row>
    <row r="1368" ht="15" customHeight="1" s="22">
      <c r="K1368" s="26" t="n"/>
      <c r="L1368" s="26" t="n"/>
    </row>
    <row r="1369" ht="15" customHeight="1" s="22">
      <c r="K1369" s="26" t="n"/>
      <c r="L1369" s="26" t="n"/>
    </row>
    <row r="1370" ht="15" customHeight="1" s="22">
      <c r="K1370" s="26" t="n"/>
      <c r="L1370" s="26" t="n"/>
    </row>
    <row r="1371" ht="15" customHeight="1" s="22">
      <c r="K1371" s="26" t="n"/>
      <c r="L1371" s="26" t="n"/>
    </row>
    <row r="1372" ht="15" customHeight="1" s="22">
      <c r="K1372" s="26" t="n"/>
      <c r="L1372" s="26" t="n"/>
    </row>
    <row r="1373" ht="15" customHeight="1" s="22">
      <c r="K1373" s="26" t="n"/>
      <c r="L1373" s="26" t="n"/>
    </row>
    <row r="1374" ht="15" customHeight="1" s="22">
      <c r="K1374" s="26" t="n"/>
      <c r="L1374" s="26" t="n"/>
    </row>
    <row r="1375" ht="15" customHeight="1" s="22">
      <c r="K1375" s="26" t="n"/>
      <c r="L1375" s="26" t="n"/>
    </row>
    <row r="1376" ht="15" customHeight="1" s="22">
      <c r="K1376" s="26" t="n"/>
      <c r="L1376" s="26" t="n"/>
    </row>
    <row r="1377" ht="15" customHeight="1" s="22">
      <c r="K1377" s="26" t="n"/>
      <c r="L1377" s="26" t="n"/>
    </row>
    <row r="1378" ht="15" customHeight="1" s="22">
      <c r="K1378" s="26" t="n"/>
      <c r="L1378" s="26" t="n"/>
    </row>
    <row r="1379" ht="15" customHeight="1" s="22">
      <c r="K1379" s="26" t="n"/>
      <c r="L1379" s="26" t="n"/>
    </row>
    <row r="1380" ht="15" customHeight="1" s="22">
      <c r="K1380" s="26" t="n"/>
      <c r="L1380" s="26" t="n"/>
    </row>
    <row r="1381" ht="15" customHeight="1" s="22">
      <c r="K1381" s="26" t="n"/>
      <c r="L1381" s="26" t="n"/>
    </row>
    <row r="1382" ht="15" customHeight="1" s="22">
      <c r="K1382" s="26" t="n"/>
      <c r="L1382" s="26" t="n"/>
    </row>
    <row r="1383" ht="15" customHeight="1" s="22">
      <c r="K1383" s="26" t="n"/>
      <c r="L1383" s="26" t="n"/>
    </row>
    <row r="1384" ht="15" customHeight="1" s="22">
      <c r="K1384" s="26" t="n"/>
      <c r="L1384" s="26" t="n"/>
    </row>
    <row r="1385" ht="15" customHeight="1" s="22">
      <c r="K1385" s="26" t="n"/>
      <c r="L1385" s="26" t="n"/>
    </row>
    <row r="1386" ht="15" customHeight="1" s="22">
      <c r="K1386" s="26" t="n"/>
      <c r="L1386" s="26" t="n"/>
    </row>
    <row r="1387" ht="15" customHeight="1" s="22">
      <c r="K1387" s="26" t="n"/>
      <c r="L1387" s="26" t="n"/>
    </row>
    <row r="1388" ht="15" customHeight="1" s="22">
      <c r="K1388" s="26" t="n"/>
      <c r="L1388" s="26" t="n"/>
    </row>
    <row r="1389" ht="15" customHeight="1" s="22">
      <c r="K1389" s="26" t="n"/>
      <c r="L1389" s="26" t="n"/>
    </row>
    <row r="1390" ht="15" customHeight="1" s="22">
      <c r="K1390" s="26" t="n"/>
      <c r="L1390" s="26" t="n"/>
    </row>
    <row r="1391" ht="15" customHeight="1" s="22">
      <c r="K1391" s="26" t="n"/>
      <c r="L1391" s="26" t="n"/>
    </row>
    <row r="1392" ht="15" customHeight="1" s="22">
      <c r="K1392" s="26" t="n"/>
      <c r="L1392" s="26" t="n"/>
    </row>
    <row r="1393" ht="15" customHeight="1" s="22">
      <c r="K1393" s="26" t="n"/>
      <c r="L1393" s="26" t="n"/>
    </row>
    <row r="1394" ht="15" customHeight="1" s="22">
      <c r="K1394" s="26" t="n"/>
      <c r="L1394" s="26" t="n"/>
    </row>
    <row r="1395" ht="15" customHeight="1" s="22">
      <c r="K1395" s="26" t="n"/>
      <c r="L1395" s="26" t="n"/>
    </row>
    <row r="1396" ht="15" customHeight="1" s="22">
      <c r="K1396" s="26" t="n"/>
      <c r="L1396" s="26" t="n"/>
    </row>
    <row r="1397" ht="15" customHeight="1" s="22">
      <c r="K1397" s="26" t="n"/>
      <c r="L1397" s="26" t="n"/>
    </row>
    <row r="1398" ht="15" customHeight="1" s="22">
      <c r="K1398" s="26" t="n"/>
      <c r="L1398" s="26" t="n"/>
    </row>
    <row r="1399" ht="15" customHeight="1" s="22">
      <c r="K1399" s="26" t="n"/>
      <c r="L1399" s="26" t="n"/>
    </row>
    <row r="1400" ht="15" customHeight="1" s="22">
      <c r="K1400" s="26" t="n"/>
      <c r="L1400" s="26" t="n"/>
    </row>
    <row r="1401" ht="15" customHeight="1" s="22">
      <c r="K1401" s="26" t="n"/>
      <c r="L1401" s="26" t="n"/>
    </row>
    <row r="1402" ht="15" customHeight="1" s="22">
      <c r="K1402" s="26" t="n"/>
      <c r="L1402" s="26" t="n"/>
    </row>
    <row r="1403" ht="15" customHeight="1" s="22">
      <c r="K1403" s="26" t="n"/>
      <c r="L1403" s="26" t="n"/>
    </row>
    <row r="1404" ht="15" customHeight="1" s="22">
      <c r="K1404" s="26" t="n"/>
      <c r="L1404" s="26" t="n"/>
    </row>
    <row r="1405" ht="15" customHeight="1" s="22">
      <c r="K1405" s="26" t="n"/>
      <c r="L1405" s="26" t="n"/>
    </row>
    <row r="1406" ht="15" customHeight="1" s="22">
      <c r="K1406" s="26" t="n"/>
      <c r="L1406" s="26" t="n"/>
    </row>
    <row r="1407" ht="15" customHeight="1" s="22">
      <c r="K1407" s="26" t="n"/>
      <c r="L1407" s="26" t="n"/>
    </row>
    <row r="1408" ht="15" customHeight="1" s="22">
      <c r="K1408" s="26" t="n"/>
      <c r="L1408" s="26" t="n"/>
    </row>
    <row r="1409" ht="15" customHeight="1" s="22">
      <c r="K1409" s="26" t="n"/>
      <c r="L1409" s="26" t="n"/>
    </row>
    <row r="1410" ht="15" customHeight="1" s="22">
      <c r="K1410" s="26" t="n"/>
      <c r="L1410" s="26" t="n"/>
    </row>
    <row r="1411" ht="15" customHeight="1" s="22">
      <c r="K1411" s="26" t="n"/>
      <c r="L1411" s="26" t="n"/>
    </row>
    <row r="1412" ht="15" customHeight="1" s="22">
      <c r="K1412" s="26" t="n"/>
      <c r="L1412" s="26" t="n"/>
    </row>
    <row r="1413" ht="15" customHeight="1" s="22">
      <c r="K1413" s="26" t="n"/>
      <c r="L1413" s="26" t="n"/>
    </row>
    <row r="1414" ht="15" customHeight="1" s="22">
      <c r="K1414" s="26" t="n"/>
      <c r="L1414" s="26" t="n"/>
    </row>
    <row r="1415" ht="15" customHeight="1" s="22">
      <c r="K1415" s="26" t="n"/>
      <c r="L1415" s="26" t="n"/>
    </row>
    <row r="1416" ht="15" customHeight="1" s="22">
      <c r="K1416" s="26" t="n"/>
      <c r="L1416" s="26" t="n"/>
    </row>
    <row r="1417" ht="15" customHeight="1" s="22">
      <c r="K1417" s="26" t="n"/>
      <c r="L1417" s="26" t="n"/>
    </row>
    <row r="1418" ht="15" customHeight="1" s="22">
      <c r="K1418" s="26" t="n"/>
      <c r="L1418" s="26" t="n"/>
    </row>
    <row r="1419" ht="15" customHeight="1" s="22">
      <c r="K1419" s="26" t="n"/>
      <c r="L1419" s="26" t="n"/>
    </row>
    <row r="1420" ht="15" customHeight="1" s="22">
      <c r="K1420" s="26" t="n"/>
      <c r="L1420" s="26" t="n"/>
    </row>
    <row r="1421" ht="15" customHeight="1" s="22">
      <c r="K1421" s="26" t="n"/>
      <c r="L1421" s="26" t="n"/>
    </row>
    <row r="1422" ht="15" customHeight="1" s="22">
      <c r="K1422" s="26" t="n"/>
      <c r="L1422" s="26" t="n"/>
    </row>
    <row r="1423" ht="15" customHeight="1" s="22">
      <c r="K1423" s="26" t="n"/>
      <c r="L1423" s="26" t="n"/>
    </row>
    <row r="1424" ht="15" customHeight="1" s="22">
      <c r="K1424" s="26" t="n"/>
      <c r="L1424" s="26" t="n"/>
    </row>
    <row r="1425" ht="15" customHeight="1" s="22">
      <c r="K1425" s="26" t="n"/>
      <c r="L1425" s="26" t="n"/>
    </row>
    <row r="1426" ht="15" customHeight="1" s="22">
      <c r="K1426" s="26" t="n"/>
      <c r="L1426" s="26" t="n"/>
    </row>
    <row r="1427" ht="15" customHeight="1" s="22">
      <c r="K1427" s="26" t="n"/>
      <c r="L1427" s="26" t="n"/>
    </row>
    <row r="1428" ht="15" customHeight="1" s="22">
      <c r="K1428" s="26" t="n"/>
      <c r="L1428" s="26" t="n"/>
    </row>
    <row r="1429" ht="15" customHeight="1" s="22">
      <c r="K1429" s="26" t="n"/>
      <c r="L1429" s="26" t="n"/>
    </row>
    <row r="1430" ht="15" customHeight="1" s="22">
      <c r="K1430" s="26" t="n"/>
      <c r="L1430" s="26" t="n"/>
    </row>
    <row r="1431" ht="15" customHeight="1" s="22">
      <c r="K1431" s="26" t="n"/>
      <c r="L1431" s="26" t="n"/>
    </row>
    <row r="1432" ht="15" customHeight="1" s="22">
      <c r="K1432" s="26" t="n"/>
      <c r="L1432" s="26" t="n"/>
    </row>
    <row r="1433" ht="15" customHeight="1" s="22">
      <c r="K1433" s="26" t="n"/>
      <c r="L1433" s="26" t="n"/>
    </row>
    <row r="1434" ht="15" customHeight="1" s="22">
      <c r="K1434" s="26" t="n"/>
      <c r="L1434" s="26" t="n"/>
    </row>
    <row r="1435" ht="15" customHeight="1" s="22">
      <c r="K1435" s="26" t="n"/>
      <c r="L1435" s="26" t="n"/>
    </row>
    <row r="1436" ht="15" customHeight="1" s="22">
      <c r="K1436" s="26" t="n"/>
      <c r="L1436" s="26" t="n"/>
    </row>
    <row r="1437" ht="15" customHeight="1" s="22">
      <c r="K1437" s="26" t="n"/>
      <c r="L1437" s="26" t="n"/>
    </row>
    <row r="1438" ht="15" customHeight="1" s="22">
      <c r="K1438" s="26" t="n"/>
      <c r="L1438" s="26" t="n"/>
    </row>
    <row r="1439" ht="15" customHeight="1" s="22">
      <c r="K1439" s="26" t="n"/>
      <c r="L1439" s="26" t="n"/>
    </row>
    <row r="1440" ht="15" customHeight="1" s="22">
      <c r="K1440" s="26" t="n"/>
      <c r="L1440" s="26" t="n"/>
    </row>
    <row r="1441" ht="15" customHeight="1" s="22">
      <c r="K1441" s="26" t="n"/>
      <c r="L1441" s="26" t="n"/>
    </row>
    <row r="1442" ht="15" customHeight="1" s="22">
      <c r="K1442" s="26" t="n"/>
      <c r="L1442" s="26" t="n"/>
    </row>
    <row r="1443" ht="15" customHeight="1" s="22">
      <c r="K1443" s="26" t="n"/>
      <c r="L1443" s="26" t="n"/>
    </row>
    <row r="1444" ht="15" customHeight="1" s="22">
      <c r="K1444" s="26" t="n"/>
      <c r="L1444" s="26" t="n"/>
    </row>
    <row r="1445" ht="15" customHeight="1" s="22">
      <c r="K1445" s="26" t="n"/>
      <c r="L1445" s="26" t="n"/>
    </row>
    <row r="1446" ht="15" customHeight="1" s="22">
      <c r="K1446" s="26" t="n"/>
      <c r="L1446" s="26" t="n"/>
    </row>
    <row r="1447" ht="15" customHeight="1" s="22">
      <c r="K1447" s="26" t="n"/>
      <c r="L1447" s="26" t="n"/>
    </row>
    <row r="1448" ht="15" customHeight="1" s="22">
      <c r="K1448" s="26" t="n"/>
      <c r="L1448" s="26" t="n"/>
    </row>
    <row r="1449" ht="15" customHeight="1" s="22">
      <c r="K1449" s="26" t="n"/>
      <c r="L1449" s="26" t="n"/>
    </row>
    <row r="1450" ht="15" customHeight="1" s="22">
      <c r="K1450" s="26" t="n"/>
      <c r="L1450" s="26" t="n"/>
    </row>
    <row r="1451" ht="15" customHeight="1" s="22">
      <c r="K1451" s="26" t="n"/>
      <c r="L1451" s="26" t="n"/>
    </row>
    <row r="1452" ht="15" customHeight="1" s="22">
      <c r="K1452" s="26" t="n"/>
      <c r="L1452" s="26" t="n"/>
    </row>
    <row r="1453" ht="15" customHeight="1" s="22">
      <c r="K1453" s="26" t="n"/>
      <c r="L1453" s="26" t="n"/>
    </row>
    <row r="1454" ht="15" customHeight="1" s="22">
      <c r="K1454" s="26" t="n"/>
      <c r="L1454" s="26" t="n"/>
    </row>
    <row r="1455" ht="15" customHeight="1" s="22">
      <c r="K1455" s="26" t="n"/>
      <c r="L1455" s="26" t="n"/>
    </row>
    <row r="1456" ht="15" customHeight="1" s="22">
      <c r="K1456" s="26" t="n"/>
      <c r="L1456" s="26" t="n"/>
    </row>
    <row r="1457" ht="15" customHeight="1" s="22">
      <c r="K1457" s="26" t="n"/>
      <c r="L1457" s="26" t="n"/>
    </row>
    <row r="1458" ht="15" customHeight="1" s="22">
      <c r="K1458" s="26" t="n"/>
      <c r="L1458" s="26" t="n"/>
    </row>
    <row r="1459" ht="15" customHeight="1" s="22">
      <c r="K1459" s="26" t="n"/>
      <c r="L1459" s="26" t="n"/>
    </row>
    <row r="1460" ht="15" customHeight="1" s="22">
      <c r="K1460" s="26" t="n"/>
      <c r="L1460" s="26" t="n"/>
    </row>
    <row r="1461" ht="15" customHeight="1" s="22">
      <c r="K1461" s="26" t="n"/>
      <c r="L1461" s="26" t="n"/>
    </row>
    <row r="1462" ht="15" customHeight="1" s="22">
      <c r="K1462" s="26" t="n"/>
      <c r="L1462" s="26" t="n"/>
    </row>
    <row r="1463" ht="15" customHeight="1" s="22">
      <c r="K1463" s="26" t="n"/>
      <c r="L1463" s="26" t="n"/>
    </row>
    <row r="1464" ht="15" customHeight="1" s="22">
      <c r="K1464" s="26" t="n"/>
      <c r="L1464" s="26" t="n"/>
    </row>
    <row r="1465" ht="15" customHeight="1" s="22">
      <c r="K1465" s="26" t="n"/>
      <c r="L1465" s="26" t="n"/>
    </row>
    <row r="1466" ht="15" customHeight="1" s="22">
      <c r="K1466" s="26" t="n"/>
      <c r="L1466" s="26" t="n"/>
    </row>
    <row r="1467" ht="15" customHeight="1" s="22">
      <c r="K1467" s="26" t="n"/>
      <c r="L1467" s="26" t="n"/>
    </row>
    <row r="1468" ht="15" customHeight="1" s="22">
      <c r="K1468" s="26" t="n"/>
      <c r="L1468" s="26" t="n"/>
    </row>
    <row r="1469" ht="15" customHeight="1" s="22">
      <c r="K1469" s="26" t="n"/>
      <c r="L1469" s="26" t="n"/>
    </row>
    <row r="1470" ht="15" customHeight="1" s="22">
      <c r="K1470" s="26" t="n"/>
      <c r="L1470" s="26" t="n"/>
    </row>
    <row r="1471" ht="15" customHeight="1" s="22">
      <c r="K1471" s="26" t="n"/>
      <c r="L1471" s="26" t="n"/>
    </row>
    <row r="1472" ht="15" customHeight="1" s="22">
      <c r="K1472" s="26" t="n"/>
      <c r="L1472" s="26" t="n"/>
    </row>
    <row r="1473" ht="15" customHeight="1" s="22">
      <c r="K1473" s="26" t="n"/>
      <c r="L1473" s="26" t="n"/>
    </row>
    <row r="1474" ht="15" customHeight="1" s="22">
      <c r="K1474" s="26" t="n"/>
      <c r="L1474" s="26" t="n"/>
    </row>
    <row r="1475" ht="15" customHeight="1" s="22">
      <c r="K1475" s="26" t="n"/>
      <c r="L1475" s="26" t="n"/>
    </row>
    <row r="1476" ht="15" customHeight="1" s="22">
      <c r="K1476" s="26" t="n"/>
      <c r="L1476" s="26" t="n"/>
    </row>
    <row r="1477" ht="15" customHeight="1" s="22">
      <c r="K1477" s="26" t="n"/>
      <c r="L1477" s="26" t="n"/>
    </row>
    <row r="1478" ht="15" customHeight="1" s="22">
      <c r="K1478" s="26" t="n"/>
      <c r="L1478" s="26" t="n"/>
    </row>
    <row r="1479" ht="15" customHeight="1" s="22">
      <c r="K1479" s="26" t="n"/>
      <c r="L1479" s="26" t="n"/>
    </row>
    <row r="1480" ht="15" customHeight="1" s="22">
      <c r="K1480" s="26" t="n"/>
      <c r="L1480" s="26" t="n"/>
    </row>
    <row r="1481" ht="15" customHeight="1" s="22">
      <c r="K1481" s="26" t="n"/>
      <c r="L1481" s="26" t="n"/>
    </row>
    <row r="1482" ht="15" customHeight="1" s="22">
      <c r="K1482" s="26" t="n"/>
      <c r="L1482" s="26" t="n"/>
    </row>
    <row r="1483" ht="15" customHeight="1" s="22">
      <c r="K1483" s="26" t="n"/>
      <c r="L1483" s="26" t="n"/>
    </row>
    <row r="1484" ht="15" customHeight="1" s="22">
      <c r="K1484" s="26" t="n"/>
      <c r="L1484" s="26" t="n"/>
    </row>
    <row r="1485" ht="15" customHeight="1" s="22">
      <c r="K1485" s="26" t="n"/>
      <c r="L1485" s="26" t="n"/>
    </row>
    <row r="1486" ht="15" customHeight="1" s="22">
      <c r="K1486" s="26" t="n"/>
      <c r="L1486" s="26" t="n"/>
    </row>
    <row r="1487" ht="15" customHeight="1" s="22">
      <c r="K1487" s="26" t="n"/>
      <c r="L1487" s="26" t="n"/>
    </row>
    <row r="1488" ht="15" customHeight="1" s="22">
      <c r="K1488" s="26" t="n"/>
      <c r="L1488" s="26" t="n"/>
    </row>
    <row r="1489" ht="15" customHeight="1" s="22">
      <c r="K1489" s="26" t="n"/>
      <c r="L1489" s="26" t="n"/>
    </row>
    <row r="1490" ht="15" customHeight="1" s="22">
      <c r="K1490" s="26" t="n"/>
      <c r="L1490" s="26" t="n"/>
    </row>
    <row r="1491" ht="15" customHeight="1" s="22">
      <c r="K1491" s="26" t="n"/>
      <c r="L1491" s="26" t="n"/>
    </row>
    <row r="1492" ht="15" customHeight="1" s="22">
      <c r="K1492" s="26" t="n"/>
      <c r="L1492" s="26" t="n"/>
    </row>
    <row r="1493" ht="15" customHeight="1" s="22">
      <c r="K1493" s="26" t="n"/>
      <c r="L1493" s="26" t="n"/>
    </row>
    <row r="1494" ht="15" customHeight="1" s="22">
      <c r="K1494" s="26" t="n"/>
      <c r="L1494" s="26" t="n"/>
    </row>
    <row r="1495" ht="15" customHeight="1" s="22">
      <c r="K1495" s="26" t="n"/>
      <c r="L1495" s="26" t="n"/>
    </row>
    <row r="1496" ht="15" customHeight="1" s="22">
      <c r="K1496" s="26" t="n"/>
      <c r="L1496" s="26" t="n"/>
    </row>
    <row r="1497" ht="15" customHeight="1" s="22">
      <c r="K1497" s="26" t="n"/>
      <c r="L1497" s="26" t="n"/>
    </row>
    <row r="1498" ht="15" customHeight="1" s="22">
      <c r="K1498" s="26" t="n"/>
      <c r="L1498" s="26" t="n"/>
    </row>
    <row r="1499" ht="15" customHeight="1" s="22">
      <c r="K1499" s="26" t="n"/>
      <c r="L1499" s="26" t="n"/>
    </row>
    <row r="1500" ht="15" customHeight="1" s="22">
      <c r="K1500" s="26" t="n"/>
      <c r="L1500" s="26" t="n"/>
    </row>
    <row r="1501" ht="15" customHeight="1" s="22">
      <c r="K1501" s="26" t="n"/>
      <c r="L1501" s="26" t="n"/>
    </row>
    <row r="1502" ht="15" customHeight="1" s="22">
      <c r="K1502" s="26" t="n"/>
      <c r="L1502" s="26" t="n"/>
    </row>
    <row r="1503" ht="15" customHeight="1" s="22">
      <c r="K1503" s="26" t="n"/>
      <c r="L1503" s="26" t="n"/>
    </row>
    <row r="1504" ht="15" customHeight="1" s="22">
      <c r="K1504" s="26" t="n"/>
      <c r="L1504" s="26" t="n"/>
    </row>
    <row r="1505" ht="15" customHeight="1" s="22">
      <c r="K1505" s="26" t="n"/>
      <c r="L1505" s="26" t="n"/>
    </row>
    <row r="1506" ht="15" customHeight="1" s="22">
      <c r="K1506" s="26" t="n"/>
      <c r="L1506" s="26" t="n"/>
    </row>
    <row r="1507" ht="15" customHeight="1" s="22">
      <c r="K1507" s="26" t="n"/>
      <c r="L1507" s="26" t="n"/>
    </row>
    <row r="1508" ht="15" customHeight="1" s="22">
      <c r="K1508" s="26" t="n"/>
      <c r="L1508" s="26" t="n"/>
    </row>
    <row r="1509" ht="15" customHeight="1" s="22">
      <c r="K1509" s="26" t="n"/>
      <c r="L1509" s="26" t="n"/>
    </row>
    <row r="1510" ht="15" customHeight="1" s="22">
      <c r="K1510" s="26" t="n"/>
      <c r="L1510" s="26" t="n"/>
    </row>
    <row r="1511" ht="15" customHeight="1" s="22">
      <c r="K1511" s="26" t="n"/>
      <c r="L1511" s="26" t="n"/>
    </row>
    <row r="1512" ht="15" customHeight="1" s="22">
      <c r="K1512" s="26" t="n"/>
      <c r="L1512" s="26" t="n"/>
    </row>
    <row r="1513" ht="15" customHeight="1" s="22">
      <c r="K1513" s="26" t="n"/>
      <c r="L1513" s="26" t="n"/>
    </row>
    <row r="1514" ht="15" customHeight="1" s="22">
      <c r="K1514" s="26" t="n"/>
      <c r="L1514" s="26" t="n"/>
    </row>
    <row r="1515" ht="15" customHeight="1" s="22">
      <c r="K1515" s="26" t="n"/>
      <c r="L1515" s="26" t="n"/>
    </row>
    <row r="1516" ht="15" customHeight="1" s="22">
      <c r="K1516" s="26" t="n"/>
      <c r="L1516" s="26" t="n"/>
    </row>
    <row r="1517" ht="15" customHeight="1" s="22">
      <c r="K1517" s="26" t="n"/>
      <c r="L1517" s="26" t="n"/>
    </row>
    <row r="1518" ht="15" customHeight="1" s="22">
      <c r="K1518" s="26" t="n"/>
      <c r="L1518" s="26" t="n"/>
    </row>
    <row r="1519" ht="15" customHeight="1" s="22">
      <c r="K1519" s="26" t="n"/>
      <c r="L1519" s="26" t="n"/>
    </row>
    <row r="1520" ht="15" customHeight="1" s="22">
      <c r="K1520" s="26" t="n"/>
      <c r="L1520" s="26" t="n"/>
    </row>
    <row r="1521" ht="15" customHeight="1" s="22">
      <c r="K1521" s="26" t="n"/>
      <c r="L1521" s="26" t="n"/>
    </row>
    <row r="1522" ht="15" customHeight="1" s="22">
      <c r="K1522" s="26" t="n"/>
      <c r="L1522" s="26" t="n"/>
    </row>
    <row r="1523" ht="15" customHeight="1" s="22">
      <c r="K1523" s="26" t="n"/>
      <c r="L1523" s="26" t="n"/>
    </row>
    <row r="1524" ht="15" customHeight="1" s="22">
      <c r="K1524" s="26" t="n"/>
      <c r="L1524" s="26" t="n"/>
    </row>
    <row r="1525" ht="15" customHeight="1" s="22">
      <c r="K1525" s="26" t="n"/>
      <c r="L1525" s="26" t="n"/>
    </row>
    <row r="1526" ht="15" customHeight="1" s="22">
      <c r="K1526" s="26" t="n"/>
      <c r="L1526" s="26" t="n"/>
    </row>
    <row r="1527" ht="15" customHeight="1" s="22">
      <c r="K1527" s="26" t="n"/>
      <c r="L1527" s="26" t="n"/>
    </row>
    <row r="1528" ht="15" customHeight="1" s="22">
      <c r="K1528" s="26" t="n"/>
      <c r="L1528" s="26" t="n"/>
    </row>
    <row r="1529" ht="15" customHeight="1" s="22">
      <c r="K1529" s="26" t="n"/>
      <c r="L1529" s="26" t="n"/>
    </row>
    <row r="1530" ht="15" customHeight="1" s="22">
      <c r="K1530" s="26" t="n"/>
      <c r="L1530" s="26" t="n"/>
    </row>
    <row r="1531" ht="15" customHeight="1" s="22">
      <c r="K1531" s="26" t="n"/>
      <c r="L1531" s="26" t="n"/>
    </row>
    <row r="1532" ht="15" customHeight="1" s="22">
      <c r="K1532" s="26" t="n"/>
      <c r="L1532" s="26" t="n"/>
    </row>
    <row r="1533" ht="15" customHeight="1" s="22">
      <c r="K1533" s="26" t="n"/>
      <c r="L1533" s="26" t="n"/>
    </row>
    <row r="1534" ht="15" customHeight="1" s="22">
      <c r="K1534" s="26" t="n"/>
      <c r="L1534" s="26" t="n"/>
    </row>
    <row r="1535" ht="15" customHeight="1" s="22">
      <c r="K1535" s="26" t="n"/>
      <c r="L1535" s="26" t="n"/>
    </row>
    <row r="1536" ht="15" customHeight="1" s="22">
      <c r="K1536" s="26" t="n"/>
      <c r="L1536" s="26" t="n"/>
    </row>
    <row r="1537" ht="15" customHeight="1" s="22">
      <c r="K1537" s="26" t="n"/>
      <c r="L1537" s="26" t="n"/>
    </row>
    <row r="1538" ht="15" customHeight="1" s="22">
      <c r="K1538" s="26" t="n"/>
      <c r="L1538" s="26" t="n"/>
    </row>
    <row r="1539" ht="15" customHeight="1" s="22">
      <c r="K1539" s="26" t="n"/>
      <c r="L1539" s="26" t="n"/>
    </row>
    <row r="1540" ht="15" customHeight="1" s="22">
      <c r="K1540" s="26" t="n"/>
      <c r="L1540" s="26" t="n"/>
    </row>
    <row r="1541" ht="15" customHeight="1" s="22">
      <c r="K1541" s="26" t="n"/>
      <c r="L1541" s="26" t="n"/>
    </row>
    <row r="1542" ht="15" customHeight="1" s="22">
      <c r="K1542" s="26" t="n"/>
      <c r="L1542" s="26" t="n"/>
    </row>
    <row r="1543" ht="15" customHeight="1" s="22">
      <c r="K1543" s="26" t="n"/>
      <c r="L1543" s="26" t="n"/>
    </row>
    <row r="1544" ht="15" customHeight="1" s="22">
      <c r="K1544" s="26" t="n"/>
      <c r="L1544" s="26" t="n"/>
    </row>
    <row r="1545" ht="15" customHeight="1" s="22">
      <c r="K1545" s="26" t="n"/>
      <c r="L1545" s="26" t="n"/>
    </row>
    <row r="1546" ht="15" customHeight="1" s="22">
      <c r="K1546" s="26" t="n"/>
      <c r="L1546" s="26" t="n"/>
    </row>
    <row r="1547" ht="15" customHeight="1" s="22">
      <c r="K1547" s="26" t="n"/>
      <c r="L1547" s="26" t="n"/>
    </row>
    <row r="1548" ht="15" customHeight="1" s="22">
      <c r="K1548" s="26" t="n"/>
      <c r="L1548" s="26" t="n"/>
    </row>
    <row r="1549" ht="15" customHeight="1" s="22">
      <c r="K1549" s="26" t="n"/>
      <c r="L1549" s="26" t="n"/>
    </row>
    <row r="1550" ht="15" customHeight="1" s="22">
      <c r="K1550" s="26" t="n"/>
      <c r="L1550" s="26" t="n"/>
    </row>
    <row r="1551" ht="15" customHeight="1" s="22">
      <c r="K1551" s="26" t="n"/>
      <c r="L1551" s="26" t="n"/>
    </row>
    <row r="1552" ht="15" customHeight="1" s="22">
      <c r="K1552" s="26" t="n"/>
      <c r="L1552" s="26" t="n"/>
    </row>
    <row r="1553" ht="15" customHeight="1" s="22">
      <c r="K1553" s="26" t="n"/>
      <c r="L1553" s="26" t="n"/>
    </row>
    <row r="1554" ht="15" customHeight="1" s="22">
      <c r="K1554" s="26" t="n"/>
      <c r="L1554" s="26" t="n"/>
    </row>
    <row r="1555" ht="15" customHeight="1" s="22">
      <c r="K1555" s="26" t="n"/>
      <c r="L1555" s="26" t="n"/>
    </row>
    <row r="1556" ht="15" customHeight="1" s="22">
      <c r="K1556" s="26" t="n"/>
      <c r="L1556" s="26" t="n"/>
    </row>
    <row r="1557" ht="15" customHeight="1" s="22">
      <c r="K1557" s="26" t="n"/>
      <c r="L1557" s="26" t="n"/>
    </row>
    <row r="1558" ht="15" customHeight="1" s="22">
      <c r="K1558" s="26" t="n"/>
      <c r="L1558" s="26" t="n"/>
    </row>
    <row r="1559" ht="15" customHeight="1" s="22">
      <c r="K1559" s="26" t="n"/>
      <c r="L1559" s="26" t="n"/>
    </row>
    <row r="1560" ht="15" customHeight="1" s="22">
      <c r="K1560" s="26" t="n"/>
      <c r="L1560" s="26" t="n"/>
    </row>
    <row r="1561" ht="15" customHeight="1" s="22">
      <c r="K1561" s="26" t="n"/>
      <c r="L1561" s="26" t="n"/>
    </row>
    <row r="1562" ht="15" customHeight="1" s="22">
      <c r="K1562" s="26" t="n"/>
      <c r="L1562" s="26" t="n"/>
    </row>
    <row r="1563" ht="15" customHeight="1" s="22">
      <c r="K1563" s="26" t="n"/>
      <c r="L1563" s="26" t="n"/>
    </row>
    <row r="1564" ht="15" customHeight="1" s="22">
      <c r="K1564" s="26" t="n"/>
      <c r="L1564" s="26" t="n"/>
    </row>
    <row r="1565" ht="15" customHeight="1" s="22">
      <c r="K1565" s="26" t="n"/>
      <c r="L1565" s="26" t="n"/>
    </row>
    <row r="1566" ht="15" customHeight="1" s="22">
      <c r="K1566" s="26" t="n"/>
      <c r="L1566" s="26" t="n"/>
    </row>
    <row r="1567" ht="15" customHeight="1" s="22">
      <c r="K1567" s="26" t="n"/>
      <c r="L1567" s="26" t="n"/>
    </row>
    <row r="1568" ht="15" customHeight="1" s="22">
      <c r="K1568" s="26" t="n"/>
      <c r="L1568" s="26" t="n"/>
    </row>
    <row r="1569" ht="15" customHeight="1" s="22">
      <c r="K1569" s="26" t="n"/>
      <c r="L1569" s="26" t="n"/>
    </row>
    <row r="1570" ht="15" customHeight="1" s="22">
      <c r="K1570" s="26" t="n"/>
      <c r="L1570" s="26" t="n"/>
    </row>
    <row r="1571" ht="15" customHeight="1" s="22">
      <c r="K1571" s="26" t="n"/>
      <c r="L1571" s="26" t="n"/>
    </row>
    <row r="1572" ht="15" customHeight="1" s="22">
      <c r="K1572" s="26" t="n"/>
      <c r="L1572" s="26" t="n"/>
    </row>
    <row r="1573" ht="15" customHeight="1" s="22">
      <c r="K1573" s="26" t="n"/>
      <c r="L1573" s="26" t="n"/>
    </row>
    <row r="1574" ht="15" customHeight="1" s="22">
      <c r="K1574" s="26" t="n"/>
      <c r="L1574" s="26" t="n"/>
    </row>
    <row r="1575" ht="15" customHeight="1" s="22">
      <c r="K1575" s="26" t="n"/>
      <c r="L1575" s="26" t="n"/>
    </row>
    <row r="1576" ht="15" customHeight="1" s="22">
      <c r="K1576" s="26" t="n"/>
      <c r="L1576" s="26" t="n"/>
    </row>
    <row r="1577" ht="15" customHeight="1" s="22">
      <c r="K1577" s="26" t="n"/>
      <c r="L1577" s="26" t="n"/>
    </row>
    <row r="1578" ht="15" customHeight="1" s="22">
      <c r="K1578" s="26" t="n"/>
      <c r="L1578" s="26" t="n"/>
    </row>
    <row r="1579" ht="15" customHeight="1" s="22">
      <c r="K1579" s="26" t="n"/>
      <c r="L1579" s="26" t="n"/>
    </row>
    <row r="1580" ht="15" customHeight="1" s="22">
      <c r="K1580" s="26" t="n"/>
      <c r="L1580" s="26" t="n"/>
    </row>
    <row r="1581" ht="15" customHeight="1" s="22">
      <c r="K1581" s="26" t="n"/>
      <c r="L1581" s="26" t="n"/>
    </row>
    <row r="1582" ht="15" customHeight="1" s="22">
      <c r="K1582" s="26" t="n"/>
      <c r="L1582" s="26" t="n"/>
    </row>
    <row r="1583" ht="15" customHeight="1" s="22">
      <c r="K1583" s="26" t="n"/>
      <c r="L1583" s="26" t="n"/>
    </row>
    <row r="1584" ht="15" customHeight="1" s="22">
      <c r="K1584" s="26" t="n"/>
      <c r="L1584" s="26" t="n"/>
    </row>
    <row r="1585" ht="15" customHeight="1" s="22">
      <c r="K1585" s="26" t="n"/>
      <c r="L1585" s="26" t="n"/>
    </row>
    <row r="1586" ht="15" customHeight="1" s="22">
      <c r="K1586" s="26" t="n"/>
      <c r="L1586" s="26" t="n"/>
    </row>
    <row r="1587" ht="15" customHeight="1" s="22">
      <c r="K1587" s="26" t="n"/>
      <c r="L1587" s="26" t="n"/>
    </row>
    <row r="1588" ht="15" customHeight="1" s="22">
      <c r="K1588" s="26" t="n"/>
      <c r="L1588" s="26" t="n"/>
    </row>
    <row r="1589" ht="15" customHeight="1" s="22">
      <c r="K1589" s="26" t="n"/>
      <c r="L1589" s="26" t="n"/>
    </row>
    <row r="1590" ht="15" customHeight="1" s="22">
      <c r="K1590" s="26" t="n"/>
      <c r="L1590" s="26" t="n"/>
    </row>
    <row r="1591" ht="15" customHeight="1" s="22">
      <c r="K1591" s="26" t="n"/>
      <c r="L1591" s="26" t="n"/>
    </row>
    <row r="1592" ht="15" customHeight="1" s="22">
      <c r="K1592" s="26" t="n"/>
      <c r="L1592" s="26" t="n"/>
    </row>
    <row r="1593" ht="15" customHeight="1" s="22">
      <c r="K1593" s="26" t="n"/>
      <c r="L1593" s="26" t="n"/>
    </row>
    <row r="1594" ht="15" customHeight="1" s="22">
      <c r="K1594" s="26" t="n"/>
      <c r="L1594" s="26" t="n"/>
    </row>
    <row r="1595" ht="15" customHeight="1" s="22">
      <c r="K1595" s="26" t="n"/>
      <c r="L1595" s="26" t="n"/>
    </row>
    <row r="1596" ht="15" customHeight="1" s="22">
      <c r="K1596" s="26" t="n"/>
      <c r="L1596" s="26" t="n"/>
    </row>
    <row r="1597" ht="15" customHeight="1" s="22">
      <c r="K1597" s="26" t="n"/>
      <c r="L1597" s="26" t="n"/>
    </row>
    <row r="1598" ht="15" customHeight="1" s="22">
      <c r="K1598" s="26" t="n"/>
      <c r="L1598" s="26" t="n"/>
    </row>
    <row r="1599" ht="15" customHeight="1" s="22">
      <c r="K1599" s="26" t="n"/>
      <c r="L1599" s="26" t="n"/>
    </row>
    <row r="1600" ht="15" customHeight="1" s="22">
      <c r="K1600" s="26" t="n"/>
      <c r="L1600" s="26" t="n"/>
    </row>
    <row r="1601" ht="15" customHeight="1" s="22">
      <c r="K1601" s="26" t="n"/>
      <c r="L1601" s="26" t="n"/>
    </row>
    <row r="1602" ht="15" customHeight="1" s="22">
      <c r="K1602" s="26" t="n"/>
      <c r="L1602" s="26" t="n"/>
    </row>
    <row r="1603" ht="15" customHeight="1" s="22">
      <c r="K1603" s="26" t="n"/>
      <c r="L1603" s="26" t="n"/>
    </row>
    <row r="1604" ht="15" customHeight="1" s="22">
      <c r="K1604" s="26" t="n"/>
      <c r="L1604" s="26" t="n"/>
    </row>
    <row r="1605" ht="15" customHeight="1" s="22">
      <c r="K1605" s="26" t="n"/>
      <c r="L1605" s="26" t="n"/>
    </row>
    <row r="1606" ht="15" customHeight="1" s="22">
      <c r="K1606" s="26" t="n"/>
      <c r="L1606" s="26" t="n"/>
    </row>
    <row r="1607" ht="15" customHeight="1" s="22">
      <c r="K1607" s="26" t="n"/>
      <c r="L1607" s="26" t="n"/>
    </row>
    <row r="1608" ht="15" customHeight="1" s="22">
      <c r="K1608" s="26" t="n"/>
      <c r="L1608" s="26" t="n"/>
    </row>
    <row r="1609" ht="15" customHeight="1" s="22">
      <c r="K1609" s="26" t="n"/>
      <c r="L1609" s="26" t="n"/>
    </row>
    <row r="1610" ht="15" customHeight="1" s="22">
      <c r="K1610" s="26" t="n"/>
      <c r="L1610" s="26" t="n"/>
    </row>
    <row r="1611" ht="15" customHeight="1" s="22">
      <c r="K1611" s="26" t="n"/>
      <c r="L1611" s="26" t="n"/>
    </row>
    <row r="1612" ht="15" customHeight="1" s="22">
      <c r="K1612" s="26" t="n"/>
      <c r="L1612" s="26" t="n"/>
    </row>
    <row r="1613" ht="15" customHeight="1" s="22">
      <c r="K1613" s="26" t="n"/>
      <c r="L1613" s="26" t="n"/>
    </row>
    <row r="1614" ht="15" customHeight="1" s="22">
      <c r="K1614" s="26" t="n"/>
      <c r="L1614" s="26" t="n"/>
    </row>
    <row r="1615" ht="15" customHeight="1" s="22">
      <c r="K1615" s="26" t="n"/>
      <c r="L1615" s="26" t="n"/>
    </row>
    <row r="1616" ht="15" customHeight="1" s="22">
      <c r="K1616" s="26" t="n"/>
      <c r="L1616" s="26" t="n"/>
    </row>
    <row r="1617" ht="15" customHeight="1" s="22">
      <c r="K1617" s="26" t="n"/>
      <c r="L1617" s="26" t="n"/>
    </row>
    <row r="1618" ht="15" customHeight="1" s="22">
      <c r="K1618" s="26" t="n"/>
      <c r="L1618" s="26" t="n"/>
    </row>
    <row r="1619" ht="15" customHeight="1" s="22">
      <c r="K1619" s="26" t="n"/>
      <c r="L1619" s="26" t="n"/>
    </row>
    <row r="1620" ht="15" customHeight="1" s="22">
      <c r="K1620" s="26" t="n"/>
      <c r="L1620" s="26" t="n"/>
    </row>
    <row r="1621" ht="15" customHeight="1" s="22">
      <c r="K1621" s="26" t="n"/>
      <c r="L1621" s="26" t="n"/>
    </row>
    <row r="1622" ht="15" customHeight="1" s="22">
      <c r="K1622" s="26" t="n"/>
      <c r="L1622" s="26" t="n"/>
    </row>
    <row r="1623" ht="15" customHeight="1" s="22">
      <c r="K1623" s="26" t="n"/>
      <c r="L1623" s="26" t="n"/>
    </row>
    <row r="1624" ht="15" customHeight="1" s="22">
      <c r="K1624" s="26" t="n"/>
      <c r="L1624" s="26" t="n"/>
    </row>
    <row r="1625" ht="15" customHeight="1" s="22">
      <c r="K1625" s="26" t="n"/>
      <c r="L1625" s="26" t="n"/>
    </row>
    <row r="1626" ht="15" customHeight="1" s="22">
      <c r="K1626" s="26" t="n"/>
      <c r="L1626" s="26" t="n"/>
    </row>
    <row r="1627" ht="15" customHeight="1" s="22">
      <c r="K1627" s="26" t="n"/>
      <c r="L1627" s="26" t="n"/>
    </row>
    <row r="1628" ht="15" customHeight="1" s="22">
      <c r="K1628" s="26" t="n"/>
      <c r="L1628" s="26" t="n"/>
    </row>
    <row r="1629" ht="15" customHeight="1" s="22">
      <c r="K1629" s="26" t="n"/>
      <c r="L1629" s="26" t="n"/>
    </row>
    <row r="1630" ht="15" customHeight="1" s="22">
      <c r="K1630" s="26" t="n"/>
      <c r="L1630" s="26" t="n"/>
    </row>
    <row r="1631" ht="15" customHeight="1" s="22">
      <c r="K1631" s="26" t="n"/>
      <c r="L1631" s="26" t="n"/>
    </row>
    <row r="1632" ht="15" customHeight="1" s="22">
      <c r="K1632" s="26" t="n"/>
      <c r="L1632" s="26" t="n"/>
    </row>
    <row r="1633" ht="15" customHeight="1" s="22">
      <c r="K1633" s="26" t="n"/>
      <c r="L1633" s="26" t="n"/>
    </row>
    <row r="1634" ht="15" customHeight="1" s="22">
      <c r="K1634" s="26" t="n"/>
      <c r="L1634" s="26" t="n"/>
    </row>
    <row r="1635" ht="15" customHeight="1" s="22">
      <c r="K1635" s="26" t="n"/>
      <c r="L1635" s="26" t="n"/>
    </row>
    <row r="1636" ht="15" customHeight="1" s="22">
      <c r="K1636" s="26" t="n"/>
      <c r="L1636" s="26" t="n"/>
    </row>
    <row r="1637" ht="15" customHeight="1" s="22">
      <c r="K1637" s="26" t="n"/>
      <c r="L1637" s="26" t="n"/>
    </row>
    <row r="1638" ht="15" customHeight="1" s="22">
      <c r="K1638" s="26" t="n"/>
      <c r="L1638" s="26" t="n"/>
    </row>
    <row r="1639" ht="15" customHeight="1" s="22">
      <c r="K1639" s="26" t="n"/>
      <c r="L1639" s="26" t="n"/>
    </row>
    <row r="1640" ht="15" customHeight="1" s="22">
      <c r="K1640" s="26" t="n"/>
      <c r="L1640" s="26" t="n"/>
    </row>
    <row r="1641" ht="15" customHeight="1" s="22">
      <c r="K1641" s="26" t="n"/>
      <c r="L1641" s="26" t="n"/>
    </row>
    <row r="1642" ht="15" customHeight="1" s="22">
      <c r="K1642" s="26" t="n"/>
      <c r="L1642" s="26" t="n"/>
    </row>
    <row r="1643" ht="15" customHeight="1" s="22">
      <c r="K1643" s="26" t="n"/>
      <c r="L1643" s="26" t="n"/>
    </row>
    <row r="1644" ht="15" customHeight="1" s="22">
      <c r="K1644" s="26" t="n"/>
      <c r="L1644" s="26" t="n"/>
    </row>
    <row r="1645" ht="15" customHeight="1" s="22">
      <c r="K1645" s="26" t="n"/>
      <c r="L1645" s="26" t="n"/>
    </row>
    <row r="1646" ht="15" customHeight="1" s="22">
      <c r="K1646" s="26" t="n"/>
      <c r="L1646" s="26" t="n"/>
    </row>
    <row r="1647" ht="15" customHeight="1" s="22">
      <c r="K1647" s="26" t="n"/>
      <c r="L1647" s="26" t="n"/>
    </row>
    <row r="1648" ht="15" customHeight="1" s="22">
      <c r="K1648" s="26" t="n"/>
      <c r="L1648" s="26" t="n"/>
    </row>
    <row r="1649" ht="15" customHeight="1" s="22">
      <c r="K1649" s="26" t="n"/>
      <c r="L1649" s="26" t="n"/>
    </row>
    <row r="1650" ht="15" customHeight="1" s="22">
      <c r="K1650" s="26" t="n"/>
      <c r="L1650" s="26" t="n"/>
    </row>
    <row r="1651" ht="15" customHeight="1" s="22">
      <c r="K1651" s="26" t="n"/>
      <c r="L1651" s="26" t="n"/>
    </row>
    <row r="1652" ht="15" customHeight="1" s="22">
      <c r="K1652" s="26" t="n"/>
      <c r="L1652" s="26" t="n"/>
    </row>
    <row r="1653" ht="15" customHeight="1" s="22">
      <c r="K1653" s="26" t="n"/>
      <c r="L1653" s="26" t="n"/>
    </row>
    <row r="1654" ht="15" customHeight="1" s="22">
      <c r="K1654" s="26" t="n"/>
      <c r="L1654" s="26" t="n"/>
    </row>
    <row r="1655" ht="15" customHeight="1" s="22">
      <c r="K1655" s="26" t="n"/>
      <c r="L1655" s="26" t="n"/>
    </row>
    <row r="1656" ht="15" customHeight="1" s="22">
      <c r="K1656" s="26" t="n"/>
      <c r="L1656" s="26" t="n"/>
    </row>
    <row r="1657" ht="15" customHeight="1" s="22">
      <c r="K1657" s="26" t="n"/>
      <c r="L1657" s="26" t="n"/>
    </row>
    <row r="1658" ht="15" customHeight="1" s="22">
      <c r="K1658" s="26" t="n"/>
      <c r="L1658" s="26" t="n"/>
    </row>
    <row r="1659" ht="15" customHeight="1" s="22">
      <c r="K1659" s="26" t="n"/>
      <c r="L1659" s="26" t="n"/>
    </row>
    <row r="1660" ht="15" customHeight="1" s="22">
      <c r="K1660" s="26" t="n"/>
      <c r="L1660" s="26" t="n"/>
    </row>
    <row r="1661" ht="15" customHeight="1" s="22">
      <c r="K1661" s="26" t="n"/>
      <c r="L1661" s="26" t="n"/>
    </row>
    <row r="1662" ht="15" customHeight="1" s="22">
      <c r="K1662" s="26" t="n"/>
      <c r="L1662" s="26" t="n"/>
    </row>
    <row r="1663" ht="15" customHeight="1" s="22">
      <c r="K1663" s="26" t="n"/>
      <c r="L1663" s="26" t="n"/>
    </row>
    <row r="1664" ht="15" customHeight="1" s="22">
      <c r="K1664" s="26" t="n"/>
      <c r="L1664" s="26" t="n"/>
    </row>
    <row r="1665" ht="15" customHeight="1" s="22">
      <c r="K1665" s="26" t="n"/>
      <c r="L1665" s="26" t="n"/>
    </row>
    <row r="1666" ht="15" customHeight="1" s="22">
      <c r="K1666" s="26" t="n"/>
      <c r="L1666" s="26" t="n"/>
    </row>
    <row r="1667" ht="15" customHeight="1" s="22">
      <c r="K1667" s="26" t="n"/>
      <c r="L1667" s="26" t="n"/>
    </row>
    <row r="1668" ht="15" customHeight="1" s="22">
      <c r="K1668" s="26" t="n"/>
      <c r="L1668" s="26" t="n"/>
    </row>
    <row r="1669" ht="15" customHeight="1" s="22">
      <c r="K1669" s="26" t="n"/>
      <c r="L1669" s="26" t="n"/>
    </row>
    <row r="1670" ht="15" customHeight="1" s="22">
      <c r="K1670" s="26" t="n"/>
      <c r="L1670" s="26" t="n"/>
    </row>
    <row r="1671" ht="15" customHeight="1" s="22">
      <c r="K1671" s="26" t="n"/>
      <c r="L1671" s="26" t="n"/>
    </row>
    <row r="1672" ht="15" customHeight="1" s="22">
      <c r="K1672" s="26" t="n"/>
      <c r="L1672" s="26" t="n"/>
    </row>
    <row r="1673" ht="15" customHeight="1" s="22">
      <c r="K1673" s="26" t="n"/>
      <c r="L1673" s="26" t="n"/>
    </row>
    <row r="1674" ht="15" customHeight="1" s="22">
      <c r="K1674" s="26" t="n"/>
      <c r="L1674" s="26" t="n"/>
    </row>
    <row r="1675" ht="15" customHeight="1" s="22">
      <c r="K1675" s="26" t="n"/>
      <c r="L1675" s="26" t="n"/>
    </row>
    <row r="1676" ht="15" customHeight="1" s="22">
      <c r="K1676" s="26" t="n"/>
      <c r="L1676" s="26" t="n"/>
    </row>
    <row r="1677" ht="15" customHeight="1" s="22">
      <c r="K1677" s="26" t="n"/>
      <c r="L1677" s="26" t="n"/>
    </row>
    <row r="1678" ht="15" customHeight="1" s="22">
      <c r="K1678" s="26" t="n"/>
      <c r="L1678" s="26" t="n"/>
    </row>
    <row r="1679" ht="15" customHeight="1" s="22">
      <c r="K1679" s="26" t="n"/>
      <c r="L1679" s="26" t="n"/>
    </row>
    <row r="1680" ht="15" customHeight="1" s="22">
      <c r="K1680" s="26" t="n"/>
      <c r="L1680" s="26" t="n"/>
    </row>
    <row r="1681" ht="15" customHeight="1" s="22">
      <c r="K1681" s="26" t="n"/>
      <c r="L1681" s="26" t="n"/>
    </row>
    <row r="1682" ht="15" customHeight="1" s="22">
      <c r="K1682" s="26" t="n"/>
      <c r="L1682" s="26" t="n"/>
    </row>
    <row r="1683" ht="15" customHeight="1" s="22">
      <c r="K1683" s="26" t="n"/>
      <c r="L1683" s="26" t="n"/>
    </row>
    <row r="1684" ht="15" customHeight="1" s="22">
      <c r="K1684" s="26" t="n"/>
      <c r="L1684" s="26" t="n"/>
    </row>
    <row r="1685" ht="15" customHeight="1" s="22">
      <c r="K1685" s="26" t="n"/>
      <c r="L1685" s="26" t="n"/>
    </row>
    <row r="1686" ht="15" customHeight="1" s="22">
      <c r="K1686" s="26" t="n"/>
      <c r="L1686" s="26" t="n"/>
    </row>
    <row r="1687" ht="15" customHeight="1" s="22">
      <c r="K1687" s="26" t="n"/>
      <c r="L1687" s="26" t="n"/>
    </row>
    <row r="1688" ht="15" customHeight="1" s="22">
      <c r="K1688" s="26" t="n"/>
      <c r="L1688" s="26" t="n"/>
    </row>
    <row r="1689" ht="15" customHeight="1" s="22">
      <c r="K1689" s="26" t="n"/>
      <c r="L1689" s="26" t="n"/>
    </row>
    <row r="1690" ht="15" customHeight="1" s="22">
      <c r="K1690" s="26" t="n"/>
      <c r="L1690" s="26" t="n"/>
    </row>
    <row r="1691" ht="15" customHeight="1" s="22">
      <c r="K1691" s="26" t="n"/>
      <c r="L1691" s="26" t="n"/>
    </row>
    <row r="1692" ht="15" customHeight="1" s="22">
      <c r="K1692" s="26" t="n"/>
      <c r="L1692" s="26" t="n"/>
    </row>
    <row r="1693" ht="15" customHeight="1" s="22">
      <c r="K1693" s="26" t="n"/>
      <c r="L1693" s="26" t="n"/>
    </row>
    <row r="1694" ht="15" customHeight="1" s="22">
      <c r="K1694" s="26" t="n"/>
      <c r="L1694" s="26" t="n"/>
    </row>
    <row r="1695" ht="15" customHeight="1" s="22">
      <c r="K1695" s="26" t="n"/>
      <c r="L1695" s="26" t="n"/>
    </row>
    <row r="1696" ht="15" customHeight="1" s="22">
      <c r="K1696" s="26" t="n"/>
      <c r="L1696" s="26" t="n"/>
    </row>
    <row r="1697" ht="15" customHeight="1" s="22">
      <c r="K1697" s="26" t="n"/>
      <c r="L1697" s="26" t="n"/>
    </row>
    <row r="1698" ht="15" customHeight="1" s="22">
      <c r="K1698" s="26" t="n"/>
      <c r="L1698" s="26" t="n"/>
    </row>
    <row r="1699" ht="15" customHeight="1" s="22">
      <c r="K1699" s="26" t="n"/>
      <c r="L1699" s="26" t="n"/>
    </row>
    <row r="1700" ht="15" customHeight="1" s="22">
      <c r="K1700" s="26" t="n"/>
      <c r="L1700" s="26" t="n"/>
    </row>
    <row r="1701" ht="15" customHeight="1" s="22">
      <c r="K1701" s="26" t="n"/>
      <c r="L1701" s="26" t="n"/>
    </row>
    <row r="1702" ht="15" customHeight="1" s="22">
      <c r="K1702" s="26" t="n"/>
      <c r="L1702" s="26" t="n"/>
    </row>
    <row r="1703" ht="15" customHeight="1" s="22">
      <c r="K1703" s="26" t="n"/>
      <c r="L1703" s="26" t="n"/>
    </row>
    <row r="1704" ht="15" customHeight="1" s="22">
      <c r="K1704" s="26" t="n"/>
      <c r="L1704" s="26" t="n"/>
    </row>
    <row r="1705" ht="15" customHeight="1" s="22">
      <c r="K1705" s="26" t="n"/>
      <c r="L1705" s="26" t="n"/>
    </row>
    <row r="1706" ht="15" customHeight="1" s="22">
      <c r="K1706" s="26" t="n"/>
      <c r="L1706" s="26" t="n"/>
    </row>
    <row r="1707" ht="15" customHeight="1" s="22">
      <c r="K1707" s="26" t="n"/>
      <c r="L1707" s="26" t="n"/>
    </row>
    <row r="1708" ht="15" customHeight="1" s="22">
      <c r="K1708" s="26" t="n"/>
      <c r="L1708" s="26" t="n"/>
    </row>
    <row r="1709" ht="15" customHeight="1" s="22">
      <c r="K1709" s="26" t="n"/>
      <c r="L1709" s="26" t="n"/>
    </row>
    <row r="1710" ht="15" customHeight="1" s="22">
      <c r="K1710" s="26" t="n"/>
      <c r="L1710" s="26" t="n"/>
    </row>
    <row r="1711" ht="15" customHeight="1" s="22">
      <c r="K1711" s="26" t="n"/>
      <c r="L1711" s="26" t="n"/>
    </row>
    <row r="1712" ht="15" customHeight="1" s="22">
      <c r="K1712" s="26" t="n"/>
      <c r="L1712" s="26" t="n"/>
    </row>
    <row r="1713" ht="15" customHeight="1" s="22">
      <c r="K1713" s="26" t="n"/>
      <c r="L1713" s="26" t="n"/>
    </row>
    <row r="1714" ht="15" customHeight="1" s="22">
      <c r="K1714" s="26" t="n"/>
      <c r="L1714" s="26" t="n"/>
    </row>
    <row r="1715" ht="15" customHeight="1" s="22">
      <c r="K1715" s="26" t="n"/>
      <c r="L1715" s="26" t="n"/>
    </row>
    <row r="1716" ht="15" customHeight="1" s="22">
      <c r="K1716" s="26" t="n"/>
      <c r="L1716" s="26" t="n"/>
    </row>
    <row r="1717" ht="15" customHeight="1" s="22">
      <c r="K1717" s="26" t="n"/>
      <c r="L1717" s="26" t="n"/>
    </row>
    <row r="1718" ht="15" customHeight="1" s="22">
      <c r="K1718" s="26" t="n"/>
      <c r="L1718" s="26" t="n"/>
    </row>
    <row r="1719" ht="15" customHeight="1" s="22">
      <c r="K1719" s="26" t="n"/>
      <c r="L1719" s="26" t="n"/>
    </row>
    <row r="1720" ht="15" customHeight="1" s="22">
      <c r="K1720" s="26" t="n"/>
      <c r="L1720" s="26" t="n"/>
    </row>
    <row r="1721" ht="15" customHeight="1" s="22">
      <c r="K1721" s="26" t="n"/>
      <c r="L1721" s="26" t="n"/>
    </row>
    <row r="1722" ht="15" customHeight="1" s="22">
      <c r="K1722" s="26" t="n"/>
      <c r="L1722" s="26" t="n"/>
    </row>
    <row r="1723" ht="15" customHeight="1" s="22">
      <c r="K1723" s="26" t="n"/>
      <c r="L1723" s="26" t="n"/>
    </row>
    <row r="1724" ht="15" customHeight="1" s="22">
      <c r="K1724" s="26" t="n"/>
      <c r="L1724" s="26" t="n"/>
    </row>
    <row r="1725" ht="15" customHeight="1" s="22">
      <c r="K1725" s="26" t="n"/>
      <c r="L1725" s="26" t="n"/>
    </row>
    <row r="1726" ht="15" customHeight="1" s="22">
      <c r="K1726" s="26" t="n"/>
      <c r="L1726" s="26" t="n"/>
    </row>
    <row r="1727" ht="15" customHeight="1" s="22">
      <c r="K1727" s="26" t="n"/>
      <c r="L1727" s="26" t="n"/>
    </row>
    <row r="1728" ht="15" customHeight="1" s="22">
      <c r="K1728" s="26" t="n"/>
      <c r="L1728" s="26" t="n"/>
    </row>
    <row r="1729" ht="15" customHeight="1" s="22">
      <c r="K1729" s="26" t="n"/>
      <c r="L1729" s="26" t="n"/>
    </row>
    <row r="1730" ht="15" customHeight="1" s="22">
      <c r="K1730" s="26" t="n"/>
      <c r="L1730" s="26" t="n"/>
    </row>
    <row r="1731" ht="15" customHeight="1" s="22">
      <c r="K1731" s="26" t="n"/>
      <c r="L1731" s="26" t="n"/>
    </row>
    <row r="1732" ht="15" customHeight="1" s="22">
      <c r="K1732" s="26" t="n"/>
      <c r="L1732" s="26" t="n"/>
    </row>
    <row r="1733" ht="15" customHeight="1" s="22">
      <c r="K1733" s="26" t="n"/>
      <c r="L1733" s="26" t="n"/>
    </row>
    <row r="1734" ht="15" customHeight="1" s="22">
      <c r="K1734" s="26" t="n"/>
      <c r="L1734" s="26" t="n"/>
    </row>
    <row r="1735" ht="15" customHeight="1" s="22">
      <c r="K1735" s="26" t="n"/>
      <c r="L1735" s="26" t="n"/>
    </row>
    <row r="1736" ht="15" customHeight="1" s="22">
      <c r="K1736" s="26" t="n"/>
      <c r="L1736" s="26" t="n"/>
    </row>
    <row r="1737" ht="15" customHeight="1" s="22">
      <c r="K1737" s="26" t="n"/>
      <c r="L1737" s="26" t="n"/>
    </row>
    <row r="1738" ht="15" customHeight="1" s="22">
      <c r="K1738" s="26" t="n"/>
      <c r="L1738" s="26" t="n"/>
    </row>
    <row r="1739" ht="15" customHeight="1" s="22">
      <c r="K1739" s="26" t="n"/>
      <c r="L1739" s="26" t="n"/>
    </row>
    <row r="1740" ht="15" customHeight="1" s="22">
      <c r="K1740" s="26" t="n"/>
      <c r="L1740" s="26" t="n"/>
    </row>
    <row r="1741" ht="15" customHeight="1" s="22">
      <c r="K1741" s="26" t="n"/>
      <c r="L1741" s="26" t="n"/>
    </row>
    <row r="1742" ht="15" customHeight="1" s="22">
      <c r="K1742" s="26" t="n"/>
      <c r="L1742" s="26" t="n"/>
    </row>
    <row r="1743" ht="15" customHeight="1" s="22">
      <c r="K1743" s="26" t="n"/>
      <c r="L1743" s="26" t="n"/>
    </row>
    <row r="1744" ht="15" customHeight="1" s="22">
      <c r="K1744" s="26" t="n"/>
      <c r="L1744" s="26" t="n"/>
    </row>
    <row r="1745" ht="15" customHeight="1" s="22">
      <c r="K1745" s="26" t="n"/>
      <c r="L1745" s="26" t="n"/>
    </row>
    <row r="1746" ht="15" customHeight="1" s="22">
      <c r="K1746" s="26" t="n"/>
      <c r="L1746" s="26" t="n"/>
    </row>
    <row r="1747" ht="15" customHeight="1" s="22">
      <c r="K1747" s="26" t="n"/>
      <c r="L1747" s="26" t="n"/>
    </row>
    <row r="1748" ht="15" customHeight="1" s="22">
      <c r="K1748" s="26" t="n"/>
      <c r="L1748" s="26" t="n"/>
    </row>
    <row r="1749" ht="15" customHeight="1" s="22">
      <c r="K1749" s="26" t="n"/>
      <c r="L1749" s="26" t="n"/>
    </row>
    <row r="1750" ht="15" customHeight="1" s="22">
      <c r="K1750" s="26" t="n"/>
      <c r="L1750" s="26" t="n"/>
    </row>
    <row r="1751" ht="15" customHeight="1" s="22">
      <c r="K1751" s="26" t="n"/>
      <c r="L1751" s="26" t="n"/>
    </row>
    <row r="1752" ht="15" customHeight="1" s="22">
      <c r="K1752" s="26" t="n"/>
      <c r="L1752" s="26" t="n"/>
    </row>
    <row r="1753" ht="15" customHeight="1" s="22">
      <c r="K1753" s="26" t="n"/>
      <c r="L1753" s="26" t="n"/>
    </row>
    <row r="1754" ht="15" customHeight="1" s="22">
      <c r="K1754" s="26" t="n"/>
      <c r="L1754" s="26" t="n"/>
    </row>
    <row r="1755" ht="15" customHeight="1" s="22">
      <c r="K1755" s="26" t="n"/>
      <c r="L1755" s="26" t="n"/>
    </row>
    <row r="1756" ht="15" customHeight="1" s="22">
      <c r="K1756" s="26" t="n"/>
      <c r="L1756" s="26" t="n"/>
    </row>
    <row r="1757" ht="15" customHeight="1" s="22">
      <c r="K1757" s="26" t="n"/>
      <c r="L1757" s="26" t="n"/>
    </row>
    <row r="1758" ht="15" customHeight="1" s="22">
      <c r="K1758" s="26" t="n"/>
      <c r="L1758" s="26" t="n"/>
    </row>
    <row r="1759" ht="15" customHeight="1" s="22">
      <c r="K1759" s="26" t="n"/>
      <c r="L1759" s="26" t="n"/>
    </row>
    <row r="1760" ht="15" customHeight="1" s="22">
      <c r="K1760" s="26" t="n"/>
      <c r="L1760" s="26" t="n"/>
    </row>
    <row r="1761" ht="15" customHeight="1" s="22">
      <c r="K1761" s="26" t="n"/>
      <c r="L1761" s="26" t="n"/>
    </row>
    <row r="1762" ht="15" customHeight="1" s="22">
      <c r="K1762" s="26" t="n"/>
      <c r="L1762" s="26" t="n"/>
    </row>
    <row r="1763" ht="15" customHeight="1" s="22">
      <c r="K1763" s="26" t="n"/>
      <c r="L1763" s="26" t="n"/>
    </row>
    <row r="1764" ht="15" customHeight="1" s="22">
      <c r="K1764" s="26" t="n"/>
      <c r="L1764" s="26" t="n"/>
    </row>
    <row r="1765" ht="15" customHeight="1" s="22">
      <c r="K1765" s="26" t="n"/>
      <c r="L1765" s="26" t="n"/>
    </row>
    <row r="1766" ht="15" customHeight="1" s="22">
      <c r="K1766" s="26" t="n"/>
      <c r="L1766" s="26" t="n"/>
    </row>
    <row r="1767" ht="15" customHeight="1" s="22">
      <c r="K1767" s="26" t="n"/>
      <c r="L1767" s="26" t="n"/>
    </row>
    <row r="1768" ht="15" customHeight="1" s="22">
      <c r="K1768" s="26" t="n"/>
      <c r="L1768" s="26" t="n"/>
    </row>
    <row r="1769" ht="15" customHeight="1" s="22">
      <c r="K1769" s="26" t="n"/>
      <c r="L1769" s="26" t="n"/>
    </row>
    <row r="1770" ht="15" customHeight="1" s="22">
      <c r="K1770" s="26" t="n"/>
      <c r="L1770" s="26" t="n"/>
    </row>
    <row r="1771" ht="15" customHeight="1" s="22">
      <c r="K1771" s="26" t="n"/>
      <c r="L1771" s="26" t="n"/>
    </row>
    <row r="1772" ht="15" customHeight="1" s="22">
      <c r="K1772" s="26" t="n"/>
      <c r="L1772" s="26" t="n"/>
    </row>
    <row r="1773" ht="15" customHeight="1" s="22">
      <c r="K1773" s="26" t="n"/>
      <c r="L1773" s="26" t="n"/>
    </row>
    <row r="1774" ht="15" customHeight="1" s="22">
      <c r="K1774" s="26" t="n"/>
      <c r="L1774" s="26" t="n"/>
    </row>
    <row r="1775" ht="15" customHeight="1" s="22">
      <c r="K1775" s="26" t="n"/>
      <c r="L1775" s="26" t="n"/>
    </row>
    <row r="1776" ht="15" customHeight="1" s="22">
      <c r="K1776" s="26" t="n"/>
      <c r="L1776" s="26" t="n"/>
    </row>
    <row r="1777" ht="15" customHeight="1" s="22">
      <c r="K1777" s="26" t="n"/>
      <c r="L1777" s="26" t="n"/>
    </row>
    <row r="1778" ht="15" customHeight="1" s="22">
      <c r="K1778" s="26" t="n"/>
      <c r="L1778" s="26" t="n"/>
    </row>
    <row r="1779" ht="15" customHeight="1" s="22">
      <c r="K1779" s="26" t="n"/>
      <c r="L1779" s="26" t="n"/>
    </row>
    <row r="1780" ht="15" customHeight="1" s="22">
      <c r="K1780" s="26" t="n"/>
      <c r="L1780" s="26" t="n"/>
    </row>
    <row r="1781" ht="15" customHeight="1" s="22">
      <c r="K1781" s="26" t="n"/>
      <c r="L1781" s="26" t="n"/>
    </row>
    <row r="1782" ht="15" customHeight="1" s="22">
      <c r="K1782" s="26" t="n"/>
      <c r="L1782" s="26" t="n"/>
    </row>
    <row r="1783" ht="15" customHeight="1" s="22">
      <c r="K1783" s="26" t="n"/>
      <c r="L1783" s="26" t="n"/>
    </row>
    <row r="1784" ht="15" customHeight="1" s="22">
      <c r="K1784" s="26" t="n"/>
      <c r="L1784" s="26" t="n"/>
    </row>
    <row r="1785" ht="15" customHeight="1" s="22">
      <c r="K1785" s="26" t="n"/>
      <c r="L1785" s="26" t="n"/>
    </row>
    <row r="1786" ht="15" customHeight="1" s="22">
      <c r="K1786" s="26" t="n"/>
      <c r="L1786" s="26" t="n"/>
    </row>
    <row r="1787" ht="15" customHeight="1" s="22">
      <c r="K1787" s="26" t="n"/>
      <c r="L1787" s="26" t="n"/>
    </row>
    <row r="1788" ht="15" customHeight="1" s="22">
      <c r="K1788" s="26" t="n"/>
      <c r="L1788" s="26" t="n"/>
    </row>
    <row r="1789" ht="15" customHeight="1" s="22">
      <c r="K1789" s="26" t="n"/>
      <c r="L1789" s="26" t="n"/>
    </row>
    <row r="1790" ht="15" customHeight="1" s="22">
      <c r="K1790" s="26" t="n"/>
      <c r="L1790" s="26" t="n"/>
    </row>
    <row r="1791" ht="15" customHeight="1" s="22">
      <c r="K1791" s="26" t="n"/>
      <c r="L1791" s="26" t="n"/>
    </row>
    <row r="1792" ht="15" customHeight="1" s="22">
      <c r="K1792" s="26" t="n"/>
      <c r="L1792" s="26" t="n"/>
    </row>
    <row r="1793" ht="15" customHeight="1" s="22">
      <c r="K1793" s="26" t="n"/>
      <c r="L1793" s="26" t="n"/>
    </row>
    <row r="1794" ht="15" customHeight="1" s="22">
      <c r="K1794" s="26" t="n"/>
      <c r="L1794" s="26" t="n"/>
    </row>
    <row r="1795" ht="15" customHeight="1" s="22">
      <c r="K1795" s="26" t="n"/>
      <c r="L1795" s="26" t="n"/>
    </row>
    <row r="1796" ht="15" customHeight="1" s="22">
      <c r="K1796" s="26" t="n"/>
      <c r="L1796" s="26" t="n"/>
    </row>
    <row r="1797" ht="15" customHeight="1" s="22">
      <c r="K1797" s="26" t="n"/>
      <c r="L1797" s="26" t="n"/>
    </row>
    <row r="1798" ht="15" customHeight="1" s="22">
      <c r="K1798" s="26" t="n"/>
      <c r="L1798" s="26" t="n"/>
    </row>
    <row r="1799" ht="15" customHeight="1" s="22">
      <c r="K1799" s="26" t="n"/>
      <c r="L1799" s="26" t="n"/>
    </row>
    <row r="1800" ht="15" customHeight="1" s="22">
      <c r="K1800" s="26" t="n"/>
      <c r="L1800" s="26" t="n"/>
    </row>
    <row r="1801" ht="15" customHeight="1" s="22">
      <c r="K1801" s="26" t="n"/>
      <c r="L1801" s="26" t="n"/>
    </row>
    <row r="1802" ht="15" customHeight="1" s="22">
      <c r="K1802" s="26" t="n"/>
      <c r="L1802" s="26" t="n"/>
    </row>
    <row r="1803" ht="15" customHeight="1" s="22">
      <c r="K1803" s="26" t="n"/>
      <c r="L1803" s="26" t="n"/>
    </row>
    <row r="1804" ht="15" customHeight="1" s="22">
      <c r="K1804" s="26" t="n"/>
      <c r="L1804" s="26" t="n"/>
    </row>
    <row r="1805" ht="15" customHeight="1" s="22">
      <c r="K1805" s="26" t="n"/>
      <c r="L1805" s="26" t="n"/>
    </row>
    <row r="1806" ht="15" customHeight="1" s="22">
      <c r="K1806" s="26" t="n"/>
      <c r="L1806" s="26" t="n"/>
    </row>
    <row r="1807" ht="15" customHeight="1" s="22">
      <c r="K1807" s="26" t="n"/>
      <c r="L1807" s="26" t="n"/>
    </row>
    <row r="1808" ht="15" customHeight="1" s="22">
      <c r="K1808" s="26" t="n"/>
      <c r="L1808" s="26" t="n"/>
    </row>
    <row r="1809" ht="15" customHeight="1" s="22">
      <c r="K1809" s="26" t="n"/>
      <c r="L1809" s="26" t="n"/>
    </row>
    <row r="1810" ht="15" customHeight="1" s="22">
      <c r="K1810" s="26" t="n"/>
      <c r="L1810" s="26" t="n"/>
    </row>
    <row r="1811" ht="15" customHeight="1" s="22">
      <c r="K1811" s="26" t="n"/>
      <c r="L1811" s="26" t="n"/>
    </row>
    <row r="1812" ht="15" customHeight="1" s="22">
      <c r="K1812" s="26" t="n"/>
      <c r="L1812" s="26" t="n"/>
    </row>
    <row r="1813" ht="15" customHeight="1" s="22">
      <c r="K1813" s="26" t="n"/>
      <c r="L1813" s="26" t="n"/>
    </row>
    <row r="1814" ht="15" customHeight="1" s="22">
      <c r="K1814" s="26" t="n"/>
      <c r="L1814" s="26" t="n"/>
    </row>
    <row r="1815" ht="15" customHeight="1" s="22">
      <c r="K1815" s="26" t="n"/>
      <c r="L1815" s="26" t="n"/>
    </row>
    <row r="1816" ht="15" customHeight="1" s="22">
      <c r="K1816" s="26" t="n"/>
      <c r="L1816" s="26" t="n"/>
    </row>
    <row r="1817" ht="15" customHeight="1" s="22">
      <c r="K1817" s="26" t="n"/>
      <c r="L1817" s="26" t="n"/>
    </row>
    <row r="1818" ht="15" customHeight="1" s="22">
      <c r="K1818" s="26" t="n"/>
      <c r="L1818" s="26" t="n"/>
    </row>
    <row r="1819" ht="15" customHeight="1" s="22">
      <c r="K1819" s="26" t="n"/>
      <c r="L1819" s="26" t="n"/>
    </row>
    <row r="1820" ht="15" customHeight="1" s="22">
      <c r="K1820" s="26" t="n"/>
      <c r="L1820" s="26" t="n"/>
    </row>
    <row r="1821" ht="15" customHeight="1" s="22">
      <c r="K1821" s="26" t="n"/>
      <c r="L1821" s="26" t="n"/>
    </row>
    <row r="1822" ht="15" customHeight="1" s="22">
      <c r="K1822" s="26" t="n"/>
      <c r="L1822" s="26" t="n"/>
    </row>
    <row r="1823" ht="15" customHeight="1" s="22">
      <c r="K1823" s="26" t="n"/>
      <c r="L1823" s="26" t="n"/>
    </row>
    <row r="1824" ht="15" customHeight="1" s="22">
      <c r="K1824" s="26" t="n"/>
      <c r="L1824" s="26" t="n"/>
    </row>
    <row r="1825" ht="15" customHeight="1" s="22">
      <c r="K1825" s="26" t="n"/>
      <c r="L1825" s="26" t="n"/>
    </row>
    <row r="1826" ht="15" customHeight="1" s="22">
      <c r="K1826" s="26" t="n"/>
      <c r="L1826" s="26" t="n"/>
    </row>
    <row r="1827" ht="15" customHeight="1" s="22">
      <c r="K1827" s="26" t="n"/>
      <c r="L1827" s="26" t="n"/>
    </row>
    <row r="1828" ht="15" customHeight="1" s="22">
      <c r="K1828" s="26" t="n"/>
      <c r="L1828" s="26" t="n"/>
    </row>
    <row r="1829" ht="15" customHeight="1" s="22">
      <c r="K1829" s="26" t="n"/>
      <c r="L1829" s="26" t="n"/>
    </row>
    <row r="1830" ht="15" customHeight="1" s="22">
      <c r="K1830" s="26" t="n"/>
      <c r="L1830" s="26" t="n"/>
    </row>
    <row r="1831" ht="15" customHeight="1" s="22">
      <c r="K1831" s="26" t="n"/>
      <c r="L1831" s="26" t="n"/>
    </row>
    <row r="1832" ht="15" customHeight="1" s="22">
      <c r="K1832" s="26" t="n"/>
      <c r="L1832" s="26" t="n"/>
    </row>
    <row r="1833" ht="15" customHeight="1" s="22">
      <c r="K1833" s="26" t="n"/>
      <c r="L1833" s="26" t="n"/>
    </row>
    <row r="1834" ht="15" customHeight="1" s="22">
      <c r="K1834" s="26" t="n"/>
      <c r="L1834" s="26" t="n"/>
    </row>
    <row r="1835" ht="15" customHeight="1" s="22">
      <c r="K1835" s="26" t="n"/>
      <c r="L1835" s="26" t="n"/>
    </row>
    <row r="1836" ht="15" customHeight="1" s="22">
      <c r="K1836" s="26" t="n"/>
      <c r="L1836" s="26" t="n"/>
    </row>
    <row r="1837" ht="15" customHeight="1" s="22">
      <c r="K1837" s="26" t="n"/>
      <c r="L1837" s="26" t="n"/>
    </row>
    <row r="1838" ht="15" customHeight="1" s="22">
      <c r="K1838" s="26" t="n"/>
      <c r="L1838" s="26" t="n"/>
    </row>
    <row r="1839" ht="15" customHeight="1" s="22">
      <c r="K1839" s="26" t="n"/>
      <c r="L1839" s="26" t="n"/>
    </row>
    <row r="1840" ht="15" customHeight="1" s="22">
      <c r="K1840" s="26" t="n"/>
      <c r="L1840" s="26" t="n"/>
    </row>
    <row r="1841" ht="15" customHeight="1" s="22">
      <c r="K1841" s="26" t="n"/>
      <c r="L1841" s="26" t="n"/>
    </row>
    <row r="1842" ht="15" customHeight="1" s="22">
      <c r="K1842" s="26" t="n"/>
      <c r="L1842" s="26" t="n"/>
    </row>
    <row r="1843" ht="15" customHeight="1" s="22">
      <c r="K1843" s="26" t="n"/>
      <c r="L1843" s="26" t="n"/>
    </row>
    <row r="1844" ht="15" customHeight="1" s="22">
      <c r="K1844" s="26" t="n"/>
      <c r="L1844" s="26" t="n"/>
    </row>
    <row r="1845" ht="15" customHeight="1" s="22">
      <c r="K1845" s="26" t="n"/>
      <c r="L1845" s="26" t="n"/>
    </row>
    <row r="1846" ht="15" customHeight="1" s="22">
      <c r="K1846" s="26" t="n"/>
      <c r="L1846" s="26" t="n"/>
    </row>
    <row r="1847" ht="15" customHeight="1" s="22">
      <c r="K1847" s="26" t="n"/>
      <c r="L1847" s="26" t="n"/>
    </row>
    <row r="1848" ht="15" customHeight="1" s="22">
      <c r="K1848" s="26" t="n"/>
      <c r="L1848" s="26" t="n"/>
    </row>
    <row r="1849" ht="15" customHeight="1" s="22">
      <c r="K1849" s="26" t="n"/>
      <c r="L1849" s="26" t="n"/>
    </row>
    <row r="1850" ht="15" customHeight="1" s="22">
      <c r="K1850" s="26" t="n"/>
      <c r="L1850" s="26" t="n"/>
    </row>
    <row r="1851" ht="15" customHeight="1" s="22">
      <c r="K1851" s="26" t="n"/>
      <c r="L1851" s="26" t="n"/>
    </row>
    <row r="1852" ht="15" customHeight="1" s="22">
      <c r="K1852" s="26" t="n"/>
      <c r="L1852" s="26" t="n"/>
    </row>
    <row r="1853" ht="15" customHeight="1" s="22">
      <c r="K1853" s="26" t="n"/>
      <c r="L1853" s="26" t="n"/>
    </row>
    <row r="1854" ht="15" customHeight="1" s="22">
      <c r="K1854" s="26" t="n"/>
      <c r="L1854" s="26" t="n"/>
    </row>
    <row r="1855" ht="15" customHeight="1" s="22">
      <c r="K1855" s="26" t="n"/>
      <c r="L1855" s="26" t="n"/>
    </row>
    <row r="1856" ht="15" customHeight="1" s="22">
      <c r="K1856" s="26" t="n"/>
      <c r="L1856" s="26" t="n"/>
    </row>
    <row r="1857" ht="15" customHeight="1" s="22">
      <c r="K1857" s="26" t="n"/>
      <c r="L1857" s="26" t="n"/>
    </row>
    <row r="1858" ht="15" customHeight="1" s="22">
      <c r="K1858" s="26" t="n"/>
      <c r="L1858" s="26" t="n"/>
    </row>
    <row r="1859" ht="15" customHeight="1" s="22">
      <c r="K1859" s="26" t="n"/>
      <c r="L1859" s="26" t="n"/>
    </row>
    <row r="1860" ht="15" customHeight="1" s="22">
      <c r="K1860" s="26" t="n"/>
      <c r="L1860" s="26" t="n"/>
    </row>
    <row r="1861" ht="15" customHeight="1" s="22">
      <c r="K1861" s="26" t="n"/>
      <c r="L1861" s="26" t="n"/>
    </row>
    <row r="1862" ht="15" customHeight="1" s="22">
      <c r="K1862" s="26" t="n"/>
      <c r="L1862" s="26" t="n"/>
    </row>
    <row r="1863" ht="15" customHeight="1" s="22">
      <c r="K1863" s="26" t="n"/>
      <c r="L1863" s="26" t="n"/>
    </row>
    <row r="1864" ht="15" customHeight="1" s="22">
      <c r="K1864" s="26" t="n"/>
      <c r="L1864" s="26" t="n"/>
    </row>
    <row r="1865" ht="15" customHeight="1" s="22">
      <c r="K1865" s="26" t="n"/>
      <c r="L1865" s="26" t="n"/>
    </row>
    <row r="1866" ht="15" customHeight="1" s="22">
      <c r="K1866" s="26" t="n"/>
      <c r="L1866" s="26" t="n"/>
    </row>
    <row r="1867" ht="15" customHeight="1" s="22">
      <c r="K1867" s="26" t="n"/>
      <c r="L1867" s="26" t="n"/>
    </row>
    <row r="1868" ht="15" customHeight="1" s="22">
      <c r="K1868" s="26" t="n"/>
      <c r="L1868" s="26" t="n"/>
    </row>
    <row r="1869" ht="15" customHeight="1" s="22">
      <c r="K1869" s="26" t="n"/>
      <c r="L1869" s="26" t="n"/>
    </row>
    <row r="1870" ht="15" customHeight="1" s="22">
      <c r="K1870" s="26" t="n"/>
      <c r="L1870" s="26" t="n"/>
    </row>
    <row r="1871" ht="15" customHeight="1" s="22">
      <c r="K1871" s="26" t="n"/>
      <c r="L1871" s="26" t="n"/>
    </row>
    <row r="1872" ht="15" customHeight="1" s="22">
      <c r="K1872" s="26" t="n"/>
      <c r="L1872" s="26" t="n"/>
    </row>
    <row r="1873" ht="15" customHeight="1" s="22">
      <c r="K1873" s="26" t="n"/>
      <c r="L1873" s="26" t="n"/>
    </row>
    <row r="1874" ht="15" customHeight="1" s="22">
      <c r="K1874" s="26" t="n"/>
      <c r="L1874" s="26" t="n"/>
    </row>
    <row r="1875" ht="15" customHeight="1" s="22">
      <c r="K1875" s="26" t="n"/>
      <c r="L1875" s="26" t="n"/>
    </row>
    <row r="1876" ht="15" customHeight="1" s="22">
      <c r="K1876" s="26" t="n"/>
      <c r="L1876" s="26" t="n"/>
    </row>
    <row r="1877" ht="15" customHeight="1" s="22">
      <c r="K1877" s="26" t="n"/>
      <c r="L1877" s="26" t="n"/>
    </row>
    <row r="1878" ht="15" customHeight="1" s="22">
      <c r="K1878" s="26" t="n"/>
      <c r="L1878" s="26" t="n"/>
    </row>
    <row r="1879" ht="15" customHeight="1" s="22">
      <c r="K1879" s="26" t="n"/>
      <c r="L1879" s="26" t="n"/>
    </row>
    <row r="1880" ht="15" customHeight="1" s="22">
      <c r="K1880" s="26" t="n"/>
      <c r="L1880" s="26" t="n"/>
    </row>
    <row r="1881" ht="15" customHeight="1" s="22">
      <c r="K1881" s="26" t="n"/>
      <c r="L1881" s="26" t="n"/>
    </row>
    <row r="1882" ht="15" customHeight="1" s="22">
      <c r="K1882" s="26" t="n"/>
      <c r="L1882" s="26" t="n"/>
    </row>
    <row r="1883" ht="15" customHeight="1" s="22">
      <c r="K1883" s="26" t="n"/>
      <c r="L1883" s="26" t="n"/>
    </row>
    <row r="1884" ht="15" customHeight="1" s="22">
      <c r="K1884" s="26" t="n"/>
      <c r="L1884" s="26" t="n"/>
    </row>
    <row r="1885" ht="15" customHeight="1" s="22">
      <c r="K1885" s="26" t="n"/>
      <c r="L1885" s="26" t="n"/>
    </row>
    <row r="1886" ht="15" customHeight="1" s="22">
      <c r="K1886" s="26" t="n"/>
      <c r="L1886" s="26" t="n"/>
    </row>
    <row r="1887" ht="15" customHeight="1" s="22">
      <c r="K1887" s="26" t="n"/>
      <c r="L1887" s="26" t="n"/>
    </row>
    <row r="1888" ht="15" customHeight="1" s="22">
      <c r="K1888" s="26" t="n"/>
      <c r="L1888" s="26" t="n"/>
    </row>
    <row r="1889" ht="15" customHeight="1" s="22">
      <c r="K1889" s="26" t="n"/>
      <c r="L1889" s="26" t="n"/>
    </row>
    <row r="1890" ht="15" customHeight="1" s="22">
      <c r="K1890" s="26" t="n"/>
      <c r="L1890" s="26" t="n"/>
    </row>
    <row r="1891" ht="15" customHeight="1" s="22">
      <c r="K1891" s="26" t="n"/>
      <c r="L1891" s="26" t="n"/>
    </row>
    <row r="1892" ht="15" customHeight="1" s="22">
      <c r="K1892" s="26" t="n"/>
      <c r="L1892" s="26" t="n"/>
    </row>
    <row r="1893" ht="15" customHeight="1" s="22">
      <c r="K1893" s="26" t="n"/>
      <c r="L1893" s="26" t="n"/>
    </row>
    <row r="1894" ht="15" customHeight="1" s="22">
      <c r="K1894" s="26" t="n"/>
      <c r="L1894" s="26" t="n"/>
    </row>
    <row r="1895" ht="15" customHeight="1" s="22">
      <c r="K1895" s="26" t="n"/>
      <c r="L1895" s="26" t="n"/>
    </row>
    <row r="1896" ht="15" customHeight="1" s="22">
      <c r="K1896" s="26" t="n"/>
      <c r="L1896" s="26" t="n"/>
    </row>
    <row r="1897" ht="15" customHeight="1" s="22">
      <c r="K1897" s="26" t="n"/>
      <c r="L1897" s="26" t="n"/>
    </row>
    <row r="1898" ht="15" customHeight="1" s="22">
      <c r="K1898" s="26" t="n"/>
      <c r="L1898" s="26" t="n"/>
    </row>
    <row r="1899" ht="15" customHeight="1" s="22">
      <c r="K1899" s="26" t="n"/>
      <c r="L1899" s="26" t="n"/>
    </row>
    <row r="1900" ht="15" customHeight="1" s="22">
      <c r="K1900" s="26" t="n"/>
      <c r="L1900" s="26" t="n"/>
    </row>
    <row r="1901" ht="15" customHeight="1" s="22">
      <c r="K1901" s="26" t="n"/>
      <c r="L1901" s="26" t="n"/>
    </row>
    <row r="1902" ht="15" customHeight="1" s="22">
      <c r="K1902" s="26" t="n"/>
      <c r="L1902" s="26" t="n"/>
    </row>
    <row r="1903" ht="15" customHeight="1" s="22">
      <c r="K1903" s="26" t="n"/>
      <c r="L1903" s="26" t="n"/>
    </row>
    <row r="1904" ht="15" customHeight="1" s="22">
      <c r="K1904" s="26" t="n"/>
      <c r="L1904" s="26" t="n"/>
    </row>
    <row r="1905" ht="15" customHeight="1" s="22">
      <c r="K1905" s="26" t="n"/>
      <c r="L1905" s="26" t="n"/>
    </row>
    <row r="1906" ht="15" customHeight="1" s="22">
      <c r="K1906" s="26" t="n"/>
      <c r="L1906" s="26" t="n"/>
    </row>
    <row r="1907" ht="15" customHeight="1" s="22">
      <c r="K1907" s="26" t="n"/>
      <c r="L1907" s="26" t="n"/>
    </row>
    <row r="1908" ht="15" customHeight="1" s="22">
      <c r="K1908" s="26" t="n"/>
      <c r="L1908" s="26" t="n"/>
    </row>
    <row r="1909" ht="15" customHeight="1" s="22">
      <c r="K1909" s="26" t="n"/>
      <c r="L1909" s="26" t="n"/>
    </row>
    <row r="1910" ht="15" customHeight="1" s="22">
      <c r="K1910" s="26" t="n"/>
      <c r="L1910" s="26" t="n"/>
    </row>
    <row r="1911" ht="15" customHeight="1" s="22">
      <c r="K1911" s="26" t="n"/>
      <c r="L1911" s="26" t="n"/>
    </row>
    <row r="1912" ht="15" customHeight="1" s="22">
      <c r="K1912" s="26" t="n"/>
      <c r="L1912" s="26" t="n"/>
    </row>
    <row r="1913" ht="15" customHeight="1" s="22">
      <c r="K1913" s="26" t="n"/>
      <c r="L1913" s="26" t="n"/>
    </row>
    <row r="1914" ht="15" customHeight="1" s="22">
      <c r="K1914" s="26" t="n"/>
      <c r="L1914" s="26" t="n"/>
    </row>
    <row r="1915" ht="15" customHeight="1" s="22">
      <c r="K1915" s="26" t="n"/>
      <c r="L1915" s="26" t="n"/>
    </row>
    <row r="1916" ht="15" customHeight="1" s="22">
      <c r="K1916" s="26" t="n"/>
      <c r="L1916" s="26" t="n"/>
    </row>
    <row r="1917" ht="15" customHeight="1" s="22">
      <c r="K1917" s="26" t="n"/>
      <c r="L1917" s="26" t="n"/>
    </row>
    <row r="1918" ht="15" customHeight="1" s="22">
      <c r="K1918" s="26" t="n"/>
      <c r="L1918" s="26" t="n"/>
    </row>
    <row r="1919" ht="15" customHeight="1" s="22">
      <c r="K1919" s="26" t="n"/>
      <c r="L1919" s="26" t="n"/>
    </row>
    <row r="1920" ht="15" customHeight="1" s="22">
      <c r="K1920" s="26" t="n"/>
      <c r="L1920" s="26" t="n"/>
    </row>
    <row r="1921" ht="15" customHeight="1" s="22">
      <c r="K1921" s="26" t="n"/>
      <c r="L1921" s="26" t="n"/>
    </row>
    <row r="1922" ht="15" customHeight="1" s="22">
      <c r="K1922" s="26" t="n"/>
      <c r="L1922" s="26" t="n"/>
    </row>
    <row r="1923" ht="15" customHeight="1" s="22">
      <c r="K1923" s="26" t="n"/>
      <c r="L1923" s="26" t="n"/>
    </row>
    <row r="1924" ht="15" customHeight="1" s="22">
      <c r="K1924" s="26" t="n"/>
      <c r="L1924" s="26" t="n"/>
    </row>
    <row r="1925" ht="15" customHeight="1" s="22">
      <c r="K1925" s="26" t="n"/>
      <c r="L1925" s="26" t="n"/>
    </row>
    <row r="1926" ht="15" customHeight="1" s="22">
      <c r="K1926" s="26" t="n"/>
      <c r="L1926" s="26" t="n"/>
    </row>
    <row r="1927" ht="15" customHeight="1" s="22">
      <c r="K1927" s="26" t="n"/>
      <c r="L1927" s="26" t="n"/>
    </row>
    <row r="1928" ht="15" customHeight="1" s="22">
      <c r="K1928" s="26" t="n"/>
      <c r="L1928" s="26" t="n"/>
    </row>
    <row r="1929" ht="15" customHeight="1" s="22">
      <c r="K1929" s="26" t="n"/>
      <c r="L1929" s="26" t="n"/>
    </row>
    <row r="1930" ht="15" customHeight="1" s="22">
      <c r="K1930" s="26" t="n"/>
      <c r="L1930" s="26" t="n"/>
    </row>
    <row r="1931" ht="15" customHeight="1" s="22">
      <c r="K1931" s="26" t="n"/>
      <c r="L1931" s="26" t="n"/>
    </row>
    <row r="1932" ht="15" customHeight="1" s="22">
      <c r="K1932" s="26" t="n"/>
      <c r="L1932" s="26" t="n"/>
    </row>
    <row r="1933" ht="15" customHeight="1" s="22">
      <c r="K1933" s="26" t="n"/>
      <c r="L1933" s="26" t="n"/>
    </row>
    <row r="1934" ht="15" customHeight="1" s="22">
      <c r="K1934" s="26" t="n"/>
      <c r="L1934" s="26" t="n"/>
    </row>
    <row r="1935" ht="15" customHeight="1" s="22">
      <c r="K1935" s="26" t="n"/>
      <c r="L1935" s="26" t="n"/>
    </row>
    <row r="1936" ht="15" customHeight="1" s="22">
      <c r="K1936" s="26" t="n"/>
      <c r="L1936" s="26" t="n"/>
    </row>
    <row r="1937" ht="15" customHeight="1" s="22">
      <c r="K1937" s="26" t="n"/>
      <c r="L1937" s="26" t="n"/>
    </row>
    <row r="1938" ht="15" customHeight="1" s="22">
      <c r="K1938" s="26" t="n"/>
      <c r="L1938" s="26" t="n"/>
    </row>
    <row r="1939" ht="15" customHeight="1" s="22">
      <c r="K1939" s="26" t="n"/>
      <c r="L1939" s="26" t="n"/>
    </row>
    <row r="1940" ht="15" customHeight="1" s="22">
      <c r="K1940" s="26" t="n"/>
      <c r="L1940" s="26" t="n"/>
    </row>
    <row r="1941" ht="15" customHeight="1" s="22">
      <c r="K1941" s="26" t="n"/>
      <c r="L1941" s="26" t="n"/>
    </row>
    <row r="1942" ht="15" customHeight="1" s="22">
      <c r="K1942" s="26" t="n"/>
      <c r="L1942" s="26" t="n"/>
    </row>
    <row r="1943" ht="15" customHeight="1" s="22">
      <c r="K1943" s="26" t="n"/>
      <c r="L1943" s="26" t="n"/>
    </row>
    <row r="1944" ht="15" customHeight="1" s="22">
      <c r="K1944" s="26" t="n"/>
      <c r="L1944" s="26" t="n"/>
    </row>
    <row r="1945" ht="15" customHeight="1" s="22">
      <c r="K1945" s="26" t="n"/>
      <c r="L1945" s="26" t="n"/>
    </row>
    <row r="1946" ht="15" customHeight="1" s="22">
      <c r="K1946" s="26" t="n"/>
      <c r="L1946" s="26" t="n"/>
    </row>
    <row r="1947" ht="15" customHeight="1" s="22">
      <c r="K1947" s="26" t="n"/>
      <c r="L1947" s="26" t="n"/>
    </row>
    <row r="1948" ht="15" customHeight="1" s="22">
      <c r="K1948" s="26" t="n"/>
      <c r="L1948" s="26" t="n"/>
    </row>
    <row r="1949" ht="15" customHeight="1" s="22">
      <c r="K1949" s="26" t="n"/>
      <c r="L1949" s="26" t="n"/>
    </row>
    <row r="1950" ht="15" customHeight="1" s="22">
      <c r="K1950" s="26" t="n"/>
      <c r="L1950" s="26" t="n"/>
    </row>
    <row r="1951" ht="15" customHeight="1" s="22">
      <c r="K1951" s="26" t="n"/>
      <c r="L1951" s="26" t="n"/>
    </row>
    <row r="1952" ht="15" customHeight="1" s="22">
      <c r="K1952" s="26" t="n"/>
      <c r="L1952" s="26" t="n"/>
    </row>
    <row r="1953" ht="15" customHeight="1" s="22">
      <c r="K1953" s="26" t="n"/>
      <c r="L1953" s="26" t="n"/>
    </row>
    <row r="1954" ht="15" customHeight="1" s="22">
      <c r="K1954" s="26" t="n"/>
      <c r="L1954" s="26" t="n"/>
    </row>
    <row r="1955" ht="15" customHeight="1" s="22">
      <c r="K1955" s="26" t="n"/>
      <c r="L1955" s="26" t="n"/>
    </row>
    <row r="1956" ht="15" customHeight="1" s="22">
      <c r="K1956" s="26" t="n"/>
      <c r="L1956" s="26" t="n"/>
    </row>
    <row r="1957" ht="15" customHeight="1" s="22">
      <c r="K1957" s="26" t="n"/>
      <c r="L1957" s="26" t="n"/>
    </row>
    <row r="1958" ht="15" customHeight="1" s="22">
      <c r="K1958" s="26" t="n"/>
      <c r="L1958" s="26" t="n"/>
    </row>
    <row r="1959" ht="15" customHeight="1" s="22">
      <c r="K1959" s="26" t="n"/>
      <c r="L1959" s="26" t="n"/>
    </row>
    <row r="1960" ht="15" customHeight="1" s="22">
      <c r="K1960" s="26" t="n"/>
      <c r="L1960" s="26" t="n"/>
    </row>
    <row r="1961" ht="15" customHeight="1" s="22">
      <c r="K1961" s="26" t="n"/>
      <c r="L1961" s="26" t="n"/>
    </row>
    <row r="1962" ht="15" customHeight="1" s="22">
      <c r="K1962" s="26" t="n"/>
      <c r="L1962" s="26" t="n"/>
    </row>
    <row r="1963" ht="15" customHeight="1" s="22">
      <c r="K1963" s="26" t="n"/>
      <c r="L1963" s="26" t="n"/>
    </row>
    <row r="1964" ht="15" customHeight="1" s="22">
      <c r="K1964" s="26" t="n"/>
      <c r="L1964" s="26" t="n"/>
    </row>
    <row r="1965" ht="15" customHeight="1" s="22">
      <c r="K1965" s="26" t="n"/>
      <c r="L1965" s="26" t="n"/>
    </row>
    <row r="1966" ht="15" customHeight="1" s="22">
      <c r="K1966" s="26" t="n"/>
      <c r="L1966" s="26" t="n"/>
    </row>
    <row r="1967" ht="15" customHeight="1" s="22">
      <c r="K1967" s="26" t="n"/>
      <c r="L1967" s="26" t="n"/>
    </row>
    <row r="1968" ht="15" customHeight="1" s="22">
      <c r="K1968" s="26" t="n"/>
      <c r="L1968" s="26" t="n"/>
    </row>
    <row r="1969" ht="15" customHeight="1" s="22">
      <c r="K1969" s="26" t="n"/>
      <c r="L1969" s="26" t="n"/>
    </row>
    <row r="1970" ht="15" customHeight="1" s="22">
      <c r="K1970" s="26" t="n"/>
      <c r="L1970" s="26" t="n"/>
    </row>
    <row r="1971" ht="15" customHeight="1" s="22">
      <c r="K1971" s="26" t="n"/>
      <c r="L1971" s="26" t="n"/>
    </row>
    <row r="1972" ht="15" customHeight="1" s="22">
      <c r="K1972" s="26" t="n"/>
      <c r="L1972" s="26" t="n"/>
    </row>
    <row r="1973" ht="15" customHeight="1" s="22">
      <c r="K1973" s="26" t="n"/>
      <c r="L1973" s="26" t="n"/>
    </row>
    <row r="1974" ht="15" customHeight="1" s="22">
      <c r="K1974" s="26" t="n"/>
      <c r="L1974" s="26" t="n"/>
    </row>
    <row r="1975" ht="15" customHeight="1" s="22">
      <c r="K1975" s="26" t="n"/>
      <c r="L1975" s="26" t="n"/>
    </row>
    <row r="1976" ht="15" customHeight="1" s="22">
      <c r="K1976" s="26" t="n"/>
      <c r="L1976" s="26" t="n"/>
    </row>
    <row r="1977" ht="15" customHeight="1" s="22">
      <c r="K1977" s="26" t="n"/>
      <c r="L1977" s="26" t="n"/>
    </row>
    <row r="1978" ht="15" customHeight="1" s="22">
      <c r="K1978" s="26" t="n"/>
      <c r="L1978" s="26" t="n"/>
    </row>
    <row r="1979" ht="15" customHeight="1" s="22">
      <c r="K1979" s="26" t="n"/>
      <c r="L1979" s="26" t="n"/>
    </row>
    <row r="1980" ht="15" customHeight="1" s="22">
      <c r="K1980" s="26" t="n"/>
      <c r="L1980" s="26" t="n"/>
    </row>
    <row r="1981" ht="15" customHeight="1" s="22">
      <c r="K1981" s="26" t="n"/>
      <c r="L1981" s="26" t="n"/>
    </row>
    <row r="1982" ht="15" customHeight="1" s="22">
      <c r="K1982" s="26" t="n"/>
      <c r="L1982" s="26" t="n"/>
    </row>
    <row r="1983" ht="15" customHeight="1" s="22">
      <c r="K1983" s="26" t="n"/>
      <c r="L1983" s="26" t="n"/>
    </row>
    <row r="1984" ht="15" customHeight="1" s="22">
      <c r="K1984" s="26" t="n"/>
      <c r="L1984" s="26" t="n"/>
    </row>
    <row r="1985" ht="15" customHeight="1" s="22">
      <c r="K1985" s="26" t="n"/>
      <c r="L1985" s="26" t="n"/>
    </row>
    <row r="1986" ht="15" customHeight="1" s="22">
      <c r="K1986" s="26" t="n"/>
      <c r="L1986" s="26" t="n"/>
    </row>
    <row r="1987" ht="15" customHeight="1" s="22">
      <c r="K1987" s="26" t="n"/>
      <c r="L1987" s="26" t="n"/>
    </row>
    <row r="1988" ht="15" customHeight="1" s="22">
      <c r="K1988" s="26" t="n"/>
      <c r="L1988" s="26" t="n"/>
    </row>
    <row r="1989" ht="15" customHeight="1" s="22">
      <c r="K1989" s="26" t="n"/>
      <c r="L1989" s="26" t="n"/>
    </row>
    <row r="1990" ht="15" customHeight="1" s="22">
      <c r="K1990" s="26" t="n"/>
      <c r="L1990" s="26" t="n"/>
    </row>
    <row r="1991" ht="15" customHeight="1" s="22">
      <c r="K1991" s="26" t="n"/>
      <c r="L1991" s="26" t="n"/>
    </row>
    <row r="1992" ht="15" customHeight="1" s="22">
      <c r="K1992" s="26" t="n"/>
      <c r="L1992" s="26" t="n"/>
    </row>
    <row r="1993" ht="15" customHeight="1" s="22">
      <c r="K1993" s="26" t="n"/>
      <c r="L1993" s="26" t="n"/>
    </row>
    <row r="1994" ht="15" customHeight="1" s="22">
      <c r="K1994" s="26" t="n"/>
      <c r="L1994" s="26" t="n"/>
    </row>
    <row r="1995" ht="15" customHeight="1" s="22">
      <c r="K1995" s="26" t="n"/>
      <c r="L1995" s="26" t="n"/>
    </row>
    <row r="1996" ht="15" customHeight="1" s="22">
      <c r="K1996" s="26" t="n"/>
      <c r="L1996" s="26" t="n"/>
    </row>
    <row r="1997" ht="15" customHeight="1" s="22">
      <c r="K1997" s="26" t="n"/>
      <c r="L1997" s="26" t="n"/>
    </row>
    <row r="1998" ht="15" customHeight="1" s="22">
      <c r="K1998" s="26" t="n"/>
      <c r="L1998" s="26" t="n"/>
    </row>
    <row r="1999" ht="15" customHeight="1" s="22">
      <c r="K1999" s="26" t="n"/>
      <c r="L1999" s="26" t="n"/>
    </row>
    <row r="2000" ht="15" customHeight="1" s="22">
      <c r="K2000" s="26" t="n"/>
      <c r="L2000" s="26" t="n"/>
    </row>
  </sheetData>
  <autoFilter ref="A1:M61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1" min="1" max="1"/>
    <col width="6" customWidth="1" style="21" min="2" max="2"/>
    <col width="16" customWidth="1" style="21" min="3" max="3"/>
    <col width="10" customWidth="1" style="21" min="4" max="4"/>
    <col width="9" customWidth="1" style="21" min="5" max="5"/>
    <col width="10" customWidth="1" style="21" min="6" max="8"/>
    <col width="9" customWidth="1" style="21" min="9" max="9"/>
    <col width="8" customWidth="1" style="21" min="10" max="10"/>
    <col width="55" customWidth="1" style="21" min="11" max="11"/>
  </cols>
  <sheetData>
    <row r="1" ht="15" customHeight="1" s="22">
      <c r="A1" s="31" t="inlineStr">
        <is>
          <t>Date</t>
        </is>
      </c>
      <c r="B1" s="31" t="inlineStr">
        <is>
          <t>Day</t>
        </is>
      </c>
      <c r="C1" s="31" t="inlineStr">
        <is>
          <t>Modality</t>
        </is>
      </c>
      <c r="D1" s="31" t="inlineStr">
        <is>
          <t>Duration</t>
        </is>
      </c>
      <c r="E1" s="31" t="inlineStr">
        <is>
          <t>Minutes</t>
        </is>
      </c>
      <c r="F1" s="31" t="inlineStr">
        <is>
          <t>Distance</t>
        </is>
      </c>
      <c r="G1" s="31" t="inlineStr">
        <is>
          <t>Dist Unit</t>
        </is>
      </c>
      <c r="H1" s="31" t="inlineStr">
        <is>
          <t>Calories</t>
        </is>
      </c>
      <c r="I1" s="31" t="inlineStr">
        <is>
          <t>Avg HR</t>
        </is>
      </c>
      <c r="J1" s="31" t="inlineStr">
        <is>
          <t>Floors</t>
        </is>
      </c>
      <c r="K1" s="31" t="inlineStr">
        <is>
          <t>Notes</t>
        </is>
      </c>
    </row>
    <row r="2" ht="15" customHeight="1" s="22">
      <c r="A2" s="32" t="n">
        <v>46038</v>
      </c>
      <c r="B2" s="33" t="inlineStr">
        <is>
          <t>Fri</t>
        </is>
      </c>
      <c r="C2" s="33" t="inlineStr">
        <is>
          <t>Treadmill</t>
        </is>
      </c>
      <c r="D2" s="33" t="inlineStr">
        <is>
          <t>20:00</t>
        </is>
      </c>
      <c r="E2" s="33" t="n">
        <v>20</v>
      </c>
      <c r="F2" s="33" t="n"/>
      <c r="G2" s="33" t="n"/>
      <c r="H2" s="33" t="n"/>
      <c r="I2" s="33" t="n"/>
      <c r="J2" s="33" t="n"/>
      <c r="K2" s="33" t="inlineStr">
        <is>
          <t>Core: plank 30s, bicycle crunches 10/side, russian twists 10, leg raises 5</t>
        </is>
      </c>
    </row>
    <row r="3" ht="15" customHeight="1" s="22">
      <c r="A3" s="32" t="n">
        <v>46042</v>
      </c>
      <c r="B3" s="33" t="inlineStr">
        <is>
          <t>Tue</t>
        </is>
      </c>
      <c r="C3" s="33" t="inlineStr">
        <is>
          <t>Run</t>
        </is>
      </c>
      <c r="D3" s="33" t="inlineStr">
        <is>
          <t>30:00</t>
        </is>
      </c>
      <c r="E3" s="33" t="n">
        <v>30</v>
      </c>
      <c r="F3" s="33" t="n"/>
      <c r="G3" s="33" t="n"/>
      <c r="H3" s="33" t="n"/>
      <c r="I3" s="33" t="n"/>
      <c r="J3" s="33" t="n"/>
      <c r="K3" s="33" t="n"/>
    </row>
    <row r="4" ht="15" customHeight="1" s="22">
      <c r="A4" s="32" t="n">
        <v>46045</v>
      </c>
      <c r="B4" s="33" t="inlineStr">
        <is>
          <t>Fri</t>
        </is>
      </c>
      <c r="C4" s="33" t="inlineStr">
        <is>
          <t>Elliptical</t>
        </is>
      </c>
      <c r="D4" s="33" t="inlineStr">
        <is>
          <t>10:00</t>
        </is>
      </c>
      <c r="E4" s="33" t="n">
        <v>10</v>
      </c>
      <c r="F4" s="33" t="n"/>
      <c r="G4" s="33" t="n"/>
      <c r="H4" s="33" t="n"/>
      <c r="I4" s="33" t="n"/>
      <c r="J4" s="33" t="n"/>
      <c r="K4" s="33" t="inlineStr">
        <is>
          <t>Core: 3 rounds</t>
        </is>
      </c>
    </row>
    <row r="5" ht="15" customHeight="1" s="22">
      <c r="A5" s="32" t="n">
        <v>46047</v>
      </c>
      <c r="B5" s="33" t="inlineStr">
        <is>
          <t>Sun</t>
        </is>
      </c>
      <c r="C5" s="33" t="inlineStr">
        <is>
          <t>Run</t>
        </is>
      </c>
      <c r="D5" s="33" t="inlineStr">
        <is>
          <t>30:00</t>
        </is>
      </c>
      <c r="E5" s="33" t="n">
        <v>30</v>
      </c>
      <c r="F5" s="33" t="n">
        <v>2.2</v>
      </c>
      <c r="G5" s="33" t="inlineStr">
        <is>
          <t>mi</t>
        </is>
      </c>
      <c r="H5" s="33" t="n"/>
      <c r="I5" s="33" t="n"/>
      <c r="J5" s="33" t="n"/>
      <c r="K5" s="33" t="inlineStr">
        <is>
          <t>Core: 3 rounds</t>
        </is>
      </c>
    </row>
    <row r="6" ht="15" customHeight="1" s="22">
      <c r="A6" s="32" t="n">
        <v>46051</v>
      </c>
      <c r="B6" s="33" t="inlineStr">
        <is>
          <t>Thu</t>
        </is>
      </c>
      <c r="C6" s="33" t="inlineStr">
        <is>
          <t>Run</t>
        </is>
      </c>
      <c r="D6" s="33" t="inlineStr">
        <is>
          <t>20:00</t>
        </is>
      </c>
      <c r="E6" s="33" t="n">
        <v>20</v>
      </c>
      <c r="F6" s="33" t="n"/>
      <c r="G6" s="33" t="n"/>
      <c r="H6" s="33" t="n"/>
      <c r="I6" s="33" t="n"/>
      <c r="J6" s="33" t="n"/>
      <c r="K6" s="33" t="inlineStr">
        <is>
          <t>Core: 3 rounds</t>
        </is>
      </c>
    </row>
    <row r="7" ht="15" customHeight="1" s="22">
      <c r="A7" s="32" t="n">
        <v>46060</v>
      </c>
      <c r="B7" s="33" t="inlineStr">
        <is>
          <t>Sat</t>
        </is>
      </c>
      <c r="C7" s="33" t="inlineStr">
        <is>
          <t>Run</t>
        </is>
      </c>
      <c r="D7" s="33" t="inlineStr">
        <is>
          <t>20:00</t>
        </is>
      </c>
      <c r="E7" s="33" t="n">
        <v>20</v>
      </c>
      <c r="F7" s="33" t="n"/>
      <c r="G7" s="33" t="n"/>
      <c r="H7" s="33" t="n"/>
      <c r="I7" s="33" t="n"/>
      <c r="J7" s="33" t="n"/>
      <c r="K7" s="33" t="inlineStr">
        <is>
          <t>First session back after illness</t>
        </is>
      </c>
    </row>
    <row r="8" ht="15" customHeight="1" s="22">
      <c r="A8" s="32" t="n">
        <v>46062</v>
      </c>
      <c r="B8" s="33" t="inlineStr">
        <is>
          <t>Mon</t>
        </is>
      </c>
      <c r="C8" s="33" t="inlineStr">
        <is>
          <t>Run</t>
        </is>
      </c>
      <c r="D8" s="33" t="inlineStr">
        <is>
          <t>20:00</t>
        </is>
      </c>
      <c r="E8" s="33" t="n">
        <v>20</v>
      </c>
      <c r="F8" s="33" t="n"/>
      <c r="G8" s="33" t="n"/>
      <c r="H8" s="33" t="n"/>
      <c r="I8" s="33" t="n"/>
      <c r="J8" s="33" t="n"/>
      <c r="K8" s="33" t="n"/>
    </row>
    <row r="9" ht="15" customHeight="1" s="22">
      <c r="A9" s="32" t="n">
        <v>46063</v>
      </c>
      <c r="B9" s="33" t="inlineStr">
        <is>
          <t>Tue</t>
        </is>
      </c>
      <c r="C9" s="33" t="inlineStr">
        <is>
          <t>Run</t>
        </is>
      </c>
      <c r="D9" s="33" t="inlineStr">
        <is>
          <t>20:00</t>
        </is>
      </c>
      <c r="E9" s="33" t="n">
        <v>20</v>
      </c>
      <c r="F9" s="33" t="n"/>
      <c r="G9" s="33" t="n"/>
      <c r="H9" s="33" t="n"/>
      <c r="I9" s="33" t="n"/>
      <c r="J9" s="33" t="n"/>
      <c r="K9" s="33" t="n"/>
    </row>
    <row r="10" ht="15" customHeight="1" s="22">
      <c r="A10" s="32" t="n">
        <v>46074</v>
      </c>
      <c r="B10" s="33" t="inlineStr">
        <is>
          <t>Sat</t>
        </is>
      </c>
      <c r="C10" s="33" t="inlineStr">
        <is>
          <t>Run</t>
        </is>
      </c>
      <c r="D10" s="33" t="inlineStr">
        <is>
          <t>30:00</t>
        </is>
      </c>
      <c r="E10" s="33" t="n">
        <v>30</v>
      </c>
      <c r="F10" s="33" t="n"/>
      <c r="G10" s="33" t="n"/>
      <c r="H10" s="33" t="n"/>
      <c r="I10" s="33" t="n"/>
      <c r="J10" s="33" t="n"/>
      <c r="K10" s="33" t="n"/>
    </row>
    <row r="11" ht="15" customHeight="1" s="22">
      <c r="A11" s="32" t="n">
        <v>46117</v>
      </c>
      <c r="B11" s="33" t="inlineStr">
        <is>
          <t>Sun</t>
        </is>
      </c>
      <c r="C11" s="33" t="inlineStr">
        <is>
          <t>Elliptical</t>
        </is>
      </c>
      <c r="D11" s="33" t="inlineStr">
        <is>
          <t>19:37</t>
        </is>
      </c>
      <c r="E11" s="33" t="n">
        <v>19.62</v>
      </c>
      <c r="F11" s="33" t="n">
        <v>3.32</v>
      </c>
      <c r="G11" s="33" t="inlineStr">
        <is>
          <t>mi</t>
        </is>
      </c>
      <c r="H11" s="33" t="n">
        <v>136</v>
      </c>
      <c r="I11" s="33" t="n">
        <v>118</v>
      </c>
      <c r="J11" s="33" t="n"/>
      <c r="K11" s="33" t="n"/>
    </row>
    <row r="12" ht="15" customHeight="1" s="22">
      <c r="A12" s="32" t="n">
        <v>46119</v>
      </c>
      <c r="B12" s="33" t="inlineStr">
        <is>
          <t>Tue</t>
        </is>
      </c>
      <c r="C12" s="33" t="inlineStr">
        <is>
          <t>Elliptical</t>
        </is>
      </c>
      <c r="D12" s="33" t="inlineStr">
        <is>
          <t>30:02</t>
        </is>
      </c>
      <c r="E12" s="33" t="n">
        <v>30.03</v>
      </c>
      <c r="F12" s="33" t="n">
        <v>6.28</v>
      </c>
      <c r="G12" s="33" t="inlineStr">
        <is>
          <t>mi</t>
        </is>
      </c>
      <c r="H12" s="33" t="n">
        <v>245</v>
      </c>
      <c r="I12" s="33" t="n">
        <v>143</v>
      </c>
      <c r="J12" s="33" t="n"/>
      <c r="K12" s="33" t="n"/>
    </row>
    <row r="13" ht="15" customHeight="1" s="22">
      <c r="A13" s="32" t="n">
        <v>46125</v>
      </c>
      <c r="B13" s="33" t="inlineStr">
        <is>
          <t>Mon</t>
        </is>
      </c>
      <c r="C13" s="33" t="inlineStr">
        <is>
          <t>Elliptical</t>
        </is>
      </c>
      <c r="D13" s="33" t="inlineStr">
        <is>
          <t>25:16</t>
        </is>
      </c>
      <c r="E13" s="33" t="n">
        <v>25.27</v>
      </c>
      <c r="F13" s="33" t="n">
        <v>5.14</v>
      </c>
      <c r="G13" s="33" t="inlineStr">
        <is>
          <t>mi</t>
        </is>
      </c>
      <c r="H13" s="33" t="n">
        <v>133</v>
      </c>
      <c r="I13" s="33" t="n">
        <v>90</v>
      </c>
      <c r="J13" s="33" t="n"/>
      <c r="K13" s="33" t="inlineStr">
        <is>
          <t>Core: 3 rounds</t>
        </is>
      </c>
    </row>
    <row r="14" ht="15" customHeight="1" s="22">
      <c r="A14" s="32" t="n">
        <v>46127</v>
      </c>
      <c r="B14" s="33" t="inlineStr">
        <is>
          <t>Wed</t>
        </is>
      </c>
      <c r="C14" s="33" t="inlineStr">
        <is>
          <t>Elliptical</t>
        </is>
      </c>
      <c r="D14" s="33" t="inlineStr">
        <is>
          <t>21:13</t>
        </is>
      </c>
      <c r="E14" s="33" t="n">
        <v>21.22</v>
      </c>
      <c r="F14" s="33" t="n">
        <v>4.57</v>
      </c>
      <c r="G14" s="33" t="inlineStr">
        <is>
          <t>mi</t>
        </is>
      </c>
      <c r="H14" s="33" t="n">
        <v>198</v>
      </c>
      <c r="I14" s="33" t="n">
        <v>148</v>
      </c>
      <c r="J14" s="33" t="n"/>
      <c r="K14" s="33" t="n"/>
    </row>
    <row r="15" ht="15" customHeight="1" s="22">
      <c r="A15" s="32" t="n">
        <v>46129</v>
      </c>
      <c r="B15" s="33" t="inlineStr">
        <is>
          <t>Fri</t>
        </is>
      </c>
      <c r="C15" s="33" t="inlineStr">
        <is>
          <t>Elliptical</t>
        </is>
      </c>
      <c r="D15" s="33" t="inlineStr">
        <is>
          <t>29:02</t>
        </is>
      </c>
      <c r="E15" s="33" t="n">
        <v>29.03</v>
      </c>
      <c r="F15" s="33" t="n">
        <v>6.41</v>
      </c>
      <c r="G15" s="33" t="inlineStr">
        <is>
          <t>mi</t>
        </is>
      </c>
      <c r="H15" s="33" t="n">
        <v>303</v>
      </c>
      <c r="I15" s="33" t="n">
        <v>147</v>
      </c>
      <c r="J15" s="33" t="n"/>
      <c r="K15" s="33" t="n"/>
    </row>
    <row r="16" ht="15" customHeight="1" s="22">
      <c r="A16" s="32" t="n">
        <v>46131</v>
      </c>
      <c r="B16" s="33" t="inlineStr">
        <is>
          <t>Sun</t>
        </is>
      </c>
      <c r="C16" s="33" t="inlineStr">
        <is>
          <t>Elliptical</t>
        </is>
      </c>
      <c r="D16" s="33" t="inlineStr">
        <is>
          <t>20:15</t>
        </is>
      </c>
      <c r="E16" s="33" t="n">
        <v>20.25</v>
      </c>
      <c r="F16" s="33" t="n">
        <v>4.48</v>
      </c>
      <c r="G16" s="33" t="inlineStr">
        <is>
          <t>mi</t>
        </is>
      </c>
      <c r="H16" s="33" t="n">
        <v>168</v>
      </c>
      <c r="I16" s="33" t="n">
        <v>135</v>
      </c>
      <c r="J16" s="33" t="n"/>
      <c r="K16" s="33" t="inlineStr">
        <is>
          <t>Plus 5 min extra cardio</t>
        </is>
      </c>
    </row>
    <row r="17" ht="15" customHeight="1" s="22">
      <c r="A17" s="32" t="n">
        <v>46134</v>
      </c>
      <c r="B17" s="33" t="inlineStr">
        <is>
          <t>Wed</t>
        </is>
      </c>
      <c r="C17" s="33" t="inlineStr">
        <is>
          <t>Elliptical</t>
        </is>
      </c>
      <c r="D17" s="33" t="inlineStr">
        <is>
          <t>15:06</t>
        </is>
      </c>
      <c r="E17" s="33" t="n">
        <v>15.1</v>
      </c>
      <c r="F17" s="33" t="n">
        <v>2.94</v>
      </c>
      <c r="G17" s="33" t="inlineStr">
        <is>
          <t>mi</t>
        </is>
      </c>
      <c r="H17" s="33" t="n">
        <v>120</v>
      </c>
      <c r="I17" s="33" t="n">
        <v>138</v>
      </c>
      <c r="J17" s="33" t="n"/>
      <c r="K17" s="33" t="n"/>
    </row>
    <row r="18" ht="15" customHeight="1" s="22">
      <c r="A18" s="32" t="n">
        <v>46140</v>
      </c>
      <c r="B18" s="33" t="inlineStr">
        <is>
          <t>Tue</t>
        </is>
      </c>
      <c r="C18" s="33" t="inlineStr">
        <is>
          <t>Elliptical</t>
        </is>
      </c>
      <c r="D18" s="33" t="inlineStr">
        <is>
          <t>20:03</t>
        </is>
      </c>
      <c r="E18" s="33" t="n">
        <v>20.05</v>
      </c>
      <c r="F18" s="33" t="n">
        <v>4.61</v>
      </c>
      <c r="G18" s="33" t="inlineStr">
        <is>
          <t>mi</t>
        </is>
      </c>
      <c r="H18" s="33" t="n">
        <v>211</v>
      </c>
      <c r="I18" s="33" t="n">
        <v>148</v>
      </c>
      <c r="J18" s="33" t="n"/>
      <c r="K18" s="33" t="n"/>
    </row>
    <row r="19" ht="15" customHeight="1" s="22">
      <c r="A19" s="32" t="n">
        <v>46140</v>
      </c>
      <c r="B19" s="33" t="inlineStr">
        <is>
          <t>Tue</t>
        </is>
      </c>
      <c r="C19" s="33" t="inlineStr">
        <is>
          <t>Elliptical</t>
        </is>
      </c>
      <c r="D19" s="33" t="inlineStr">
        <is>
          <t>7:00</t>
        </is>
      </c>
      <c r="E19" s="33" t="n">
        <v>7</v>
      </c>
      <c r="F19" s="33" t="n"/>
      <c r="G19" s="33" t="n"/>
      <c r="H19" s="33" t="n"/>
      <c r="I19" s="33" t="n"/>
      <c r="J19" s="33" t="n"/>
      <c r="K19" s="33" t="n"/>
    </row>
    <row r="20" ht="15" customHeight="1" s="22">
      <c r="A20" s="32" t="n">
        <v>46142</v>
      </c>
      <c r="B20" s="33" t="inlineStr">
        <is>
          <t>Thu</t>
        </is>
      </c>
      <c r="C20" s="33" t="inlineStr">
        <is>
          <t>Elliptical</t>
        </is>
      </c>
      <c r="D20" s="33" t="inlineStr">
        <is>
          <t>21:01</t>
        </is>
      </c>
      <c r="E20" s="33" t="n">
        <v>21.02</v>
      </c>
      <c r="F20" s="33" t="n">
        <v>4.77</v>
      </c>
      <c r="G20" s="33" t="inlineStr">
        <is>
          <t>mi</t>
        </is>
      </c>
      <c r="H20" s="33" t="n">
        <v>216</v>
      </c>
      <c r="I20" s="33" t="n">
        <v>152</v>
      </c>
      <c r="J20" s="33" t="n"/>
      <c r="K20" s="33" t="n"/>
    </row>
    <row r="21" ht="15" customHeight="1" s="22">
      <c r="A21" s="32" t="n">
        <v>46145</v>
      </c>
      <c r="B21" s="33" t="inlineStr">
        <is>
          <t>Sun</t>
        </is>
      </c>
      <c r="C21" s="33" t="inlineStr">
        <is>
          <t>Rowing</t>
        </is>
      </c>
      <c r="D21" s="33" t="n"/>
      <c r="E21" s="33" t="n"/>
      <c r="F21" s="33" t="n"/>
      <c r="G21" s="33" t="n"/>
      <c r="H21" s="33" t="n">
        <v>95</v>
      </c>
      <c r="I21" s="33" t="n"/>
      <c r="J21" s="33" t="n"/>
      <c r="K21" s="33" t="n"/>
    </row>
    <row r="22" ht="15" customHeight="1" s="22">
      <c r="A22" s="32" t="n">
        <v>46145</v>
      </c>
      <c r="B22" s="33" t="inlineStr">
        <is>
          <t>Sun</t>
        </is>
      </c>
      <c r="C22" s="33" t="inlineStr">
        <is>
          <t>Run</t>
        </is>
      </c>
      <c r="D22" s="33" t="n"/>
      <c r="E22" s="33" t="n"/>
      <c r="F22" s="33" t="n">
        <v>1</v>
      </c>
      <c r="G22" s="33" t="inlineStr">
        <is>
          <t>mi</t>
        </is>
      </c>
      <c r="H22" s="33" t="n"/>
      <c r="I22" s="33" t="n"/>
      <c r="J22" s="33" t="n"/>
      <c r="K22" s="33" t="n"/>
    </row>
    <row r="23" ht="15" customHeight="1" s="22">
      <c r="A23" s="32" t="n">
        <v>46145</v>
      </c>
      <c r="B23" s="33" t="inlineStr">
        <is>
          <t>Sun</t>
        </is>
      </c>
      <c r="C23" s="33" t="inlineStr">
        <is>
          <t>Treadmill</t>
        </is>
      </c>
      <c r="D23" s="33" t="inlineStr">
        <is>
          <t>30:00</t>
        </is>
      </c>
      <c r="E23" s="33" t="n">
        <v>30</v>
      </c>
      <c r="F23" s="33" t="n"/>
      <c r="G23" s="33" t="n"/>
      <c r="H23" s="33" t="n"/>
      <c r="I23" s="33" t="n"/>
      <c r="J23" s="33" t="n"/>
      <c r="K23" s="33" t="inlineStr">
        <is>
          <t>4 mph / 4% incline - FIRST RUN since knee injury</t>
        </is>
      </c>
    </row>
    <row r="24" ht="15" customHeight="1" s="22">
      <c r="A24" s="32" t="n">
        <v>46145</v>
      </c>
      <c r="B24" s="33" t="inlineStr">
        <is>
          <t>Sun</t>
        </is>
      </c>
      <c r="C24" s="33" t="inlineStr">
        <is>
          <t>Walk</t>
        </is>
      </c>
      <c r="D24" s="33" t="n"/>
      <c r="E24" s="33" t="n"/>
      <c r="F24" s="33" t="n">
        <v>0.21</v>
      </c>
      <c r="G24" s="33" t="inlineStr">
        <is>
          <t>mi</t>
        </is>
      </c>
      <c r="H24" s="33" t="n"/>
      <c r="I24" s="33" t="n"/>
      <c r="J24" s="33" t="n"/>
      <c r="K24" s="33" t="n"/>
    </row>
    <row r="25" ht="15" customHeight="1" s="22">
      <c r="A25" s="32" t="n">
        <v>46154</v>
      </c>
      <c r="B25" s="33" t="inlineStr">
        <is>
          <t>Tue</t>
        </is>
      </c>
      <c r="C25" s="33" t="inlineStr">
        <is>
          <t>Elliptical</t>
        </is>
      </c>
      <c r="D25" s="33" t="inlineStr">
        <is>
          <t>25:24</t>
        </is>
      </c>
      <c r="E25" s="33" t="n">
        <v>25.4</v>
      </c>
      <c r="F25" s="33" t="n"/>
      <c r="G25" s="33" t="n"/>
      <c r="H25" s="33" t="n">
        <v>259</v>
      </c>
      <c r="I25" s="33" t="n">
        <v>149</v>
      </c>
      <c r="J25" s="33" t="n"/>
      <c r="K25" s="33" t="n"/>
    </row>
    <row r="26" ht="15" customHeight="1" s="22">
      <c r="A26" s="32" t="n">
        <v>46156</v>
      </c>
      <c r="B26" s="33" t="inlineStr">
        <is>
          <t>Thu</t>
        </is>
      </c>
      <c r="C26" s="33" t="inlineStr">
        <is>
          <t>Elliptical</t>
        </is>
      </c>
      <c r="D26" s="33" t="inlineStr">
        <is>
          <t>39:26</t>
        </is>
      </c>
      <c r="E26" s="33" t="n">
        <v>39.43</v>
      </c>
      <c r="F26" s="33" t="n">
        <v>8.02</v>
      </c>
      <c r="G26" s="33" t="inlineStr">
        <is>
          <t>mi</t>
        </is>
      </c>
      <c r="H26" s="33" t="n">
        <v>369</v>
      </c>
      <c r="I26" s="33" t="n">
        <v>149</v>
      </c>
      <c r="J26" s="33" t="n"/>
      <c r="K26" s="33" t="inlineStr">
        <is>
          <t>CARDIO PR - longest session</t>
        </is>
      </c>
    </row>
    <row r="27" ht="15" customHeight="1" s="22">
      <c r="A27" s="32" t="n">
        <v>46157</v>
      </c>
      <c r="B27" s="33" t="inlineStr">
        <is>
          <t>Fri</t>
        </is>
      </c>
      <c r="C27" s="33" t="inlineStr">
        <is>
          <t>Treadmill</t>
        </is>
      </c>
      <c r="D27" s="33" t="inlineStr">
        <is>
          <t>32:43</t>
        </is>
      </c>
      <c r="E27" s="33" t="n">
        <v>32.72</v>
      </c>
      <c r="F27" s="33" t="n">
        <v>2.36</v>
      </c>
      <c r="G27" s="33" t="inlineStr">
        <is>
          <t>mi</t>
        </is>
      </c>
      <c r="H27" s="33" t="n">
        <v>224</v>
      </c>
      <c r="I27" s="33" t="n">
        <v>104</v>
      </c>
      <c r="J27" s="33" t="n"/>
      <c r="K27" s="33" t="n"/>
    </row>
    <row r="28" ht="15" customHeight="1" s="22">
      <c r="A28" s="32" t="n">
        <v>46161</v>
      </c>
      <c r="B28" s="33" t="inlineStr">
        <is>
          <t>Tue</t>
        </is>
      </c>
      <c r="C28" s="33" t="inlineStr">
        <is>
          <t>Treadmill</t>
        </is>
      </c>
      <c r="D28" s="33" t="inlineStr">
        <is>
          <t>37:24</t>
        </is>
      </c>
      <c r="E28" s="33" t="n">
        <v>37.4</v>
      </c>
      <c r="F28" s="33" t="n">
        <v>2.73</v>
      </c>
      <c r="G28" s="33" t="inlineStr">
        <is>
          <t>mi</t>
        </is>
      </c>
      <c r="H28" s="33" t="n">
        <v>279</v>
      </c>
      <c r="I28" s="33" t="n">
        <v>107</v>
      </c>
      <c r="J28" s="33" t="n"/>
      <c r="K28" s="33" t="inlineStr">
        <is>
          <t>Core: 3 rounds</t>
        </is>
      </c>
    </row>
    <row r="29" ht="15" customHeight="1" s="22">
      <c r="A29" s="32" t="n">
        <v>46164</v>
      </c>
      <c r="B29" s="33" t="inlineStr">
        <is>
          <t>Fri</t>
        </is>
      </c>
      <c r="C29" s="33" t="inlineStr">
        <is>
          <t>Treadmill</t>
        </is>
      </c>
      <c r="D29" s="33" t="inlineStr">
        <is>
          <t>34:13</t>
        </is>
      </c>
      <c r="E29" s="33" t="n">
        <v>34.22</v>
      </c>
      <c r="F29" s="33" t="n">
        <v>2.58</v>
      </c>
      <c r="G29" s="33" t="inlineStr">
        <is>
          <t>mi</t>
        </is>
      </c>
      <c r="H29" s="33" t="n">
        <v>266</v>
      </c>
      <c r="I29" s="33" t="n">
        <v>122</v>
      </c>
      <c r="J29" s="33" t="n"/>
      <c r="K29" s="33" t="n"/>
    </row>
    <row r="30" ht="15" customHeight="1" s="22">
      <c r="A30" s="32" t="n">
        <v>46165</v>
      </c>
      <c r="B30" s="33" t="inlineStr">
        <is>
          <t>Sat</t>
        </is>
      </c>
      <c r="C30" s="33" t="inlineStr">
        <is>
          <t>Elliptical</t>
        </is>
      </c>
      <c r="D30" s="33" t="inlineStr">
        <is>
          <t>15:06</t>
        </is>
      </c>
      <c r="E30" s="33" t="n">
        <v>15.1</v>
      </c>
      <c r="F30" s="33" t="n">
        <v>3.38</v>
      </c>
      <c r="G30" s="33" t="inlineStr">
        <is>
          <t>mi</t>
        </is>
      </c>
      <c r="H30" s="33" t="n">
        <v>124</v>
      </c>
      <c r="I30" s="33" t="n">
        <v>143</v>
      </c>
      <c r="J30" s="33" t="n"/>
      <c r="K30" s="33" t="n"/>
    </row>
    <row r="31" ht="15" customHeight="1" s="22">
      <c r="A31" s="32" t="n">
        <v>46165</v>
      </c>
      <c r="B31" s="33" t="inlineStr">
        <is>
          <t>Sat</t>
        </is>
      </c>
      <c r="C31" s="33" t="inlineStr">
        <is>
          <t>Elliptical</t>
        </is>
      </c>
      <c r="D31" s="33" t="inlineStr">
        <is>
          <t>14:32</t>
        </is>
      </c>
      <c r="E31" s="33" t="n">
        <v>14.53</v>
      </c>
      <c r="F31" s="33" t="n"/>
      <c r="G31" s="33" t="n"/>
      <c r="H31" s="33" t="n">
        <v>112</v>
      </c>
      <c r="I31" s="33" t="n"/>
      <c r="J31" s="33" t="n"/>
      <c r="K31" s="33" t="n"/>
    </row>
    <row r="32" ht="15" customHeight="1" s="22">
      <c r="A32" s="32" t="n">
        <v>46167</v>
      </c>
      <c r="B32" s="33" t="inlineStr">
        <is>
          <t>Mon</t>
        </is>
      </c>
      <c r="C32" s="33" t="inlineStr">
        <is>
          <t>Elliptical</t>
        </is>
      </c>
      <c r="D32" s="33" t="inlineStr">
        <is>
          <t>20:12</t>
        </is>
      </c>
      <c r="E32" s="33" t="n">
        <v>20.2</v>
      </c>
      <c r="F32" s="33" t="n">
        <v>4.82</v>
      </c>
      <c r="G32" s="33" t="inlineStr">
        <is>
          <t>mi</t>
        </is>
      </c>
      <c r="H32" s="33" t="n">
        <v>177</v>
      </c>
      <c r="I32" s="33" t="n">
        <v>149</v>
      </c>
      <c r="J32" s="33" t="n"/>
      <c r="K32" s="33" t="n"/>
    </row>
    <row r="33" ht="15" customHeight="1" s="22">
      <c r="A33" s="32" t="n">
        <v>46167</v>
      </c>
      <c r="B33" s="33" t="inlineStr">
        <is>
          <t>Mon</t>
        </is>
      </c>
      <c r="C33" s="33" t="inlineStr">
        <is>
          <t>Stairs</t>
        </is>
      </c>
      <c r="D33" s="33" t="inlineStr">
        <is>
          <t>14:54</t>
        </is>
      </c>
      <c r="E33" s="33" t="n">
        <v>14.9</v>
      </c>
      <c r="F33" s="33" t="n"/>
      <c r="G33" s="33" t="n"/>
      <c r="H33" s="33" t="n">
        <v>133</v>
      </c>
      <c r="I33" s="33" t="n"/>
      <c r="J33" s="33" t="n"/>
      <c r="K33" s="33" t="inlineStr">
        <is>
          <t>first stair session since knee injury</t>
        </is>
      </c>
    </row>
    <row r="34" ht="15" customHeight="1" s="22">
      <c r="A34" s="32" t="n">
        <v>46170</v>
      </c>
      <c r="B34" s="33" t="inlineStr">
        <is>
          <t>Thu</t>
        </is>
      </c>
      <c r="C34" s="33" t="inlineStr">
        <is>
          <t>Elliptical</t>
        </is>
      </c>
      <c r="D34" s="33" t="inlineStr">
        <is>
          <t>17:43</t>
        </is>
      </c>
      <c r="E34" s="33" t="n">
        <v>17.72</v>
      </c>
      <c r="F34" s="33" t="n">
        <v>3.53</v>
      </c>
      <c r="G34" s="33" t="inlineStr">
        <is>
          <t>mi</t>
        </is>
      </c>
      <c r="H34" s="33" t="n">
        <v>127</v>
      </c>
      <c r="I34" s="33" t="n">
        <v>132</v>
      </c>
      <c r="J34" s="33" t="n"/>
      <c r="K34" s="33" t="n"/>
    </row>
    <row r="35" ht="15" customHeight="1" s="22">
      <c r="A35" s="32" t="n">
        <v>46170</v>
      </c>
      <c r="B35" s="33" t="inlineStr">
        <is>
          <t>Thu</t>
        </is>
      </c>
      <c r="C35" s="33" t="inlineStr">
        <is>
          <t>Elliptical</t>
        </is>
      </c>
      <c r="D35" s="33" t="inlineStr">
        <is>
          <t>17:05</t>
        </is>
      </c>
      <c r="E35" s="33" t="n">
        <v>17.08</v>
      </c>
      <c r="F35" s="33" t="n">
        <v>3.84</v>
      </c>
      <c r="G35" s="33" t="inlineStr">
        <is>
          <t>mi</t>
        </is>
      </c>
      <c r="H35" s="33" t="n">
        <v>144</v>
      </c>
      <c r="I35" s="33" t="n">
        <v>143</v>
      </c>
      <c r="J35" s="33" t="n"/>
      <c r="K35" s="33" t="n"/>
    </row>
    <row r="36" ht="15" customHeight="1" s="22">
      <c r="A36" s="32" t="n">
        <v>46171</v>
      </c>
      <c r="B36" s="33" t="inlineStr">
        <is>
          <t>Fri</t>
        </is>
      </c>
      <c r="C36" s="33" t="inlineStr">
        <is>
          <t>Treadmill</t>
        </is>
      </c>
      <c r="D36" s="33" t="inlineStr">
        <is>
          <t>33:46</t>
        </is>
      </c>
      <c r="E36" s="33" t="n">
        <v>33.77</v>
      </c>
      <c r="F36" s="33" t="n">
        <v>2.58</v>
      </c>
      <c r="G36" s="33" t="inlineStr">
        <is>
          <t>mi</t>
        </is>
      </c>
      <c r="H36" s="33" t="n">
        <v>274</v>
      </c>
      <c r="I36" s="33" t="n"/>
      <c r="J36" s="33" t="n"/>
      <c r="K36" s="33" t="n"/>
    </row>
    <row r="37" ht="15" customHeight="1" s="22">
      <c r="A37" s="32" t="n">
        <v>46172</v>
      </c>
      <c r="B37" s="33" t="inlineStr">
        <is>
          <t>Sat</t>
        </is>
      </c>
      <c r="C37" s="33" t="inlineStr">
        <is>
          <t>Elliptical</t>
        </is>
      </c>
      <c r="D37" s="33" t="inlineStr">
        <is>
          <t>20:16</t>
        </is>
      </c>
      <c r="E37" s="33" t="n">
        <v>20.27</v>
      </c>
      <c r="F37" s="33" t="n"/>
      <c r="G37" s="33" t="n"/>
      <c r="H37" s="33" t="n">
        <v>148</v>
      </c>
      <c r="I37" s="33" t="n">
        <v>131</v>
      </c>
      <c r="J37" s="33" t="n"/>
      <c r="K37" s="33" t="n"/>
    </row>
    <row r="38" ht="15" customHeight="1" s="22">
      <c r="A38" s="32" t="n">
        <v>46180</v>
      </c>
      <c r="B38" s="33" t="inlineStr">
        <is>
          <t>Sun</t>
        </is>
      </c>
      <c r="C38" s="33" t="inlineStr">
        <is>
          <t>Run</t>
        </is>
      </c>
      <c r="D38" s="33" t="n"/>
      <c r="E38" s="33" t="n"/>
      <c r="F38" s="33" t="n">
        <v>2</v>
      </c>
      <c r="G38" s="33" t="inlineStr">
        <is>
          <t>mi</t>
        </is>
      </c>
      <c r="H38" s="33" t="n"/>
      <c r="I38" s="33" t="n"/>
      <c r="J38" s="33" t="n"/>
      <c r="K38" s="33" t="inlineStr">
        <is>
          <t>ADA conference, hotel gym</t>
        </is>
      </c>
    </row>
    <row r="39" ht="15" customHeight="1" s="22">
      <c r="A39" s="32" t="n">
        <v>46181</v>
      </c>
      <c r="B39" s="33" t="inlineStr">
        <is>
          <t>Mon</t>
        </is>
      </c>
      <c r="C39" s="33" t="inlineStr">
        <is>
          <t>Run</t>
        </is>
      </c>
      <c r="D39" s="33" t="n"/>
      <c r="E39" s="33" t="n"/>
      <c r="F39" s="33" t="n">
        <v>1.5</v>
      </c>
      <c r="G39" s="33" t="inlineStr">
        <is>
          <t>mi</t>
        </is>
      </c>
      <c r="H39" s="33" t="n"/>
      <c r="I39" s="33" t="n"/>
      <c r="J39" s="33" t="n"/>
      <c r="K39" s="33" t="inlineStr">
        <is>
          <t>Hotel gym - bench press done, weights not logged</t>
        </is>
      </c>
    </row>
    <row r="40" ht="15" customHeight="1" s="22">
      <c r="A40" s="32" t="n">
        <v>46182</v>
      </c>
      <c r="B40" s="33" t="inlineStr">
        <is>
          <t>Tue</t>
        </is>
      </c>
      <c r="C40" s="33" t="inlineStr">
        <is>
          <t>Elliptical</t>
        </is>
      </c>
      <c r="D40" s="33" t="inlineStr">
        <is>
          <t>20:18</t>
        </is>
      </c>
      <c r="E40" s="33" t="n">
        <v>20.3</v>
      </c>
      <c r="F40" s="33" t="n"/>
      <c r="G40" s="33" t="n"/>
      <c r="H40" s="33" t="n">
        <v>235</v>
      </c>
      <c r="I40" s="33" t="n">
        <v>152</v>
      </c>
      <c r="J40" s="33" t="n"/>
      <c r="K40" s="33" t="n"/>
    </row>
    <row r="41" ht="15" customHeight="1" s="22">
      <c r="A41" s="32" t="n">
        <v>46182</v>
      </c>
      <c r="B41" s="33" t="inlineStr">
        <is>
          <t>Tue</t>
        </is>
      </c>
      <c r="C41" s="33" t="inlineStr">
        <is>
          <t>Stairs</t>
        </is>
      </c>
      <c r="D41" s="33" t="inlineStr">
        <is>
          <t>10:08</t>
        </is>
      </c>
      <c r="E41" s="33" t="n">
        <v>10.13</v>
      </c>
      <c r="F41" s="33" t="n"/>
      <c r="G41" s="33" t="n"/>
      <c r="H41" s="33" t="n">
        <v>123</v>
      </c>
      <c r="I41" s="33" t="n">
        <v>157</v>
      </c>
      <c r="J41" s="33" t="n"/>
      <c r="K41" s="33" t="n"/>
    </row>
    <row r="42" ht="15" customHeight="1" s="22">
      <c r="A42" s="32" t="n">
        <v>46184</v>
      </c>
      <c r="B42" s="33" t="inlineStr">
        <is>
          <t>Thu</t>
        </is>
      </c>
      <c r="C42" s="33" t="inlineStr">
        <is>
          <t>Treadmill</t>
        </is>
      </c>
      <c r="D42" s="33" t="inlineStr">
        <is>
          <t>36:10</t>
        </is>
      </c>
      <c r="E42" s="33" t="n">
        <v>36.17</v>
      </c>
      <c r="F42" s="33" t="n">
        <v>2.54</v>
      </c>
      <c r="G42" s="33" t="inlineStr">
        <is>
          <t>mi</t>
        </is>
      </c>
      <c r="H42" s="33" t="n">
        <v>281</v>
      </c>
      <c r="I42" s="33" t="n"/>
      <c r="J42" s="33" t="n"/>
      <c r="K42" s="33" t="n"/>
    </row>
    <row r="43" ht="15" customHeight="1" s="22">
      <c r="A43" s="32" t="n">
        <v>46185</v>
      </c>
      <c r="B43" s="33" t="inlineStr">
        <is>
          <t>Fri</t>
        </is>
      </c>
      <c r="C43" s="33" t="inlineStr">
        <is>
          <t>Elliptical</t>
        </is>
      </c>
      <c r="D43" s="33" t="inlineStr">
        <is>
          <t>20:09</t>
        </is>
      </c>
      <c r="E43" s="33" t="n">
        <v>20.15</v>
      </c>
      <c r="F43" s="33" t="n">
        <v>4.29</v>
      </c>
      <c r="G43" s="33" t="inlineStr">
        <is>
          <t>mi</t>
        </is>
      </c>
      <c r="H43" s="33" t="n">
        <v>186</v>
      </c>
      <c r="I43" s="33" t="n"/>
      <c r="J43" s="33" t="n"/>
      <c r="K43" s="33" t="inlineStr">
        <is>
          <t>FIRST LEG SESSION back after knee injury</t>
        </is>
      </c>
    </row>
    <row r="44" ht="15" customHeight="1" s="22">
      <c r="A44" s="32" t="n">
        <v>46189</v>
      </c>
      <c r="B44" s="33" t="inlineStr">
        <is>
          <t>Tue</t>
        </is>
      </c>
      <c r="C44" s="33" t="inlineStr">
        <is>
          <t>Treadmill</t>
        </is>
      </c>
      <c r="D44" s="33" t="inlineStr">
        <is>
          <t>34:04</t>
        </is>
      </c>
      <c r="E44" s="33" t="n">
        <v>34.07</v>
      </c>
      <c r="F44" s="33" t="n">
        <v>2.62</v>
      </c>
      <c r="G44" s="33" t="inlineStr">
        <is>
          <t>mi</t>
        </is>
      </c>
      <c r="H44" s="33" t="n">
        <v>305</v>
      </c>
      <c r="I44" s="33" t="n">
        <v>89</v>
      </c>
      <c r="J44" s="33" t="n"/>
      <c r="K44" s="33" t="n"/>
    </row>
    <row r="45" ht="15" customHeight="1" s="22">
      <c r="A45" s="32" t="n">
        <v>46191</v>
      </c>
      <c r="B45" s="33" t="inlineStr">
        <is>
          <t>Thu</t>
        </is>
      </c>
      <c r="C45" s="33" t="inlineStr">
        <is>
          <t>Treadmill</t>
        </is>
      </c>
      <c r="D45" s="33" t="inlineStr">
        <is>
          <t>25:18</t>
        </is>
      </c>
      <c r="E45" s="33" t="n">
        <v>25.3</v>
      </c>
      <c r="F45" s="33" t="n">
        <v>1.9</v>
      </c>
      <c r="G45" s="33" t="inlineStr">
        <is>
          <t>mi</t>
        </is>
      </c>
      <c r="H45" s="33" t="n">
        <v>204</v>
      </c>
      <c r="I45" s="33" t="n"/>
      <c r="J45" s="33" t="n"/>
      <c r="K45" s="33" t="inlineStr">
        <is>
          <t>Knee gave 1/10 signal on RDLs - backed off, pivoted to pull</t>
        </is>
      </c>
    </row>
    <row r="46" ht="15" customHeight="1" s="22">
      <c r="A46" s="32" t="n">
        <v>46196</v>
      </c>
      <c r="B46" s="33" t="inlineStr">
        <is>
          <t>Tue</t>
        </is>
      </c>
      <c r="C46" s="33" t="inlineStr">
        <is>
          <t>Run</t>
        </is>
      </c>
      <c r="D46" s="33" t="inlineStr">
        <is>
          <t>36:09</t>
        </is>
      </c>
      <c r="E46" s="33" t="n">
        <v>36.15</v>
      </c>
      <c r="F46" s="33" t="n">
        <v>2.74</v>
      </c>
      <c r="G46" s="33" t="inlineStr">
        <is>
          <t>mi</t>
        </is>
      </c>
      <c r="H46" s="33" t="n">
        <v>302</v>
      </c>
      <c r="I46" s="33" t="n">
        <v>117</v>
      </c>
      <c r="J46" s="33" t="n"/>
      <c r="K46" s="33" t="n"/>
    </row>
    <row r="47" ht="15" customHeight="1" s="22">
      <c r="A47" s="32" t="n">
        <v>46198</v>
      </c>
      <c r="B47" s="33" t="inlineStr">
        <is>
          <t>Thu</t>
        </is>
      </c>
      <c r="C47" s="33" t="inlineStr">
        <is>
          <t>Treadmill</t>
        </is>
      </c>
      <c r="D47" s="33" t="inlineStr">
        <is>
          <t>35:46</t>
        </is>
      </c>
      <c r="E47" s="33" t="n">
        <v>35.77</v>
      </c>
      <c r="F47" s="33" t="n">
        <v>2.73</v>
      </c>
      <c r="G47" s="33" t="inlineStr">
        <is>
          <t>mi</t>
        </is>
      </c>
      <c r="H47" s="33" t="n">
        <v>315</v>
      </c>
      <c r="I47" s="33" t="n"/>
      <c r="J47" s="33" t="n"/>
      <c r="K47" s="33" t="n"/>
    </row>
    <row r="48" ht="15" customHeight="1" s="22">
      <c r="A48" s="32" t="n">
        <v>46201</v>
      </c>
      <c r="B48" s="33" t="inlineStr">
        <is>
          <t>Sun</t>
        </is>
      </c>
      <c r="C48" s="33" t="inlineStr">
        <is>
          <t>Elliptical</t>
        </is>
      </c>
      <c r="D48" s="33" t="inlineStr">
        <is>
          <t>10:39</t>
        </is>
      </c>
      <c r="E48" s="33" t="n">
        <v>10.65</v>
      </c>
      <c r="F48" s="33" t="n">
        <v>2.26</v>
      </c>
      <c r="G48" s="33" t="inlineStr">
        <is>
          <t>mi</t>
        </is>
      </c>
      <c r="H48" s="33" t="n">
        <v>98</v>
      </c>
      <c r="I48" s="33" t="n"/>
      <c r="J48" s="33" t="n"/>
      <c r="K48" s="33" t="inlineStr">
        <is>
          <t>Squat form test flagged LOWER BACK (not knee) - switched to RDLs</t>
        </is>
      </c>
    </row>
    <row r="49" ht="15" customHeight="1" s="22">
      <c r="A49" s="32" t="n">
        <v>46212</v>
      </c>
      <c r="B49" s="33" t="inlineStr">
        <is>
          <t>Thu</t>
        </is>
      </c>
      <c r="C49" s="33" t="inlineStr">
        <is>
          <t>Treadmill</t>
        </is>
      </c>
      <c r="D49" s="33" t="inlineStr">
        <is>
          <t>23:50</t>
        </is>
      </c>
      <c r="E49" s="33" t="n">
        <v>23.83</v>
      </c>
      <c r="F49" s="33" t="n">
        <v>2</v>
      </c>
      <c r="G49" s="33" t="inlineStr">
        <is>
          <t>mi</t>
        </is>
      </c>
      <c r="H49" s="33" t="n">
        <v>225</v>
      </c>
      <c r="I49" s="33" t="n"/>
      <c r="J49" s="33" t="n"/>
      <c r="K49" s="33" t="inlineStr">
        <is>
          <t>First session back after vacation (Jun 29 - Jul 8)</t>
        </is>
      </c>
    </row>
    <row r="50" ht="15" customHeight="1" s="22">
      <c r="A50" s="32" t="n">
        <v>46213</v>
      </c>
      <c r="B50" s="33" t="inlineStr">
        <is>
          <t>Fri</t>
        </is>
      </c>
      <c r="C50" s="33" t="inlineStr">
        <is>
          <t>Elliptical</t>
        </is>
      </c>
      <c r="D50" s="33" t="inlineStr">
        <is>
          <t>15:05</t>
        </is>
      </c>
      <c r="E50" s="33" t="n">
        <v>15.08</v>
      </c>
      <c r="F50" s="33" t="n">
        <v>2.94</v>
      </c>
      <c r="G50" s="33" t="inlineStr">
        <is>
          <t>mi</t>
        </is>
      </c>
      <c r="H50" s="33" t="n">
        <v>144</v>
      </c>
      <c r="I50" s="33" t="n"/>
      <c r="J50" s="33" t="n"/>
      <c r="K50" s="33" t="n"/>
    </row>
    <row r="51" ht="15" customHeight="1" s="22">
      <c r="A51" s="32" t="n">
        <v>46217</v>
      </c>
      <c r="B51" s="33" t="inlineStr">
        <is>
          <t>Tue</t>
        </is>
      </c>
      <c r="C51" s="33" t="inlineStr">
        <is>
          <t>Elliptical</t>
        </is>
      </c>
      <c r="D51" s="33" t="inlineStr">
        <is>
          <t>15:07</t>
        </is>
      </c>
      <c r="E51" s="33" t="n">
        <v>15.12</v>
      </c>
      <c r="F51" s="33" t="n">
        <v>3.3</v>
      </c>
      <c r="G51" s="33" t="inlineStr">
        <is>
          <t>mi</t>
        </is>
      </c>
      <c r="H51" s="33" t="n">
        <v>164</v>
      </c>
      <c r="I51" s="33" t="n">
        <v>142</v>
      </c>
      <c r="J51" s="33" t="n"/>
      <c r="K51" s="33" t="n"/>
    </row>
    <row r="52" ht="15" customHeight="1" s="22">
      <c r="A52" s="32" t="n">
        <v>46217</v>
      </c>
      <c r="B52" s="33" t="inlineStr">
        <is>
          <t>Tue</t>
        </is>
      </c>
      <c r="C52" s="33" t="inlineStr">
        <is>
          <t>Stairs</t>
        </is>
      </c>
      <c r="D52" s="33" t="inlineStr">
        <is>
          <t>15:02</t>
        </is>
      </c>
      <c r="E52" s="33" t="n">
        <v>15.03</v>
      </c>
      <c r="F52" s="33" t="n"/>
      <c r="G52" s="33" t="n"/>
      <c r="H52" s="33" t="n">
        <v>179</v>
      </c>
      <c r="I52" s="33" t="n">
        <v>149</v>
      </c>
      <c r="J52" s="33" t="n"/>
      <c r="K52" s="33" t="n"/>
    </row>
    <row r="53" ht="15" customHeight="1" s="22">
      <c r="A53" s="32" t="n">
        <v>46219</v>
      </c>
      <c r="B53" s="33" t="inlineStr">
        <is>
          <t>Thu</t>
        </is>
      </c>
      <c r="C53" s="33" t="inlineStr">
        <is>
          <t>Treadmill</t>
        </is>
      </c>
      <c r="D53" s="33" t="inlineStr">
        <is>
          <t>35:29</t>
        </is>
      </c>
      <c r="E53" s="33" t="n">
        <v>35.48</v>
      </c>
      <c r="F53" s="33" t="n">
        <v>2.78</v>
      </c>
      <c r="G53" s="33" t="inlineStr">
        <is>
          <t>mi</t>
        </is>
      </c>
      <c r="H53" s="33" t="n">
        <v>330</v>
      </c>
      <c r="I53" s="33" t="n"/>
      <c r="J53" s="33" t="n"/>
      <c r="K53" s="33" t="inlineStr">
        <is>
          <t>Three PR weights matched in one session</t>
        </is>
      </c>
    </row>
    <row r="54" ht="15" customHeight="1" s="22">
      <c r="A54" s="32" t="n">
        <v>46220</v>
      </c>
      <c r="B54" s="33" t="inlineStr">
        <is>
          <t>Fri</t>
        </is>
      </c>
      <c r="C54" s="33" t="inlineStr">
        <is>
          <t>Rowing</t>
        </is>
      </c>
      <c r="D54" s="33" t="n"/>
      <c r="E54" s="33" t="n"/>
      <c r="F54" s="33" t="n"/>
      <c r="G54" s="33" t="n"/>
      <c r="H54" s="33" t="n"/>
      <c r="I54" s="33" t="n"/>
      <c r="J54" s="33" t="n"/>
      <c r="K54" s="33" t="inlineStr">
        <is>
          <t>2800 meters</t>
        </is>
      </c>
    </row>
    <row r="55" ht="15" customHeight="1" s="22">
      <c r="A55" s="32" t="n">
        <v>46221</v>
      </c>
      <c r="B55" s="33" t="inlineStr">
        <is>
          <t>Sat</t>
        </is>
      </c>
      <c r="C55" s="33" t="inlineStr">
        <is>
          <t>Elliptical</t>
        </is>
      </c>
      <c r="D55" s="33" t="inlineStr">
        <is>
          <t>15:07</t>
        </is>
      </c>
      <c r="E55" s="33" t="n">
        <v>15.12</v>
      </c>
      <c r="F55" s="33" t="n">
        <v>2.9</v>
      </c>
      <c r="G55" s="33" t="inlineStr">
        <is>
          <t>mi</t>
        </is>
      </c>
      <c r="H55" s="33" t="n">
        <v>126</v>
      </c>
      <c r="I55" s="33" t="n"/>
      <c r="J55" s="33" t="n"/>
      <c r="K55" s="33" t="inlineStr">
        <is>
          <t>COMEBACK COMPLETE - pre-injury RDL PR reclaimed, squat pattern reintroduced pain-free</t>
        </is>
      </c>
    </row>
    <row r="56" ht="15" customHeight="1" s="22">
      <c r="A56" s="32" t="n">
        <v>46222</v>
      </c>
      <c r="B56" s="33" t="inlineStr">
        <is>
          <t>Sun</t>
        </is>
      </c>
      <c r="C56" s="33" t="inlineStr">
        <is>
          <t>Elliptical</t>
        </is>
      </c>
      <c r="D56" s="33" t="inlineStr">
        <is>
          <t>20:04</t>
        </is>
      </c>
      <c r="E56" s="33" t="n">
        <v>20.07</v>
      </c>
      <c r="F56" s="33" t="n"/>
      <c r="G56" s="33" t="n"/>
      <c r="H56" s="33" t="n">
        <v>202</v>
      </c>
      <c r="I56" s="33" t="n">
        <v>149</v>
      </c>
      <c r="J56" s="33" t="n"/>
      <c r="K56" s="33" t="inlineStr">
        <is>
          <t>239 total cal, effort 6/10; Third session of the day</t>
        </is>
      </c>
    </row>
    <row r="57" ht="15" customHeight="1" s="22">
      <c r="A57" s="32" t="n">
        <v>46222</v>
      </c>
      <c r="B57" s="33" t="inlineStr">
        <is>
          <t>Sun</t>
        </is>
      </c>
      <c r="C57" s="33" t="inlineStr">
        <is>
          <t>Stairs</t>
        </is>
      </c>
      <c r="D57" s="33" t="inlineStr">
        <is>
          <t>10:03</t>
        </is>
      </c>
      <c r="E57" s="33" t="n">
        <v>10.05</v>
      </c>
      <c r="F57" s="33" t="n"/>
      <c r="G57" s="33" t="n"/>
      <c r="H57" s="33" t="n">
        <v>106</v>
      </c>
      <c r="I57" s="33" t="n">
        <v>153</v>
      </c>
      <c r="J57" s="33" t="n"/>
      <c r="K57" s="33" t="inlineStr">
        <is>
          <t>124 total cal; Third session of the day</t>
        </is>
      </c>
    </row>
    <row r="58" ht="15" customHeight="1" s="22">
      <c r="A58" s="32" t="n">
        <v>46224</v>
      </c>
      <c r="B58" s="33" t="inlineStr">
        <is>
          <t>Tue</t>
        </is>
      </c>
      <c r="C58" s="33" t="inlineStr">
        <is>
          <t>Treadmill</t>
        </is>
      </c>
      <c r="D58" s="33" t="inlineStr">
        <is>
          <t>30:07</t>
        </is>
      </c>
      <c r="E58" s="33" t="n">
        <v>30.12</v>
      </c>
      <c r="F58" s="33" t="n">
        <v>2.09</v>
      </c>
      <c r="G58" s="33" t="inlineStr">
        <is>
          <t>mi</t>
        </is>
      </c>
      <c r="H58" s="33" t="n">
        <v>222</v>
      </c>
      <c r="I58" s="33" t="n">
        <v>138</v>
      </c>
      <c r="J58" s="33" t="n"/>
      <c r="K58" s="33" t="inlineStr">
        <is>
          <t>1.6% avg incline, 4.1 mph</t>
        </is>
      </c>
    </row>
    <row r="59">
      <c r="A59" s="36" t="n">
        <v>46229</v>
      </c>
      <c r="B59" t="inlineStr">
        <is>
          <t>Sun</t>
        </is>
      </c>
      <c r="C59" t="inlineStr">
        <is>
          <t>Elliptical</t>
        </is>
      </c>
      <c r="D59" t="inlineStr">
        <is>
          <t>20:00</t>
        </is>
      </c>
      <c r="E59" t="n">
        <v>20</v>
      </c>
      <c r="H59" t="n">
        <v>195</v>
      </c>
      <c r="I59" t="n">
        <v>149</v>
      </c>
      <c r="K59" t="inlineStr">
        <is>
          <t>231 total cal, peak 166 bpm, Oxon Hill hotel gym</t>
        </is>
      </c>
    </row>
    <row r="60">
      <c r="A60" s="36" t="n">
        <v>46230</v>
      </c>
      <c r="B60" t="inlineStr">
        <is>
          <t>Mon</t>
        </is>
      </c>
      <c r="C60" t="inlineStr">
        <is>
          <t>Elliptical</t>
        </is>
      </c>
      <c r="D60" t="inlineStr">
        <is>
          <t>20:10</t>
        </is>
      </c>
      <c r="E60" t="n">
        <v>20.17</v>
      </c>
      <c r="H60" t="n">
        <v>193</v>
      </c>
      <c r="I60" t="n">
        <v>141</v>
      </c>
      <c r="K60" t="inlineStr">
        <is>
          <t>230 total cal, peak 144 bpm, Oxon Hill hotel gym</t>
        </is>
      </c>
    </row>
    <row r="61">
      <c r="A61" s="36" t="n">
        <v>46230</v>
      </c>
      <c r="B61" t="inlineStr">
        <is>
          <t>Mon</t>
        </is>
      </c>
      <c r="C61" t="inlineStr">
        <is>
          <t>Rowing</t>
        </is>
      </c>
      <c r="D61" t="inlineStr">
        <is>
          <t>10:17</t>
        </is>
      </c>
      <c r="E61" t="n">
        <v>10.28</v>
      </c>
      <c r="H61" t="n">
        <v>59</v>
      </c>
      <c r="I61" t="n">
        <v>137</v>
      </c>
      <c r="K61" t="inlineStr">
        <is>
          <t>78 total cal, Oxon Hill hotel gym</t>
        </is>
      </c>
    </row>
    <row r="62">
      <c r="A62" s="36" t="n">
        <v>46231</v>
      </c>
      <c r="B62" t="inlineStr">
        <is>
          <t>Tue</t>
        </is>
      </c>
      <c r="C62" t="inlineStr">
        <is>
          <t>Treadmill</t>
        </is>
      </c>
      <c r="D62" t="inlineStr">
        <is>
          <t>28:22</t>
        </is>
      </c>
      <c r="E62" t="n">
        <v>28.37</v>
      </c>
      <c r="F62" t="n">
        <v>2.05</v>
      </c>
      <c r="G62" t="inlineStr">
        <is>
          <t>mi</t>
        </is>
      </c>
      <c r="H62" t="n">
        <v>224</v>
      </c>
      <c r="I62" t="n">
        <v>148</v>
      </c>
      <c r="K62" t="inlineStr">
        <is>
          <t>28:22, 4.3 mph, 0.5% incline; traveling, hotel gym</t>
        </is>
      </c>
    </row>
    <row r="63">
      <c r="A63" s="36" t="n">
        <v>46233</v>
      </c>
      <c r="B63" t="inlineStr">
        <is>
          <t>Thu</t>
        </is>
      </c>
      <c r="C63" t="inlineStr">
        <is>
          <t>Elliptical</t>
        </is>
      </c>
      <c r="D63" t="inlineStr">
        <is>
          <t>32:01</t>
        </is>
      </c>
      <c r="E63" t="n">
        <v>32.02</v>
      </c>
      <c r="F63" t="n">
        <v>2.16</v>
      </c>
      <c r="G63" t="inlineStr">
        <is>
          <t>mi</t>
        </is>
      </c>
      <c r="H63" t="n">
        <v>216</v>
      </c>
      <c r="K63" t="inlineStr">
        <is>
          <t>32:01, 4.0 mph, home machine; displayed avg HR 206 discarded as sensor glitch. Core: 3 rounds</t>
        </is>
      </c>
    </row>
    <row r="64">
      <c r="A64" s="36" t="n">
        <v>46234</v>
      </c>
      <c r="B64" t="inlineStr">
        <is>
          <t>Fri</t>
        </is>
      </c>
      <c r="C64" t="inlineStr">
        <is>
          <t>Elliptical</t>
        </is>
      </c>
      <c r="D64" t="inlineStr">
        <is>
          <t>30:21</t>
        </is>
      </c>
      <c r="E64" t="n">
        <v>30.35</v>
      </c>
      <c r="H64" t="n">
        <v>284</v>
      </c>
      <c r="I64" t="n">
        <v>144</v>
      </c>
      <c r="K64" t="inlineStr">
        <is>
          <t>30:21, 339 total cal, peak 162 bpm</t>
        </is>
      </c>
    </row>
    <row r="65">
      <c r="A65" s="36" t="n">
        <v>46235</v>
      </c>
      <c r="B65" t="inlineStr">
        <is>
          <t>Sat</t>
        </is>
      </c>
      <c r="C65" t="inlineStr">
        <is>
          <t>Elliptical</t>
        </is>
      </c>
      <c r="D65" t="inlineStr">
        <is>
          <t>15:05</t>
        </is>
      </c>
      <c r="E65" t="n">
        <v>15.08</v>
      </c>
      <c r="F65" t="n">
        <v>2.99</v>
      </c>
      <c r="G65" t="inlineStr">
        <is>
          <t>mi</t>
        </is>
      </c>
      <c r="H65" t="n">
        <v>123</v>
      </c>
      <c r="I65" t="n">
        <v>126</v>
      </c>
      <c r="K65" t="inlineStr">
        <is>
          <t>15:05, 150 total cal, Jersey City. Core: 2 rounds</t>
        </is>
      </c>
    </row>
    <row r="66">
      <c r="A66" s="36" t="n">
        <v>46238</v>
      </c>
      <c r="B66" t="inlineStr">
        <is>
          <t>Tue</t>
        </is>
      </c>
      <c r="C66" t="inlineStr">
        <is>
          <t>Elliptical</t>
        </is>
      </c>
      <c r="D66" t="inlineStr">
        <is>
          <t>10:09</t>
        </is>
      </c>
      <c r="E66" t="n">
        <v>10.15</v>
      </c>
      <c r="F66" t="n">
        <v>1.87</v>
      </c>
      <c r="G66" t="inlineStr">
        <is>
          <t>mi</t>
        </is>
      </c>
      <c r="H66" t="n">
        <v>85</v>
      </c>
      <c r="I66" t="n">
        <v>132</v>
      </c>
      <c r="K66" t="inlineStr">
        <is>
          <t>10:09, 103 total cal, home. Warm-up spin before hinging</t>
        </is>
      </c>
    </row>
    <row r="67">
      <c r="A67" s="36" t="n">
        <v>46240</v>
      </c>
      <c r="B67" t="inlineStr">
        <is>
          <t>Thu</t>
        </is>
      </c>
      <c r="C67" t="inlineStr">
        <is>
          <t>Elliptical</t>
        </is>
      </c>
      <c r="D67" t="inlineStr">
        <is>
          <t>15:05</t>
        </is>
      </c>
      <c r="E67" t="n">
        <v>15.08</v>
      </c>
      <c r="F67" t="n">
        <v>3.07</v>
      </c>
      <c r="G67" t="inlineStr">
        <is>
          <t>mi</t>
        </is>
      </c>
      <c r="H67" t="n">
        <v>141</v>
      </c>
      <c r="I67" t="n">
        <v>138</v>
      </c>
      <c r="K67" t="inlineStr">
        <is>
          <t>15:05, 168 total cal, effort 6, Jersey City. DISPUTED SESSION - see flaggedForReview</t>
        </is>
      </c>
    </row>
    <row r="68">
      <c r="A68" s="36" t="n">
        <v>46240</v>
      </c>
      <c r="B68" t="inlineStr">
        <is>
          <t>Thu</t>
        </is>
      </c>
      <c r="C68" t="inlineStr">
        <is>
          <t>Stairs</t>
        </is>
      </c>
      <c r="D68" t="inlineStr">
        <is>
          <t>15:07</t>
        </is>
      </c>
      <c r="E68" t="n">
        <v>15.12</v>
      </c>
      <c r="H68" t="n">
        <v>166</v>
      </c>
      <c r="I68" t="n">
        <v>152</v>
      </c>
      <c r="K68" t="inlineStr">
        <is>
          <t>15:07, 50 floors, 193 total cal, peak 163. Part of the DISPUTED Aug 6 session</t>
        </is>
      </c>
    </row>
    <row r="69">
      <c r="A69" s="36" t="n">
        <v>46244</v>
      </c>
      <c r="B69" t="inlineStr">
        <is>
          <t>Mon</t>
        </is>
      </c>
      <c r="C69" t="inlineStr">
        <is>
          <t>Bike</t>
        </is>
      </c>
      <c r="D69" t="inlineStr">
        <is>
          <t>25:00</t>
        </is>
      </c>
      <c r="E69" t="n">
        <v>25</v>
      </c>
      <c r="K69" t="inlineStr">
        <is>
          <t>Cruise ship gym. He wrote 'bike'; the coach's recap called it Elliptical. Recorded as Bike</t>
        </is>
      </c>
    </row>
    <row r="70">
      <c r="A70" s="36" t="n">
        <v>46244</v>
      </c>
      <c r="B70" t="inlineStr">
        <is>
          <t>Mon</t>
        </is>
      </c>
      <c r="C70" t="inlineStr">
        <is>
          <t>Walk/Run</t>
        </is>
      </c>
      <c r="D70" t="inlineStr">
        <is>
          <t>10:00</t>
        </is>
      </c>
      <c r="E70" t="n">
        <v>10</v>
      </c>
      <c r="K70" t="inlineStr">
        <is>
          <t>Cruise ship gym, after the 25 min bike</t>
        </is>
      </c>
    </row>
    <row r="71">
      <c r="A71" s="36" t="n">
        <v>46245</v>
      </c>
      <c r="B71" t="inlineStr">
        <is>
          <t>Tue</t>
        </is>
      </c>
      <c r="C71" t="inlineStr">
        <is>
          <t>Elliptical</t>
        </is>
      </c>
      <c r="D71" t="inlineStr">
        <is>
          <t>25:00</t>
        </is>
      </c>
      <c r="E71" t="n">
        <v>25</v>
      </c>
      <c r="K71" t="inlineStr">
        <is>
          <t>Cruise ship gym. No distance, calories or HR reported</t>
        </is>
      </c>
    </row>
    <row r="72">
      <c r="A72" s="36" t="n">
        <v>46248</v>
      </c>
      <c r="B72" t="inlineStr">
        <is>
          <t>Fri</t>
        </is>
      </c>
      <c r="C72" t="inlineStr">
        <is>
          <t>Elliptical</t>
        </is>
      </c>
      <c r="D72" t="inlineStr">
        <is>
          <t>30:11</t>
        </is>
      </c>
      <c r="E72" t="n">
        <v>30.18</v>
      </c>
      <c r="H72" t="n">
        <v>278</v>
      </c>
      <c r="I72" t="n">
        <v>137</v>
      </c>
      <c r="K72" t="inlineStr">
        <is>
          <t>Cruise ship gym. 30:11, no distance reported</t>
        </is>
      </c>
    </row>
    <row r="73">
      <c r="A73" s="36" t="n">
        <v>46250</v>
      </c>
      <c r="B73" t="inlineStr">
        <is>
          <t>Sun</t>
        </is>
      </c>
      <c r="C73" t="inlineStr">
        <is>
          <t>Run</t>
        </is>
      </c>
      <c r="D73" t="inlineStr">
        <is>
          <t>30:00</t>
        </is>
      </c>
      <c r="E73" t="n">
        <v>30</v>
      </c>
      <c r="F73" t="n">
        <v>2.38</v>
      </c>
      <c r="G73" t="inlineStr">
        <is>
          <t>mi</t>
        </is>
      </c>
      <c r="H73" t="n">
        <v>407</v>
      </c>
      <c r="K73" t="inlineStr">
        <is>
          <t>Back home. Core circuit also done, not itemized in the chat</t>
        </is>
      </c>
    </row>
    <row r="74">
      <c r="A74" s="36" t="n">
        <v>46252</v>
      </c>
      <c r="B74" t="inlineStr">
        <is>
          <t>Tue</t>
        </is>
      </c>
      <c r="C74" t="inlineStr">
        <is>
          <t>Treadmill</t>
        </is>
      </c>
      <c r="D74" t="inlineStr">
        <is>
          <t>33:19</t>
        </is>
      </c>
      <c r="E74" t="n">
        <v>33.32</v>
      </c>
      <c r="F74" t="n">
        <v>2.62</v>
      </c>
      <c r="G74" t="inlineStr">
        <is>
          <t>mi</t>
        </is>
      </c>
      <c r="H74" t="n">
        <v>310</v>
      </c>
      <c r="K74" t="inlineStr">
        <is>
          <t>33:19, 0.7% incline, 4.7 mph. Core circuit also done. First session after the Aug 17 shoulder injury</t>
        </is>
      </c>
    </row>
    <row r="75">
      <c r="A75" s="36" t="n">
        <v>46254</v>
      </c>
      <c r="B75" t="inlineStr">
        <is>
          <t>Thu</t>
        </is>
      </c>
      <c r="C75" t="inlineStr">
        <is>
          <t>Treadmill</t>
        </is>
      </c>
      <c r="D75" t="inlineStr">
        <is>
          <t>30:23</t>
        </is>
      </c>
      <c r="E75" t="n">
        <v>30.38</v>
      </c>
      <c r="F75" t="n">
        <v>2.14</v>
      </c>
      <c r="G75" t="inlineStr">
        <is>
          <t>mi</t>
        </is>
      </c>
      <c r="H75" t="n">
        <v>232</v>
      </c>
      <c r="K75" t="inlineStr">
        <is>
          <t>30:23, 1.0% incline, 4.2 mph. Core: 3 rounds of 10 crunches</t>
        </is>
      </c>
    </row>
    <row r="76">
      <c r="A76" s="36" t="n">
        <v>46255</v>
      </c>
      <c r="B76" t="inlineStr">
        <is>
          <t>Fri</t>
        </is>
      </c>
      <c r="C76" t="inlineStr">
        <is>
          <t>Elliptical</t>
        </is>
      </c>
      <c r="D76" t="inlineStr">
        <is>
          <t>11:05</t>
        </is>
      </c>
      <c r="E76" t="n">
        <v>11.08</v>
      </c>
      <c r="F76" t="n">
        <v>2.58</v>
      </c>
      <c r="G76" t="inlineStr">
        <is>
          <t>mi</t>
        </is>
      </c>
      <c r="H76" t="n">
        <v>109</v>
      </c>
      <c r="I76" t="n">
        <v>148</v>
      </c>
      <c r="K76" t="inlineStr">
        <is>
          <t>11:05, 63 rpm</t>
        </is>
      </c>
    </row>
    <row r="77">
      <c r="A77" s="36" t="n">
        <v>46255</v>
      </c>
      <c r="B77" t="inlineStr">
        <is>
          <t>Fri</t>
        </is>
      </c>
      <c r="C77" t="inlineStr">
        <is>
          <t>Stairs</t>
        </is>
      </c>
      <c r="D77" t="inlineStr">
        <is>
          <t>11:00</t>
        </is>
      </c>
      <c r="E77" t="n">
        <v>11</v>
      </c>
      <c r="H77" t="n">
        <v>117</v>
      </c>
      <c r="I77" t="n">
        <v>158</v>
      </c>
      <c r="K77" t="inlineStr">
        <is>
          <t>Peaked 166 bpm. Second bout after the elliptical</t>
        </is>
      </c>
    </row>
    <row r="78">
      <c r="A78" s="36" t="n">
        <v>46257</v>
      </c>
      <c r="B78" t="inlineStr">
        <is>
          <t>Sun</t>
        </is>
      </c>
      <c r="C78" t="inlineStr">
        <is>
          <t>Elliptical</t>
        </is>
      </c>
      <c r="D78" t="inlineStr">
        <is>
          <t>30:30</t>
        </is>
      </c>
      <c r="E78" t="n">
        <v>30.5</v>
      </c>
      <c r="H78" t="n">
        <v>256</v>
      </c>
      <c r="I78" t="n">
        <v>138</v>
      </c>
      <c r="K78" t="inlineStr">
        <is>
          <t>30:30, 311 total cal, peaked 159 bpm. Shoulder PT prescribed after lifting but he never reported which moves he did</t>
        </is>
      </c>
    </row>
    <row r="79">
      <c r="A79" s="36" t="n">
        <v>46259</v>
      </c>
      <c r="B79" t="inlineStr">
        <is>
          <t>Tue</t>
        </is>
      </c>
      <c r="C79" t="inlineStr">
        <is>
          <t>Stairs</t>
        </is>
      </c>
      <c r="D79" t="inlineStr">
        <is>
          <t>15:51</t>
        </is>
      </c>
      <c r="E79" t="n">
        <v>15.85</v>
      </c>
      <c r="H79" t="n">
        <v>170</v>
      </c>
      <c r="I79" t="n">
        <v>156</v>
      </c>
      <c r="K79" t="inlineStr">
        <is>
          <t>15:51, 50 floors, 199 total cal, peaked 163 bpm. Cardio only, no lifting reported</t>
        </is>
      </c>
    </row>
    <row r="80">
      <c r="A80" s="36" t="n">
        <v>46270</v>
      </c>
      <c r="B80" t="inlineStr">
        <is>
          <t>Sat</t>
        </is>
      </c>
      <c r="C80" t="inlineStr">
        <is>
          <t>Run</t>
        </is>
      </c>
      <c r="D80" t="inlineStr">
        <is>
          <t>20:36</t>
        </is>
      </c>
      <c r="E80" t="n">
        <v>20.6</v>
      </c>
      <c r="F80" t="n">
        <v>1.48</v>
      </c>
      <c r="G80" t="inlineStr">
        <is>
          <t>mi</t>
        </is>
      </c>
      <c r="H80" t="n">
        <v>187</v>
      </c>
      <c r="I80" t="n">
        <v>142</v>
      </c>
      <c r="K80" t="inlineStr">
        <is>
          <t>20:36, effort 6. First session back after ~11 days off sick; shoulder improving</t>
        </is>
      </c>
    </row>
    <row r="81">
      <c r="A81" s="36" t="n">
        <v>46271</v>
      </c>
      <c r="B81" t="inlineStr">
        <is>
          <t>Sun</t>
        </is>
      </c>
      <c r="C81" t="inlineStr">
        <is>
          <t>Elliptical</t>
        </is>
      </c>
      <c r="D81" t="inlineStr">
        <is>
          <t>29:32</t>
        </is>
      </c>
      <c r="E81" t="n">
        <v>29.53</v>
      </c>
      <c r="H81" t="n">
        <v>316</v>
      </c>
      <c r="I81" t="n">
        <v>150</v>
      </c>
      <c r="K81" t="inlineStr">
        <is>
          <t>29:32, 369 total cal, peaked 175 bpm</t>
        </is>
      </c>
    </row>
    <row r="82">
      <c r="A82" s="36" t="n">
        <v>46273</v>
      </c>
      <c r="B82" t="inlineStr">
        <is>
          <t>Tue</t>
        </is>
      </c>
      <c r="C82" t="inlineStr">
        <is>
          <t>Elliptical</t>
        </is>
      </c>
      <c r="D82" t="inlineStr">
        <is>
          <t>20:11</t>
        </is>
      </c>
      <c r="E82" t="n">
        <v>20.18</v>
      </c>
      <c r="F82" t="n">
        <v>4.25</v>
      </c>
      <c r="G82" t="inlineStr">
        <is>
          <t>mi</t>
        </is>
      </c>
      <c r="H82" t="n">
        <v>207</v>
      </c>
      <c r="I82" t="n">
        <v>147</v>
      </c>
      <c r="K82" t="inlineStr">
        <is>
          <t>20:11, 244 total cal, 62 rpm</t>
        </is>
      </c>
    </row>
    <row r="83">
      <c r="A83" s="36" t="n">
        <v>46274</v>
      </c>
      <c r="B83" t="inlineStr">
        <is>
          <t>Wed</t>
        </is>
      </c>
      <c r="C83" t="inlineStr">
        <is>
          <t>Elliptical</t>
        </is>
      </c>
      <c r="D83" t="inlineStr">
        <is>
          <t>15:41</t>
        </is>
      </c>
      <c r="E83" t="n">
        <v>15.68</v>
      </c>
      <c r="F83" t="n">
        <v>3.59</v>
      </c>
      <c r="G83" t="inlineStr">
        <is>
          <t>mi</t>
        </is>
      </c>
      <c r="H83" t="n">
        <v>136</v>
      </c>
      <c r="I83" t="n">
        <v>150</v>
      </c>
      <c r="K83" t="inlineStr">
        <is>
          <t>15:41, 164 total cal, 71 rpm. Cardio only, he wrote 'It's Wednesday. Done'</t>
        </is>
      </c>
    </row>
    <row r="84">
      <c r="A84" s="36" t="n">
        <v>46274</v>
      </c>
      <c r="B84" t="inlineStr">
        <is>
          <t>Wed</t>
        </is>
      </c>
      <c r="C84" t="inlineStr">
        <is>
          <t>Stairs</t>
        </is>
      </c>
      <c r="D84" t="inlineStr">
        <is>
          <t>10:45</t>
        </is>
      </c>
      <c r="E84" t="n">
        <v>10.75</v>
      </c>
      <c r="H84" t="n">
        <v>124</v>
      </c>
      <c r="I84" t="n">
        <v>162</v>
      </c>
      <c r="K84" t="inlineStr">
        <is>
          <t>10:45, 144 total cal. Second bout after the elliptical</t>
        </is>
      </c>
    </row>
    <row r="85">
      <c r="A85" s="36" t="n">
        <v>46278</v>
      </c>
      <c r="B85" t="inlineStr">
        <is>
          <t>Sun</t>
        </is>
      </c>
      <c r="C85" t="inlineStr">
        <is>
          <t>Elliptical</t>
        </is>
      </c>
      <c r="D85" t="inlineStr">
        <is>
          <t>26:12</t>
        </is>
      </c>
      <c r="E85" t="n">
        <v>26.2</v>
      </c>
      <c r="F85" t="n">
        <v>5.55</v>
      </c>
      <c r="G85" t="inlineStr">
        <is>
          <t>mi</t>
        </is>
      </c>
      <c r="H85" t="n">
        <v>257</v>
      </c>
      <c r="I85" t="n">
        <v>137</v>
      </c>
      <c r="K85" t="inlineStr">
        <is>
          <t>26:12, 66 rpm avg, 305 total cal. Stairs bout also done, see extraCardio</t>
        </is>
      </c>
    </row>
    <row r="86">
      <c r="A86" s="36" t="n">
        <v>46278</v>
      </c>
      <c r="B86" t="inlineStr">
        <is>
          <t>Sun</t>
        </is>
      </c>
      <c r="C86" t="inlineStr">
        <is>
          <t>Stairs</t>
        </is>
      </c>
      <c r="D86" t="inlineStr">
        <is>
          <t>16:05</t>
        </is>
      </c>
      <c r="E86" t="n">
        <v>16.08</v>
      </c>
      <c r="H86" t="n">
        <v>114</v>
      </c>
      <c r="I86" t="n">
        <v>123</v>
      </c>
    </row>
    <row r="87">
      <c r="A87" s="36" t="n">
        <v>46279</v>
      </c>
      <c r="B87" t="inlineStr">
        <is>
          <t>Mon</t>
        </is>
      </c>
      <c r="C87" t="inlineStr">
        <is>
          <t>Run</t>
        </is>
      </c>
      <c r="D87" t="inlineStr">
        <is>
          <t>21:05</t>
        </is>
      </c>
      <c r="E87" t="n">
        <v>21.08</v>
      </c>
      <c r="F87" t="n">
        <v>1.64</v>
      </c>
      <c r="G87" t="inlineStr">
        <is>
          <t>mi</t>
        </is>
      </c>
      <c r="H87" t="n">
        <v>261</v>
      </c>
      <c r="I87" t="n">
        <v>145</v>
      </c>
      <c r="K87" t="inlineStr">
        <is>
          <t>Peloton run, 21:05, 12:49 pace, peak HR 169</t>
        </is>
      </c>
    </row>
    <row r="88">
      <c r="A88" s="36" t="n">
        <v>46282</v>
      </c>
      <c r="B88" t="inlineStr">
        <is>
          <t>Thu</t>
        </is>
      </c>
      <c r="C88" t="inlineStr">
        <is>
          <t>Run</t>
        </is>
      </c>
      <c r="D88" t="inlineStr">
        <is>
          <t>15:00</t>
        </is>
      </c>
      <c r="E88" t="n">
        <v>15</v>
      </c>
      <c r="F88" t="n">
        <v>1.21</v>
      </c>
      <c r="G88" t="inlineStr">
        <is>
          <t>mi</t>
        </is>
      </c>
      <c r="H88" t="n">
        <v>208</v>
      </c>
      <c r="K88" t="inlineStr">
        <is>
          <t>Peloton 15 min 2000s Pop Run (Jon Hosking), 12:03 pace, 5 mph. No HR on the console readout</t>
        </is>
      </c>
    </row>
    <row r="89">
      <c r="A89" s="36" t="n">
        <v>46283</v>
      </c>
      <c r="B89" t="inlineStr">
        <is>
          <t>Fri</t>
        </is>
      </c>
      <c r="C89" t="inlineStr">
        <is>
          <t>Run</t>
        </is>
      </c>
      <c r="D89" t="inlineStr">
        <is>
          <t>30:00</t>
        </is>
      </c>
      <c r="E89" t="n">
        <v>30</v>
      </c>
      <c r="F89" t="n">
        <v>2.51</v>
      </c>
      <c r="G89" t="inlineStr">
        <is>
          <t>mi</t>
        </is>
      </c>
      <c r="H89" t="n">
        <v>408</v>
      </c>
      <c r="K89" t="inlineStr">
        <is>
          <t>Peloton 30 min Tropical House Run (Adrian Williams), 11:42 pace, 5.1 mph. Core: 2 rounds (crunches, bicycle crunches, leg raises, dead bugs), not itemized. No HR on the console readout</t>
        </is>
      </c>
    </row>
    <row r="90">
      <c r="A90" s="36" t="n">
        <v>46287</v>
      </c>
      <c r="B90" t="inlineStr">
        <is>
          <t>Tue</t>
        </is>
      </c>
      <c r="C90" t="inlineStr">
        <is>
          <t>Run</t>
        </is>
      </c>
      <c r="D90" t="inlineStr">
        <is>
          <t>30:00</t>
        </is>
      </c>
      <c r="E90" t="n">
        <v>30</v>
      </c>
      <c r="F90" t="n">
        <v>2.38</v>
      </c>
      <c r="G90" t="inlineStr">
        <is>
          <t>mi</t>
        </is>
      </c>
      <c r="H90" t="n">
        <v>437</v>
      </c>
      <c r="K90" t="inlineStr">
        <is>
          <t>Peloton 30 min Pop Punk Run (Jermaine Johnson), 11:30 pace, 5.2 mph. Morning run; pull session in the afternoon. First back work since the Aug 17 shoulder injury</t>
        </is>
      </c>
    </row>
    <row r="91">
      <c r="A91" s="36" t="n">
        <v>46291</v>
      </c>
      <c r="B91" t="inlineStr">
        <is>
          <t>Sat</t>
        </is>
      </c>
      <c r="C91" t="inlineStr">
        <is>
          <t>Run</t>
        </is>
      </c>
      <c r="D91" t="inlineStr">
        <is>
          <t>20:00</t>
        </is>
      </c>
      <c r="E91" t="n">
        <v>20</v>
      </c>
      <c r="F91" t="n">
        <v>1.71</v>
      </c>
      <c r="G91" t="inlineStr">
        <is>
          <t>mi</t>
        </is>
      </c>
      <c r="H91" t="n">
        <v>273</v>
      </c>
      <c r="K91" t="inlineStr">
        <is>
          <t>Peloton 20 min 90s Rock Run (Jon Hosking), 11:35 pace, 5.2 mph. No HR on the console readout</t>
        </is>
      </c>
    </row>
    <row r="92">
      <c r="A92" s="36" t="n">
        <v>46292</v>
      </c>
      <c r="B92" t="inlineStr">
        <is>
          <t>Sun</t>
        </is>
      </c>
      <c r="C92" t="inlineStr">
        <is>
          <t>Run</t>
        </is>
      </c>
      <c r="D92" t="inlineStr">
        <is>
          <t>30:00</t>
        </is>
      </c>
      <c r="E92" t="n">
        <v>30</v>
      </c>
      <c r="F92" t="n">
        <v>1.8</v>
      </c>
      <c r="G92" t="inlineStr">
        <is>
          <t>mi</t>
        </is>
      </c>
      <c r="H92" t="n">
        <v>306</v>
      </c>
      <c r="K92" t="inlineStr">
        <is>
          <t>Peloton 30 min 2010s Run (Alex Toussaint), 12:06 pace, 5 mph. No HR on the console readout</t>
        </is>
      </c>
    </row>
    <row r="93">
      <c r="A93" s="36" t="n">
        <v>46294</v>
      </c>
      <c r="B93" t="inlineStr">
        <is>
          <t>Tue</t>
        </is>
      </c>
      <c r="C93" t="inlineStr">
        <is>
          <t>Elliptical</t>
        </is>
      </c>
      <c r="D93" t="inlineStr">
        <is>
          <t>20:09</t>
        </is>
      </c>
      <c r="E93" t="n">
        <v>20.15</v>
      </c>
      <c r="H93" t="n">
        <v>202</v>
      </c>
      <c r="I93" t="n">
        <v>148</v>
      </c>
      <c r="K93" t="inlineStr">
        <is>
          <t>20:09, 239 total cal, effort 6. Distance not in the console readout</t>
        </is>
      </c>
    </row>
    <row r="94">
      <c r="A94" s="36" t="n">
        <v>46297</v>
      </c>
      <c r="B94" t="inlineStr">
        <is>
          <t>Fri</t>
        </is>
      </c>
      <c r="C94" t="inlineStr">
        <is>
          <t>Elliptical</t>
        </is>
      </c>
      <c r="D94" t="inlineStr">
        <is>
          <t>15:05</t>
        </is>
      </c>
      <c r="E94" t="n">
        <v>15.08</v>
      </c>
      <c r="F94" t="n">
        <v>3.76</v>
      </c>
      <c r="G94" t="inlineStr">
        <is>
          <t>mi</t>
        </is>
      </c>
      <c r="H94" t="n">
        <v>143</v>
      </c>
      <c r="I94" t="n">
        <v>145</v>
      </c>
      <c r="K94" t="inlineStr">
        <is>
          <t>15:05, 170 total cal, 69 rpm</t>
        </is>
      </c>
    </row>
    <row r="95">
      <c r="A95" s="36" t="n">
        <v>46301</v>
      </c>
      <c r="B95" t="inlineStr">
        <is>
          <t>Tue</t>
        </is>
      </c>
      <c r="C95" t="inlineStr">
        <is>
          <t>Elliptical</t>
        </is>
      </c>
      <c r="D95" t="inlineStr">
        <is>
          <t>10:10</t>
        </is>
      </c>
      <c r="E95" t="n">
        <v>10.17</v>
      </c>
      <c r="F95" t="n">
        <v>2.18</v>
      </c>
      <c r="G95" t="inlineStr">
        <is>
          <t>mi</t>
        </is>
      </c>
      <c r="H95" t="n">
        <v>83</v>
      </c>
      <c r="I95" t="n">
        <v>134</v>
      </c>
      <c r="K95" t="inlineStr">
        <is>
          <t>10:10, 102 total cal, 67 rpm. First Smith bench and Smith incline since the Aug 17 shoulder injury</t>
        </is>
      </c>
    </row>
    <row r="96">
      <c r="A96" s="36" t="n">
        <v>46303</v>
      </c>
      <c r="B96" t="inlineStr">
        <is>
          <t>Thu</t>
        </is>
      </c>
      <c r="C96" t="inlineStr">
        <is>
          <t>Elliptical</t>
        </is>
      </c>
      <c r="D96" t="inlineStr">
        <is>
          <t>10:52</t>
        </is>
      </c>
      <c r="E96" t="n">
        <v>10.87</v>
      </c>
      <c r="F96" t="n">
        <v>2.37</v>
      </c>
      <c r="G96" t="inlineStr">
        <is>
          <t>mi</t>
        </is>
      </c>
      <c r="H96" t="n">
        <v>80</v>
      </c>
      <c r="I96" t="n">
        <v>134</v>
      </c>
      <c r="K96" t="inlineStr">
        <is>
          <t>10:52, 100 total cal, 71 rpm. Pinched a nerve during shrugs and paused them at 45</t>
        </is>
      </c>
    </row>
    <row r="97"/>
  </sheetData>
  <autoFilter ref="A1:K5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Q8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1" min="1" max="1"/>
    <col width="13" customWidth="1" style="21" min="2" max="34"/>
  </cols>
  <sheetData>
    <row r="1" ht="45.75" customHeight="1" s="22">
      <c r="A1" s="37" t="inlineStr">
        <is>
          <t>Date</t>
        </is>
      </c>
      <c r="B1" s="38" t="inlineStr">
        <is>
          <t>Squats</t>
        </is>
      </c>
      <c r="C1" s="38" t="inlineStr">
        <is>
          <t>RDLs</t>
        </is>
      </c>
      <c r="D1" s="38" t="inlineStr">
        <is>
          <t>Calf Raises (Smith)</t>
        </is>
      </c>
      <c r="E1" s="38" t="inlineStr">
        <is>
          <t>Lunges</t>
        </is>
      </c>
      <c r="F1" s="38" t="inlineStr">
        <is>
          <t>Bench Press (DB)</t>
        </is>
      </c>
      <c r="G1" s="38" t="inlineStr">
        <is>
          <t>Single Arm Lat Pulldown</t>
        </is>
      </c>
      <c r="H1" s="38" t="inlineStr">
        <is>
          <t>Shoulder Press</t>
        </is>
      </c>
      <c r="I1" s="38" t="inlineStr">
        <is>
          <t>Bicep Curls (DB)</t>
        </is>
      </c>
      <c r="J1" s="38" t="inlineStr">
        <is>
          <t>DB Rows</t>
        </is>
      </c>
      <c r="K1" s="38" t="inlineStr">
        <is>
          <t>Tricep Ext Overhead</t>
        </is>
      </c>
      <c r="L1" s="38" t="inlineStr">
        <is>
          <t>Incline Flyes</t>
        </is>
      </c>
      <c r="M1" s="38" t="inlineStr">
        <is>
          <t>Smith Rows</t>
        </is>
      </c>
      <c r="N1" s="38" t="inlineStr">
        <is>
          <t>Lateral Raises</t>
        </is>
      </c>
      <c r="O1" s="38" t="inlineStr">
        <is>
          <t>Shrugs</t>
        </is>
      </c>
      <c r="P1" s="38" t="inlineStr">
        <is>
          <t>Chest Press Machine</t>
        </is>
      </c>
      <c r="Q1" s="38" t="inlineStr">
        <is>
          <t>Lat Pulldown Machine</t>
        </is>
      </c>
      <c r="R1" s="38" t="inlineStr">
        <is>
          <t>Shoulder Press Machine</t>
        </is>
      </c>
      <c r="S1" s="38" t="inlineStr">
        <is>
          <t>Assisted Pull-ups</t>
        </is>
      </c>
      <c r="T1" s="38" t="inlineStr">
        <is>
          <t>Dips</t>
        </is>
      </c>
      <c r="U1" s="38" t="inlineStr">
        <is>
          <t>Chin-ups</t>
        </is>
      </c>
      <c r="V1" s="38" t="inlineStr">
        <is>
          <t>Bench Press (Smith)</t>
        </is>
      </c>
      <c r="W1" s="38" t="inlineStr">
        <is>
          <t>Incline Bench (DB)</t>
        </is>
      </c>
      <c r="X1" s="38" t="inlineStr">
        <is>
          <t>Bicep Curls (Cable)</t>
        </is>
      </c>
      <c r="Y1" s="38" t="inlineStr">
        <is>
          <t>Face Pulls</t>
        </is>
      </c>
      <c r="Z1" s="38" t="inlineStr">
        <is>
          <t>Hammer Curls</t>
        </is>
      </c>
      <c r="AA1" s="38" t="inlineStr">
        <is>
          <t>Incline Bench (Smith)</t>
        </is>
      </c>
      <c r="AB1" s="38" t="inlineStr">
        <is>
          <t>Standing Cable Press</t>
        </is>
      </c>
      <c r="AC1" s="38" t="inlineStr">
        <is>
          <t>Tricep Pulldown</t>
        </is>
      </c>
      <c r="AD1" s="38" t="inlineStr">
        <is>
          <t>Straight Arm Pulldown</t>
        </is>
      </c>
      <c r="AE1" s="38" t="inlineStr">
        <is>
          <t>Cable Flyes</t>
        </is>
      </c>
      <c r="AF1" s="38" t="inlineStr">
        <is>
          <t>Goblet Squats</t>
        </is>
      </c>
      <c r="AG1" s="38" t="inlineStr">
        <is>
          <t>Calf Raises (DB)</t>
        </is>
      </c>
      <c r="AH1" s="38" t="inlineStr">
        <is>
          <t>Bodyweight Squats</t>
        </is>
      </c>
      <c r="AI1" t="inlineStr">
        <is>
          <t>RDLs (DB)</t>
        </is>
      </c>
      <c r="AJ1" t="inlineStr">
        <is>
          <t>Assisted Neutral Grip Pull-ups</t>
        </is>
      </c>
      <c r="AK1" t="inlineStr">
        <is>
          <t>Assisted Chin-ups</t>
        </is>
      </c>
      <c r="AL1" t="inlineStr">
        <is>
          <t>Hip Abduction</t>
        </is>
      </c>
      <c r="AM1" t="inlineStr">
        <is>
          <t>Hip Adduction</t>
        </is>
      </c>
      <c r="AN1" t="inlineStr">
        <is>
          <t>Assisted Tricep Dips</t>
        </is>
      </c>
      <c r="AO1" t="inlineStr">
        <is>
          <t>Chest-Supported DB Rows</t>
        </is>
      </c>
      <c r="AP1" t="inlineStr">
        <is>
          <t>DB Flyes</t>
        </is>
      </c>
    </row>
    <row r="2" ht="15" customHeight="1" s="22">
      <c r="A2" s="39" t="n">
        <v>46039</v>
      </c>
      <c r="B2" s="26">
        <f>IF(_xlfn.MAXIFS(Sets!$H$2:$H$2000,Sets!$A$2:$A$2000,$A2,Sets!$D$2:$D$2000,B$1,Sets!$J$2:$J$2000,"N")=0,"",_xlfn.MAXIFS(Sets!$H$2:$H$2000,Sets!$A$2:$A$2000,$A2,Sets!$D$2:$D$2000,B$1,Sets!$J$2:$J$2000,"N"))</f>
        <v/>
      </c>
      <c r="C2" s="26">
        <f>IF(_xlfn.MAXIFS(Sets!$H$2:$H$2000,Sets!$A$2:$A$2000,$A2,Sets!$D$2:$D$2000,C$1,Sets!$J$2:$J$2000,"N")=0,"",_xlfn.MAXIFS(Sets!$H$2:$H$2000,Sets!$A$2:$A$2000,$A2,Sets!$D$2:$D$2000,C$1,Sets!$J$2:$J$2000,"N"))</f>
        <v/>
      </c>
      <c r="D2" s="26">
        <f>IF(_xlfn.MAXIFS(Sets!$H$2:$H$2000,Sets!$A$2:$A$2000,$A2,Sets!$D$2:$D$2000,D$1,Sets!$J$2:$J$2000,"N")=0,"",_xlfn.MAXIFS(Sets!$H$2:$H$2000,Sets!$A$2:$A$2000,$A2,Sets!$D$2:$D$2000,D$1,Sets!$J$2:$J$2000,"N"))</f>
        <v/>
      </c>
      <c r="E2" s="26">
        <f>IF(_xlfn.MAXIFS(Sets!$H$2:$H$2000,Sets!$A$2:$A$2000,$A2,Sets!$D$2:$D$2000,E$1,Sets!$J$2:$J$2000,"N")=0,"",_xlfn.MAXIFS(Sets!$H$2:$H$2000,Sets!$A$2:$A$2000,$A2,Sets!$D$2:$D$2000,E$1,Sets!$J$2:$J$2000,"N"))</f>
        <v/>
      </c>
      <c r="F2" s="26">
        <f>IF(_xlfn.MAXIFS(Sets!$H$2:$H$2000,Sets!$A$2:$A$2000,$A2,Sets!$D$2:$D$2000,F$1,Sets!$J$2:$J$2000,"N")=0,"",_xlfn.MAXIFS(Sets!$H$2:$H$2000,Sets!$A$2:$A$2000,$A2,Sets!$D$2:$D$2000,F$1,Sets!$J$2:$J$2000,"N"))</f>
        <v/>
      </c>
      <c r="G2" s="26">
        <f>IF(_xlfn.MAXIFS(Sets!$H$2:$H$2000,Sets!$A$2:$A$2000,$A2,Sets!$D$2:$D$2000,G$1,Sets!$J$2:$J$2000,"N")=0,"",_xlfn.MAXIFS(Sets!$H$2:$H$2000,Sets!$A$2:$A$2000,$A2,Sets!$D$2:$D$2000,G$1,Sets!$J$2:$J$2000,"N"))</f>
        <v/>
      </c>
      <c r="H2" s="26">
        <f>IF(_xlfn.MAXIFS(Sets!$H$2:$H$2000,Sets!$A$2:$A$2000,$A2,Sets!$D$2:$D$2000,H$1,Sets!$J$2:$J$2000,"N")=0,"",_xlfn.MAXIFS(Sets!$H$2:$H$2000,Sets!$A$2:$A$2000,$A2,Sets!$D$2:$D$2000,H$1,Sets!$J$2:$J$2000,"N"))</f>
        <v/>
      </c>
      <c r="I2" s="26">
        <f>IF(_xlfn.MAXIFS(Sets!$H$2:$H$2000,Sets!$A$2:$A$2000,$A2,Sets!$D$2:$D$2000,I$1,Sets!$J$2:$J$2000,"N")=0,"",_xlfn.MAXIFS(Sets!$H$2:$H$2000,Sets!$A$2:$A$2000,$A2,Sets!$D$2:$D$2000,I$1,Sets!$J$2:$J$2000,"N"))</f>
        <v/>
      </c>
      <c r="J2" s="26">
        <f>IF(_xlfn.MAXIFS(Sets!$H$2:$H$2000,Sets!$A$2:$A$2000,$A2,Sets!$D$2:$D$2000,J$1,Sets!$J$2:$J$2000,"N")=0,"",_xlfn.MAXIFS(Sets!$H$2:$H$2000,Sets!$A$2:$A$2000,$A2,Sets!$D$2:$D$2000,J$1,Sets!$J$2:$J$2000,"N"))</f>
        <v/>
      </c>
      <c r="K2" s="26">
        <f>IF(_xlfn.MAXIFS(Sets!$H$2:$H$2000,Sets!$A$2:$A$2000,$A2,Sets!$D$2:$D$2000,K$1,Sets!$J$2:$J$2000,"N")=0,"",_xlfn.MAXIFS(Sets!$H$2:$H$2000,Sets!$A$2:$A$2000,$A2,Sets!$D$2:$D$2000,K$1,Sets!$J$2:$J$2000,"N"))</f>
        <v/>
      </c>
      <c r="L2" s="26">
        <f>IF(_xlfn.MAXIFS(Sets!$H$2:$H$2000,Sets!$A$2:$A$2000,$A2,Sets!$D$2:$D$2000,L$1,Sets!$J$2:$J$2000,"N")=0,"",_xlfn.MAXIFS(Sets!$H$2:$H$2000,Sets!$A$2:$A$2000,$A2,Sets!$D$2:$D$2000,L$1,Sets!$J$2:$J$2000,"N"))</f>
        <v/>
      </c>
      <c r="M2" s="26">
        <f>IF(_xlfn.MAXIFS(Sets!$H$2:$H$2000,Sets!$A$2:$A$2000,$A2,Sets!$D$2:$D$2000,M$1,Sets!$J$2:$J$2000,"N")=0,"",_xlfn.MAXIFS(Sets!$H$2:$H$2000,Sets!$A$2:$A$2000,$A2,Sets!$D$2:$D$2000,M$1,Sets!$J$2:$J$2000,"N"))</f>
        <v/>
      </c>
      <c r="N2" s="26">
        <f>IF(_xlfn.MAXIFS(Sets!$H$2:$H$2000,Sets!$A$2:$A$2000,$A2,Sets!$D$2:$D$2000,N$1,Sets!$J$2:$J$2000,"N")=0,"",_xlfn.MAXIFS(Sets!$H$2:$H$2000,Sets!$A$2:$A$2000,$A2,Sets!$D$2:$D$2000,N$1,Sets!$J$2:$J$2000,"N"))</f>
        <v/>
      </c>
      <c r="O2" s="26">
        <f>IF(_xlfn.MAXIFS(Sets!$H$2:$H$2000,Sets!$A$2:$A$2000,$A2,Sets!$D$2:$D$2000,O$1,Sets!$J$2:$J$2000,"N")=0,"",_xlfn.MAXIFS(Sets!$H$2:$H$2000,Sets!$A$2:$A$2000,$A2,Sets!$D$2:$D$2000,O$1,Sets!$J$2:$J$2000,"N"))</f>
        <v/>
      </c>
      <c r="P2" s="26">
        <f>IF(_xlfn.MAXIFS(Sets!$H$2:$H$2000,Sets!$A$2:$A$2000,$A2,Sets!$D$2:$D$2000,P$1,Sets!$J$2:$J$2000,"N")=0,"",_xlfn.MAXIFS(Sets!$H$2:$H$2000,Sets!$A$2:$A$2000,$A2,Sets!$D$2:$D$2000,P$1,Sets!$J$2:$J$2000,"N"))</f>
        <v/>
      </c>
      <c r="Q2" s="26">
        <f>IF(_xlfn.MAXIFS(Sets!$H$2:$H$2000,Sets!$A$2:$A$2000,$A2,Sets!$D$2:$D$2000,Q$1,Sets!$J$2:$J$2000,"N")=0,"",_xlfn.MAXIFS(Sets!$H$2:$H$2000,Sets!$A$2:$A$2000,$A2,Sets!$D$2:$D$2000,Q$1,Sets!$J$2:$J$2000,"N"))</f>
        <v/>
      </c>
      <c r="R2" s="26">
        <f>IF(_xlfn.MAXIFS(Sets!$H$2:$H$2000,Sets!$A$2:$A$2000,$A2,Sets!$D$2:$D$2000,R$1,Sets!$J$2:$J$2000,"N")=0,"",_xlfn.MAXIFS(Sets!$H$2:$H$2000,Sets!$A$2:$A$2000,$A2,Sets!$D$2:$D$2000,R$1,Sets!$J$2:$J$2000,"N"))</f>
        <v/>
      </c>
      <c r="S2" s="26">
        <f>IF(_xlfn.MAXIFS(Sets!$H$2:$H$2000,Sets!$A$2:$A$2000,$A2,Sets!$D$2:$D$2000,S$1,Sets!$J$2:$J$2000,"N")=0,"",_xlfn.MAXIFS(Sets!$H$2:$H$2000,Sets!$A$2:$A$2000,$A2,Sets!$D$2:$D$2000,S$1,Sets!$J$2:$J$2000,"N"))</f>
        <v/>
      </c>
      <c r="T2" s="26">
        <f>IF(_xlfn.MAXIFS(Sets!$H$2:$H$2000,Sets!$A$2:$A$2000,$A2,Sets!$D$2:$D$2000,T$1,Sets!$J$2:$J$2000,"N")=0,"",_xlfn.MAXIFS(Sets!$H$2:$H$2000,Sets!$A$2:$A$2000,$A2,Sets!$D$2:$D$2000,T$1,Sets!$J$2:$J$2000,"N"))</f>
        <v/>
      </c>
      <c r="U2" s="26">
        <f>IF(_xlfn.MAXIFS(Sets!$H$2:$H$2000,Sets!$A$2:$A$2000,$A2,Sets!$D$2:$D$2000,U$1,Sets!$J$2:$J$2000,"N")=0,"",_xlfn.MAXIFS(Sets!$H$2:$H$2000,Sets!$A$2:$A$2000,$A2,Sets!$D$2:$D$2000,U$1,Sets!$J$2:$J$2000,"N"))</f>
        <v/>
      </c>
      <c r="V2" s="26">
        <f>IF(_xlfn.MAXIFS(Sets!$H$2:$H$2000,Sets!$A$2:$A$2000,$A2,Sets!$D$2:$D$2000,V$1,Sets!$J$2:$J$2000,"N")=0,"",_xlfn.MAXIFS(Sets!$H$2:$H$2000,Sets!$A$2:$A$2000,$A2,Sets!$D$2:$D$2000,V$1,Sets!$J$2:$J$2000,"N"))</f>
        <v/>
      </c>
      <c r="W2" s="26">
        <f>IF(_xlfn.MAXIFS(Sets!$H$2:$H$2000,Sets!$A$2:$A$2000,$A2,Sets!$D$2:$D$2000,W$1,Sets!$J$2:$J$2000,"N")=0,"",_xlfn.MAXIFS(Sets!$H$2:$H$2000,Sets!$A$2:$A$2000,$A2,Sets!$D$2:$D$2000,W$1,Sets!$J$2:$J$2000,"N"))</f>
        <v/>
      </c>
      <c r="X2" s="26">
        <f>IF(_xlfn.MAXIFS(Sets!$H$2:$H$2000,Sets!$A$2:$A$2000,$A2,Sets!$D$2:$D$2000,X$1,Sets!$J$2:$J$2000,"N")=0,"",_xlfn.MAXIFS(Sets!$H$2:$H$2000,Sets!$A$2:$A$2000,$A2,Sets!$D$2:$D$2000,X$1,Sets!$J$2:$J$2000,"N"))</f>
        <v/>
      </c>
      <c r="Y2" s="26">
        <f>IF(_xlfn.MAXIFS(Sets!$H$2:$H$2000,Sets!$A$2:$A$2000,$A2,Sets!$D$2:$D$2000,Y$1,Sets!$J$2:$J$2000,"N")=0,"",_xlfn.MAXIFS(Sets!$H$2:$H$2000,Sets!$A$2:$A$2000,$A2,Sets!$D$2:$D$2000,Y$1,Sets!$J$2:$J$2000,"N"))</f>
        <v/>
      </c>
      <c r="Z2" s="26">
        <f>IF(_xlfn.MAXIFS(Sets!$H$2:$H$2000,Sets!$A$2:$A$2000,$A2,Sets!$D$2:$D$2000,Z$1,Sets!$J$2:$J$2000,"N")=0,"",_xlfn.MAXIFS(Sets!$H$2:$H$2000,Sets!$A$2:$A$2000,$A2,Sets!$D$2:$D$2000,Z$1,Sets!$J$2:$J$2000,"N"))</f>
        <v/>
      </c>
      <c r="AA2" s="26">
        <f>IF(_xlfn.MAXIFS(Sets!$H$2:$H$2000,Sets!$A$2:$A$2000,$A2,Sets!$D$2:$D$2000,AA$1,Sets!$J$2:$J$2000,"N")=0,"",_xlfn.MAXIFS(Sets!$H$2:$H$2000,Sets!$A$2:$A$2000,$A2,Sets!$D$2:$D$2000,AA$1,Sets!$J$2:$J$2000,"N"))</f>
        <v/>
      </c>
      <c r="AB2" s="26">
        <f>IF(_xlfn.MAXIFS(Sets!$H$2:$H$2000,Sets!$A$2:$A$2000,$A2,Sets!$D$2:$D$2000,AB$1,Sets!$J$2:$J$2000,"N")=0,"",_xlfn.MAXIFS(Sets!$H$2:$H$2000,Sets!$A$2:$A$2000,$A2,Sets!$D$2:$D$2000,AB$1,Sets!$J$2:$J$2000,"N"))</f>
        <v/>
      </c>
      <c r="AC2" s="26">
        <f>IF(_xlfn.MAXIFS(Sets!$H$2:$H$2000,Sets!$A$2:$A$2000,$A2,Sets!$D$2:$D$2000,AC$1,Sets!$J$2:$J$2000,"N")=0,"",_xlfn.MAXIFS(Sets!$H$2:$H$2000,Sets!$A$2:$A$2000,$A2,Sets!$D$2:$D$2000,AC$1,Sets!$J$2:$J$2000,"N"))</f>
        <v/>
      </c>
      <c r="AD2" s="26">
        <f>IF(_xlfn.MAXIFS(Sets!$H$2:$H$2000,Sets!$A$2:$A$2000,$A2,Sets!$D$2:$D$2000,AD$1,Sets!$J$2:$J$2000,"N")=0,"",_xlfn.MAXIFS(Sets!$H$2:$H$2000,Sets!$A$2:$A$2000,$A2,Sets!$D$2:$D$2000,AD$1,Sets!$J$2:$J$2000,"N"))</f>
        <v/>
      </c>
      <c r="AE2" s="26">
        <f>IF(_xlfn.MAXIFS(Sets!$H$2:$H$2000,Sets!$A$2:$A$2000,$A2,Sets!$D$2:$D$2000,AE$1,Sets!$J$2:$J$2000,"N")=0,"",_xlfn.MAXIFS(Sets!$H$2:$H$2000,Sets!$A$2:$A$2000,$A2,Sets!$D$2:$D$2000,AE$1,Sets!$J$2:$J$2000,"N"))</f>
        <v/>
      </c>
      <c r="AF2" s="26">
        <f>IF(_xlfn.MAXIFS(Sets!$H$2:$H$2000,Sets!$A$2:$A$2000,$A2,Sets!$D$2:$D$2000,AF$1,Sets!$J$2:$J$2000,"N")=0,"",_xlfn.MAXIFS(Sets!$H$2:$H$2000,Sets!$A$2:$A$2000,$A2,Sets!$D$2:$D$2000,AF$1,Sets!$J$2:$J$2000,"N"))</f>
        <v/>
      </c>
      <c r="AG2" s="26">
        <f>IF(_xlfn.MAXIFS(Sets!$H$2:$H$2000,Sets!$A$2:$A$2000,$A2,Sets!$D$2:$D$2000,AG$1,Sets!$J$2:$J$2000,"N")=0,"",_xlfn.MAXIFS(Sets!$H$2:$H$2000,Sets!$A$2:$A$2000,$A2,Sets!$D$2:$D$2000,AG$1,Sets!$J$2:$J$2000,"N"))</f>
        <v/>
      </c>
      <c r="AH2" s="26">
        <f>IF(_xlfn.MAXIFS(Sets!$H$2:$H$2000,Sets!$A$2:$A$2000,$A2,Sets!$D$2:$D$2000,AH$1,Sets!$J$2:$J$2000,"N")=0,"",_xlfn.MAXIFS(Sets!$H$2:$H$2000,Sets!$A$2:$A$2000,$A2,Sets!$D$2:$D$2000,AH$1,Sets!$J$2:$J$2000,"N"))</f>
        <v/>
      </c>
      <c r="AI2">
        <f>IF(_xlfn.MAXIFS(Sets!$H$2:$H$2000,Sets!$A$2:$A$2000,$A2,Sets!$D$2:$D$2000,AI$1,Sets!$J$2:$J$2000,"N")=0,"",_xlfn.MAXIFS(Sets!$H$2:$H$2000,Sets!$A$2:$A$2000,$A2,Sets!$D$2:$D$2000,AI$1,Sets!$J$2:$J$2000,"N"))</f>
        <v/>
      </c>
      <c r="AJ2">
        <f>IF(_xlfn.MAXIFS(Sets!$H$2:$H$2000,Sets!$A$2:$A$2000,$A2,Sets!$D$2:$D$2000,AJ$1,Sets!$J$2:$J$2000,"N")=0,"",_xlfn.MAXIFS(Sets!$H$2:$H$2000,Sets!$A$2:$A$2000,$A2,Sets!$D$2:$D$2000,AJ$1,Sets!$J$2:$J$2000,"N"))</f>
        <v/>
      </c>
      <c r="AK2">
        <f>IF(_xlfn.MAXIFS(Sets!$H$2:$H$2000,Sets!$A$2:$A$2000,$A2,Sets!$D$2:$D$2000,AK$1,Sets!$J$2:$J$2000,"N")=0,"",_xlfn.MAXIFS(Sets!$H$2:$H$2000,Sets!$A$2:$A$2000,$A2,Sets!$D$2:$D$2000,AK$1,Sets!$J$2:$J$2000,"N"))</f>
        <v/>
      </c>
      <c r="AL2">
        <f>IF(_xlfn.MAXIFS(Sets!$H$2:$H$2000,Sets!$A$2:$A$2000,$A2,Sets!$D$2:$D$2000,AL$1,Sets!$J$2:$J$2000,"N")=0,"",_xlfn.MAXIFS(Sets!$H$2:$H$2000,Sets!$A$2:$A$2000,$A2,Sets!$D$2:$D$2000,AL$1,Sets!$J$2:$J$2000,"N"))</f>
        <v/>
      </c>
      <c r="AM2">
        <f>IF(_xlfn.MAXIFS(Sets!$H$2:$H$2000,Sets!$A$2:$A$2000,$A2,Sets!$D$2:$D$2000,AM$1,Sets!$J$2:$J$2000,"N")=0,"",_xlfn.MAXIFS(Sets!$H$2:$H$2000,Sets!$A$2:$A$2000,$A2,Sets!$D$2:$D$2000,AM$1,Sets!$J$2:$J$2000,"N"))</f>
        <v/>
      </c>
      <c r="AN2">
        <f>IF(_xlfn.MAXIFS(Sets!$H$2:$H$2000,Sets!$A$2:$A$2000,$A2,Sets!$D$2:$D$2000,AN$1,Sets!$J$2:$J$2000,"N")=0,"",_xlfn.MAXIFS(Sets!$H$2:$H$2000,Sets!$A$2:$A$2000,$A2,Sets!$D$2:$D$2000,AN$1,Sets!$J$2:$J$2000,"N"))</f>
        <v/>
      </c>
      <c r="AO2">
        <f>IF(_xlfn.MAXIFS(Sets!$H$2:$H$2000,Sets!$A$2:$A$2000,$A2,Sets!$D$2:$D$2000,AO$1,Sets!$J$2:$J$2000,"N")=0,"",_xlfn.MAXIFS(Sets!$H$2:$H$2000,Sets!$A$2:$A$2000,$A2,Sets!$D$2:$D$2000,AO$1,Sets!$J$2:$J$2000,"N"))</f>
        <v/>
      </c>
      <c r="AP2">
        <f>IF(_xlfn.MAXIFS(Sets!$H$2:$H$2000,Sets!$A$2:$A$2000,$A2,Sets!$D$2:$D$2000,AP$1,Sets!$J$2:$J$2000,"N")=0,"",_xlfn.MAXIFS(Sets!$H$2:$H$2000,Sets!$A$2:$A$2000,$A2,Sets!$D$2:$D$2000,AP$1,Sets!$J$2:$J$2000,"N"))</f>
        <v/>
      </c>
    </row>
    <row r="3" ht="15" customHeight="1" s="22">
      <c r="A3" s="39" t="n">
        <v>46042</v>
      </c>
      <c r="B3" s="26">
        <f>IF(_xlfn.MAXIFS(Sets!$H$2:$H$2000,Sets!$A$2:$A$2000,$A3,Sets!$D$2:$D$2000,B$1,Sets!$J$2:$J$2000,"N")=0,"",_xlfn.MAXIFS(Sets!$H$2:$H$2000,Sets!$A$2:$A$2000,$A3,Sets!$D$2:$D$2000,B$1,Sets!$J$2:$J$2000,"N"))</f>
        <v/>
      </c>
      <c r="C3" s="26">
        <f>IF(_xlfn.MAXIFS(Sets!$H$2:$H$2000,Sets!$A$2:$A$2000,$A3,Sets!$D$2:$D$2000,C$1,Sets!$J$2:$J$2000,"N")=0,"",_xlfn.MAXIFS(Sets!$H$2:$H$2000,Sets!$A$2:$A$2000,$A3,Sets!$D$2:$D$2000,C$1,Sets!$J$2:$J$2000,"N"))</f>
        <v/>
      </c>
      <c r="D3" s="26">
        <f>IF(_xlfn.MAXIFS(Sets!$H$2:$H$2000,Sets!$A$2:$A$2000,$A3,Sets!$D$2:$D$2000,D$1,Sets!$J$2:$J$2000,"N")=0,"",_xlfn.MAXIFS(Sets!$H$2:$H$2000,Sets!$A$2:$A$2000,$A3,Sets!$D$2:$D$2000,D$1,Sets!$J$2:$J$2000,"N"))</f>
        <v/>
      </c>
      <c r="E3" s="26">
        <f>IF(_xlfn.MAXIFS(Sets!$H$2:$H$2000,Sets!$A$2:$A$2000,$A3,Sets!$D$2:$D$2000,E$1,Sets!$J$2:$J$2000,"N")=0,"",_xlfn.MAXIFS(Sets!$H$2:$H$2000,Sets!$A$2:$A$2000,$A3,Sets!$D$2:$D$2000,E$1,Sets!$J$2:$J$2000,"N"))</f>
        <v/>
      </c>
      <c r="F3" s="26">
        <f>IF(_xlfn.MAXIFS(Sets!$H$2:$H$2000,Sets!$A$2:$A$2000,$A3,Sets!$D$2:$D$2000,F$1,Sets!$J$2:$J$2000,"N")=0,"",_xlfn.MAXIFS(Sets!$H$2:$H$2000,Sets!$A$2:$A$2000,$A3,Sets!$D$2:$D$2000,F$1,Sets!$J$2:$J$2000,"N"))</f>
        <v/>
      </c>
      <c r="G3" s="26">
        <f>IF(_xlfn.MAXIFS(Sets!$H$2:$H$2000,Sets!$A$2:$A$2000,$A3,Sets!$D$2:$D$2000,G$1,Sets!$J$2:$J$2000,"N")=0,"",_xlfn.MAXIFS(Sets!$H$2:$H$2000,Sets!$A$2:$A$2000,$A3,Sets!$D$2:$D$2000,G$1,Sets!$J$2:$J$2000,"N"))</f>
        <v/>
      </c>
      <c r="H3" s="26">
        <f>IF(_xlfn.MAXIFS(Sets!$H$2:$H$2000,Sets!$A$2:$A$2000,$A3,Sets!$D$2:$D$2000,H$1,Sets!$J$2:$J$2000,"N")=0,"",_xlfn.MAXIFS(Sets!$H$2:$H$2000,Sets!$A$2:$A$2000,$A3,Sets!$D$2:$D$2000,H$1,Sets!$J$2:$J$2000,"N"))</f>
        <v/>
      </c>
      <c r="I3" s="26">
        <f>IF(_xlfn.MAXIFS(Sets!$H$2:$H$2000,Sets!$A$2:$A$2000,$A3,Sets!$D$2:$D$2000,I$1,Sets!$J$2:$J$2000,"N")=0,"",_xlfn.MAXIFS(Sets!$H$2:$H$2000,Sets!$A$2:$A$2000,$A3,Sets!$D$2:$D$2000,I$1,Sets!$J$2:$J$2000,"N"))</f>
        <v/>
      </c>
      <c r="J3" s="26">
        <f>IF(_xlfn.MAXIFS(Sets!$H$2:$H$2000,Sets!$A$2:$A$2000,$A3,Sets!$D$2:$D$2000,J$1,Sets!$J$2:$J$2000,"N")=0,"",_xlfn.MAXIFS(Sets!$H$2:$H$2000,Sets!$A$2:$A$2000,$A3,Sets!$D$2:$D$2000,J$1,Sets!$J$2:$J$2000,"N"))</f>
        <v/>
      </c>
      <c r="K3" s="26">
        <f>IF(_xlfn.MAXIFS(Sets!$H$2:$H$2000,Sets!$A$2:$A$2000,$A3,Sets!$D$2:$D$2000,K$1,Sets!$J$2:$J$2000,"N")=0,"",_xlfn.MAXIFS(Sets!$H$2:$H$2000,Sets!$A$2:$A$2000,$A3,Sets!$D$2:$D$2000,K$1,Sets!$J$2:$J$2000,"N"))</f>
        <v/>
      </c>
      <c r="L3" s="26">
        <f>IF(_xlfn.MAXIFS(Sets!$H$2:$H$2000,Sets!$A$2:$A$2000,$A3,Sets!$D$2:$D$2000,L$1,Sets!$J$2:$J$2000,"N")=0,"",_xlfn.MAXIFS(Sets!$H$2:$H$2000,Sets!$A$2:$A$2000,$A3,Sets!$D$2:$D$2000,L$1,Sets!$J$2:$J$2000,"N"))</f>
        <v/>
      </c>
      <c r="M3" s="26">
        <f>IF(_xlfn.MAXIFS(Sets!$H$2:$H$2000,Sets!$A$2:$A$2000,$A3,Sets!$D$2:$D$2000,M$1,Sets!$J$2:$J$2000,"N")=0,"",_xlfn.MAXIFS(Sets!$H$2:$H$2000,Sets!$A$2:$A$2000,$A3,Sets!$D$2:$D$2000,M$1,Sets!$J$2:$J$2000,"N"))</f>
        <v/>
      </c>
      <c r="N3" s="26">
        <f>IF(_xlfn.MAXIFS(Sets!$H$2:$H$2000,Sets!$A$2:$A$2000,$A3,Sets!$D$2:$D$2000,N$1,Sets!$J$2:$J$2000,"N")=0,"",_xlfn.MAXIFS(Sets!$H$2:$H$2000,Sets!$A$2:$A$2000,$A3,Sets!$D$2:$D$2000,N$1,Sets!$J$2:$J$2000,"N"))</f>
        <v/>
      </c>
      <c r="O3" s="26">
        <f>IF(_xlfn.MAXIFS(Sets!$H$2:$H$2000,Sets!$A$2:$A$2000,$A3,Sets!$D$2:$D$2000,O$1,Sets!$J$2:$J$2000,"N")=0,"",_xlfn.MAXIFS(Sets!$H$2:$H$2000,Sets!$A$2:$A$2000,$A3,Sets!$D$2:$D$2000,O$1,Sets!$J$2:$J$2000,"N"))</f>
        <v/>
      </c>
      <c r="P3" s="26">
        <f>IF(_xlfn.MAXIFS(Sets!$H$2:$H$2000,Sets!$A$2:$A$2000,$A3,Sets!$D$2:$D$2000,P$1,Sets!$J$2:$J$2000,"N")=0,"",_xlfn.MAXIFS(Sets!$H$2:$H$2000,Sets!$A$2:$A$2000,$A3,Sets!$D$2:$D$2000,P$1,Sets!$J$2:$J$2000,"N"))</f>
        <v/>
      </c>
      <c r="Q3" s="26">
        <f>IF(_xlfn.MAXIFS(Sets!$H$2:$H$2000,Sets!$A$2:$A$2000,$A3,Sets!$D$2:$D$2000,Q$1,Sets!$J$2:$J$2000,"N")=0,"",_xlfn.MAXIFS(Sets!$H$2:$H$2000,Sets!$A$2:$A$2000,$A3,Sets!$D$2:$D$2000,Q$1,Sets!$J$2:$J$2000,"N"))</f>
        <v/>
      </c>
      <c r="R3" s="26">
        <f>IF(_xlfn.MAXIFS(Sets!$H$2:$H$2000,Sets!$A$2:$A$2000,$A3,Sets!$D$2:$D$2000,R$1,Sets!$J$2:$J$2000,"N")=0,"",_xlfn.MAXIFS(Sets!$H$2:$H$2000,Sets!$A$2:$A$2000,$A3,Sets!$D$2:$D$2000,R$1,Sets!$J$2:$J$2000,"N"))</f>
        <v/>
      </c>
      <c r="S3" s="26">
        <f>IF(_xlfn.MAXIFS(Sets!$H$2:$H$2000,Sets!$A$2:$A$2000,$A3,Sets!$D$2:$D$2000,S$1,Sets!$J$2:$J$2000,"N")=0,"",_xlfn.MAXIFS(Sets!$H$2:$H$2000,Sets!$A$2:$A$2000,$A3,Sets!$D$2:$D$2000,S$1,Sets!$J$2:$J$2000,"N"))</f>
        <v/>
      </c>
      <c r="T3" s="26">
        <f>IF(_xlfn.MAXIFS(Sets!$H$2:$H$2000,Sets!$A$2:$A$2000,$A3,Sets!$D$2:$D$2000,T$1,Sets!$J$2:$J$2000,"N")=0,"",_xlfn.MAXIFS(Sets!$H$2:$H$2000,Sets!$A$2:$A$2000,$A3,Sets!$D$2:$D$2000,T$1,Sets!$J$2:$J$2000,"N"))</f>
        <v/>
      </c>
      <c r="U3" s="26">
        <f>IF(_xlfn.MAXIFS(Sets!$H$2:$H$2000,Sets!$A$2:$A$2000,$A3,Sets!$D$2:$D$2000,U$1,Sets!$J$2:$J$2000,"N")=0,"",_xlfn.MAXIFS(Sets!$H$2:$H$2000,Sets!$A$2:$A$2000,$A3,Sets!$D$2:$D$2000,U$1,Sets!$J$2:$J$2000,"N"))</f>
        <v/>
      </c>
      <c r="V3" s="26">
        <f>IF(_xlfn.MAXIFS(Sets!$H$2:$H$2000,Sets!$A$2:$A$2000,$A3,Sets!$D$2:$D$2000,V$1,Sets!$J$2:$J$2000,"N")=0,"",_xlfn.MAXIFS(Sets!$H$2:$H$2000,Sets!$A$2:$A$2000,$A3,Sets!$D$2:$D$2000,V$1,Sets!$J$2:$J$2000,"N"))</f>
        <v/>
      </c>
      <c r="W3" s="26">
        <f>IF(_xlfn.MAXIFS(Sets!$H$2:$H$2000,Sets!$A$2:$A$2000,$A3,Sets!$D$2:$D$2000,W$1,Sets!$J$2:$J$2000,"N")=0,"",_xlfn.MAXIFS(Sets!$H$2:$H$2000,Sets!$A$2:$A$2000,$A3,Sets!$D$2:$D$2000,W$1,Sets!$J$2:$J$2000,"N"))</f>
        <v/>
      </c>
      <c r="X3" s="26">
        <f>IF(_xlfn.MAXIFS(Sets!$H$2:$H$2000,Sets!$A$2:$A$2000,$A3,Sets!$D$2:$D$2000,X$1,Sets!$J$2:$J$2000,"N")=0,"",_xlfn.MAXIFS(Sets!$H$2:$H$2000,Sets!$A$2:$A$2000,$A3,Sets!$D$2:$D$2000,X$1,Sets!$J$2:$J$2000,"N"))</f>
        <v/>
      </c>
      <c r="Y3" s="26">
        <f>IF(_xlfn.MAXIFS(Sets!$H$2:$H$2000,Sets!$A$2:$A$2000,$A3,Sets!$D$2:$D$2000,Y$1,Sets!$J$2:$J$2000,"N")=0,"",_xlfn.MAXIFS(Sets!$H$2:$H$2000,Sets!$A$2:$A$2000,$A3,Sets!$D$2:$D$2000,Y$1,Sets!$J$2:$J$2000,"N"))</f>
        <v/>
      </c>
      <c r="Z3" s="26">
        <f>IF(_xlfn.MAXIFS(Sets!$H$2:$H$2000,Sets!$A$2:$A$2000,$A3,Sets!$D$2:$D$2000,Z$1,Sets!$J$2:$J$2000,"N")=0,"",_xlfn.MAXIFS(Sets!$H$2:$H$2000,Sets!$A$2:$A$2000,$A3,Sets!$D$2:$D$2000,Z$1,Sets!$J$2:$J$2000,"N"))</f>
        <v/>
      </c>
      <c r="AA3" s="26">
        <f>IF(_xlfn.MAXIFS(Sets!$H$2:$H$2000,Sets!$A$2:$A$2000,$A3,Sets!$D$2:$D$2000,AA$1,Sets!$J$2:$J$2000,"N")=0,"",_xlfn.MAXIFS(Sets!$H$2:$H$2000,Sets!$A$2:$A$2000,$A3,Sets!$D$2:$D$2000,AA$1,Sets!$J$2:$J$2000,"N"))</f>
        <v/>
      </c>
      <c r="AB3" s="26">
        <f>IF(_xlfn.MAXIFS(Sets!$H$2:$H$2000,Sets!$A$2:$A$2000,$A3,Sets!$D$2:$D$2000,AB$1,Sets!$J$2:$J$2000,"N")=0,"",_xlfn.MAXIFS(Sets!$H$2:$H$2000,Sets!$A$2:$A$2000,$A3,Sets!$D$2:$D$2000,AB$1,Sets!$J$2:$J$2000,"N"))</f>
        <v/>
      </c>
      <c r="AC3" s="26">
        <f>IF(_xlfn.MAXIFS(Sets!$H$2:$H$2000,Sets!$A$2:$A$2000,$A3,Sets!$D$2:$D$2000,AC$1,Sets!$J$2:$J$2000,"N")=0,"",_xlfn.MAXIFS(Sets!$H$2:$H$2000,Sets!$A$2:$A$2000,$A3,Sets!$D$2:$D$2000,AC$1,Sets!$J$2:$J$2000,"N"))</f>
        <v/>
      </c>
      <c r="AD3" s="26">
        <f>IF(_xlfn.MAXIFS(Sets!$H$2:$H$2000,Sets!$A$2:$A$2000,$A3,Sets!$D$2:$D$2000,AD$1,Sets!$J$2:$J$2000,"N")=0,"",_xlfn.MAXIFS(Sets!$H$2:$H$2000,Sets!$A$2:$A$2000,$A3,Sets!$D$2:$D$2000,AD$1,Sets!$J$2:$J$2000,"N"))</f>
        <v/>
      </c>
      <c r="AE3" s="26">
        <f>IF(_xlfn.MAXIFS(Sets!$H$2:$H$2000,Sets!$A$2:$A$2000,$A3,Sets!$D$2:$D$2000,AE$1,Sets!$J$2:$J$2000,"N")=0,"",_xlfn.MAXIFS(Sets!$H$2:$H$2000,Sets!$A$2:$A$2000,$A3,Sets!$D$2:$D$2000,AE$1,Sets!$J$2:$J$2000,"N"))</f>
        <v/>
      </c>
      <c r="AF3" s="26">
        <f>IF(_xlfn.MAXIFS(Sets!$H$2:$H$2000,Sets!$A$2:$A$2000,$A3,Sets!$D$2:$D$2000,AF$1,Sets!$J$2:$J$2000,"N")=0,"",_xlfn.MAXIFS(Sets!$H$2:$H$2000,Sets!$A$2:$A$2000,$A3,Sets!$D$2:$D$2000,AF$1,Sets!$J$2:$J$2000,"N"))</f>
        <v/>
      </c>
      <c r="AG3" s="26">
        <f>IF(_xlfn.MAXIFS(Sets!$H$2:$H$2000,Sets!$A$2:$A$2000,$A3,Sets!$D$2:$D$2000,AG$1,Sets!$J$2:$J$2000,"N")=0,"",_xlfn.MAXIFS(Sets!$H$2:$H$2000,Sets!$A$2:$A$2000,$A3,Sets!$D$2:$D$2000,AG$1,Sets!$J$2:$J$2000,"N"))</f>
        <v/>
      </c>
      <c r="AH3" s="26">
        <f>IF(_xlfn.MAXIFS(Sets!$H$2:$H$2000,Sets!$A$2:$A$2000,$A3,Sets!$D$2:$D$2000,AH$1,Sets!$J$2:$J$2000,"N")=0,"",_xlfn.MAXIFS(Sets!$H$2:$H$2000,Sets!$A$2:$A$2000,$A3,Sets!$D$2:$D$2000,AH$1,Sets!$J$2:$J$2000,"N"))</f>
        <v/>
      </c>
      <c r="AI3">
        <f>IF(_xlfn.MAXIFS(Sets!$H$2:$H$2000,Sets!$A$2:$A$2000,$A3,Sets!$D$2:$D$2000,AI$1,Sets!$J$2:$J$2000,"N")=0,"",_xlfn.MAXIFS(Sets!$H$2:$H$2000,Sets!$A$2:$A$2000,$A3,Sets!$D$2:$D$2000,AI$1,Sets!$J$2:$J$2000,"N"))</f>
        <v/>
      </c>
      <c r="AJ3">
        <f>IF(_xlfn.MAXIFS(Sets!$H$2:$H$2000,Sets!$A$2:$A$2000,$A3,Sets!$D$2:$D$2000,AJ$1,Sets!$J$2:$J$2000,"N")=0,"",_xlfn.MAXIFS(Sets!$H$2:$H$2000,Sets!$A$2:$A$2000,$A3,Sets!$D$2:$D$2000,AJ$1,Sets!$J$2:$J$2000,"N"))</f>
        <v/>
      </c>
      <c r="AK3">
        <f>IF(_xlfn.MAXIFS(Sets!$H$2:$H$2000,Sets!$A$2:$A$2000,$A3,Sets!$D$2:$D$2000,AK$1,Sets!$J$2:$J$2000,"N")=0,"",_xlfn.MAXIFS(Sets!$H$2:$H$2000,Sets!$A$2:$A$2000,$A3,Sets!$D$2:$D$2000,AK$1,Sets!$J$2:$J$2000,"N"))</f>
        <v/>
      </c>
      <c r="AL3">
        <f>IF(_xlfn.MAXIFS(Sets!$H$2:$H$2000,Sets!$A$2:$A$2000,$A3,Sets!$D$2:$D$2000,AL$1,Sets!$J$2:$J$2000,"N")=0,"",_xlfn.MAXIFS(Sets!$H$2:$H$2000,Sets!$A$2:$A$2000,$A3,Sets!$D$2:$D$2000,AL$1,Sets!$J$2:$J$2000,"N"))</f>
        <v/>
      </c>
      <c r="AM3">
        <f>IF(_xlfn.MAXIFS(Sets!$H$2:$H$2000,Sets!$A$2:$A$2000,$A3,Sets!$D$2:$D$2000,AM$1,Sets!$J$2:$J$2000,"N")=0,"",_xlfn.MAXIFS(Sets!$H$2:$H$2000,Sets!$A$2:$A$2000,$A3,Sets!$D$2:$D$2000,AM$1,Sets!$J$2:$J$2000,"N"))</f>
        <v/>
      </c>
      <c r="AN3">
        <f>IF(_xlfn.MAXIFS(Sets!$H$2:$H$2000,Sets!$A$2:$A$2000,$A3,Sets!$D$2:$D$2000,AN$1,Sets!$J$2:$J$2000,"N")=0,"",_xlfn.MAXIFS(Sets!$H$2:$H$2000,Sets!$A$2:$A$2000,$A3,Sets!$D$2:$D$2000,AN$1,Sets!$J$2:$J$2000,"N"))</f>
        <v/>
      </c>
      <c r="AO3">
        <f>IF(_xlfn.MAXIFS(Sets!$H$2:$H$2000,Sets!$A$2:$A$2000,$A3,Sets!$D$2:$D$2000,AO$1,Sets!$J$2:$J$2000,"N")=0,"",_xlfn.MAXIFS(Sets!$H$2:$H$2000,Sets!$A$2:$A$2000,$A3,Sets!$D$2:$D$2000,AO$1,Sets!$J$2:$J$2000,"N"))</f>
        <v/>
      </c>
      <c r="AP3">
        <f>IF(_xlfn.MAXIFS(Sets!$H$2:$H$2000,Sets!$A$2:$A$2000,$A3,Sets!$D$2:$D$2000,AP$1,Sets!$J$2:$J$2000,"N")=0,"",_xlfn.MAXIFS(Sets!$H$2:$H$2000,Sets!$A$2:$A$2000,$A3,Sets!$D$2:$D$2000,AP$1,Sets!$J$2:$J$2000,"N"))</f>
        <v/>
      </c>
    </row>
    <row r="4" ht="15" customHeight="1" s="22">
      <c r="A4" s="39" t="n">
        <v>46044</v>
      </c>
      <c r="B4" s="26">
        <f>IF(_xlfn.MAXIFS(Sets!$H$2:$H$2000,Sets!$A$2:$A$2000,$A4,Sets!$D$2:$D$2000,B$1,Sets!$J$2:$J$2000,"N")=0,"",_xlfn.MAXIFS(Sets!$H$2:$H$2000,Sets!$A$2:$A$2000,$A4,Sets!$D$2:$D$2000,B$1,Sets!$J$2:$J$2000,"N"))</f>
        <v/>
      </c>
      <c r="C4" s="26">
        <f>IF(_xlfn.MAXIFS(Sets!$H$2:$H$2000,Sets!$A$2:$A$2000,$A4,Sets!$D$2:$D$2000,C$1,Sets!$J$2:$J$2000,"N")=0,"",_xlfn.MAXIFS(Sets!$H$2:$H$2000,Sets!$A$2:$A$2000,$A4,Sets!$D$2:$D$2000,C$1,Sets!$J$2:$J$2000,"N"))</f>
        <v/>
      </c>
      <c r="D4" s="26">
        <f>IF(_xlfn.MAXIFS(Sets!$H$2:$H$2000,Sets!$A$2:$A$2000,$A4,Sets!$D$2:$D$2000,D$1,Sets!$J$2:$J$2000,"N")=0,"",_xlfn.MAXIFS(Sets!$H$2:$H$2000,Sets!$A$2:$A$2000,$A4,Sets!$D$2:$D$2000,D$1,Sets!$J$2:$J$2000,"N"))</f>
        <v/>
      </c>
      <c r="E4" s="26">
        <f>IF(_xlfn.MAXIFS(Sets!$H$2:$H$2000,Sets!$A$2:$A$2000,$A4,Sets!$D$2:$D$2000,E$1,Sets!$J$2:$J$2000,"N")=0,"",_xlfn.MAXIFS(Sets!$H$2:$H$2000,Sets!$A$2:$A$2000,$A4,Sets!$D$2:$D$2000,E$1,Sets!$J$2:$J$2000,"N"))</f>
        <v/>
      </c>
      <c r="F4" s="26">
        <f>IF(_xlfn.MAXIFS(Sets!$H$2:$H$2000,Sets!$A$2:$A$2000,$A4,Sets!$D$2:$D$2000,F$1,Sets!$J$2:$J$2000,"N")=0,"",_xlfn.MAXIFS(Sets!$H$2:$H$2000,Sets!$A$2:$A$2000,$A4,Sets!$D$2:$D$2000,F$1,Sets!$J$2:$J$2000,"N"))</f>
        <v/>
      </c>
      <c r="G4" s="26">
        <f>IF(_xlfn.MAXIFS(Sets!$H$2:$H$2000,Sets!$A$2:$A$2000,$A4,Sets!$D$2:$D$2000,G$1,Sets!$J$2:$J$2000,"N")=0,"",_xlfn.MAXIFS(Sets!$H$2:$H$2000,Sets!$A$2:$A$2000,$A4,Sets!$D$2:$D$2000,G$1,Sets!$J$2:$J$2000,"N"))</f>
        <v/>
      </c>
      <c r="H4" s="26">
        <f>IF(_xlfn.MAXIFS(Sets!$H$2:$H$2000,Sets!$A$2:$A$2000,$A4,Sets!$D$2:$D$2000,H$1,Sets!$J$2:$J$2000,"N")=0,"",_xlfn.MAXIFS(Sets!$H$2:$H$2000,Sets!$A$2:$A$2000,$A4,Sets!$D$2:$D$2000,H$1,Sets!$J$2:$J$2000,"N"))</f>
        <v/>
      </c>
      <c r="I4" s="26">
        <f>IF(_xlfn.MAXIFS(Sets!$H$2:$H$2000,Sets!$A$2:$A$2000,$A4,Sets!$D$2:$D$2000,I$1,Sets!$J$2:$J$2000,"N")=0,"",_xlfn.MAXIFS(Sets!$H$2:$H$2000,Sets!$A$2:$A$2000,$A4,Sets!$D$2:$D$2000,I$1,Sets!$J$2:$J$2000,"N"))</f>
        <v/>
      </c>
      <c r="J4" s="26">
        <f>IF(_xlfn.MAXIFS(Sets!$H$2:$H$2000,Sets!$A$2:$A$2000,$A4,Sets!$D$2:$D$2000,J$1,Sets!$J$2:$J$2000,"N")=0,"",_xlfn.MAXIFS(Sets!$H$2:$H$2000,Sets!$A$2:$A$2000,$A4,Sets!$D$2:$D$2000,J$1,Sets!$J$2:$J$2000,"N"))</f>
        <v/>
      </c>
      <c r="K4" s="26">
        <f>IF(_xlfn.MAXIFS(Sets!$H$2:$H$2000,Sets!$A$2:$A$2000,$A4,Sets!$D$2:$D$2000,K$1,Sets!$J$2:$J$2000,"N")=0,"",_xlfn.MAXIFS(Sets!$H$2:$H$2000,Sets!$A$2:$A$2000,$A4,Sets!$D$2:$D$2000,K$1,Sets!$J$2:$J$2000,"N"))</f>
        <v/>
      </c>
      <c r="L4" s="26">
        <f>IF(_xlfn.MAXIFS(Sets!$H$2:$H$2000,Sets!$A$2:$A$2000,$A4,Sets!$D$2:$D$2000,L$1,Sets!$J$2:$J$2000,"N")=0,"",_xlfn.MAXIFS(Sets!$H$2:$H$2000,Sets!$A$2:$A$2000,$A4,Sets!$D$2:$D$2000,L$1,Sets!$J$2:$J$2000,"N"))</f>
        <v/>
      </c>
      <c r="M4" s="26">
        <f>IF(_xlfn.MAXIFS(Sets!$H$2:$H$2000,Sets!$A$2:$A$2000,$A4,Sets!$D$2:$D$2000,M$1,Sets!$J$2:$J$2000,"N")=0,"",_xlfn.MAXIFS(Sets!$H$2:$H$2000,Sets!$A$2:$A$2000,$A4,Sets!$D$2:$D$2000,M$1,Sets!$J$2:$J$2000,"N"))</f>
        <v/>
      </c>
      <c r="N4" s="26">
        <f>IF(_xlfn.MAXIFS(Sets!$H$2:$H$2000,Sets!$A$2:$A$2000,$A4,Sets!$D$2:$D$2000,N$1,Sets!$J$2:$J$2000,"N")=0,"",_xlfn.MAXIFS(Sets!$H$2:$H$2000,Sets!$A$2:$A$2000,$A4,Sets!$D$2:$D$2000,N$1,Sets!$J$2:$J$2000,"N"))</f>
        <v/>
      </c>
      <c r="O4" s="26">
        <f>IF(_xlfn.MAXIFS(Sets!$H$2:$H$2000,Sets!$A$2:$A$2000,$A4,Sets!$D$2:$D$2000,O$1,Sets!$J$2:$J$2000,"N")=0,"",_xlfn.MAXIFS(Sets!$H$2:$H$2000,Sets!$A$2:$A$2000,$A4,Sets!$D$2:$D$2000,O$1,Sets!$J$2:$J$2000,"N"))</f>
        <v/>
      </c>
      <c r="P4" s="26">
        <f>IF(_xlfn.MAXIFS(Sets!$H$2:$H$2000,Sets!$A$2:$A$2000,$A4,Sets!$D$2:$D$2000,P$1,Sets!$J$2:$J$2000,"N")=0,"",_xlfn.MAXIFS(Sets!$H$2:$H$2000,Sets!$A$2:$A$2000,$A4,Sets!$D$2:$D$2000,P$1,Sets!$J$2:$J$2000,"N"))</f>
        <v/>
      </c>
      <c r="Q4" s="26">
        <f>IF(_xlfn.MAXIFS(Sets!$H$2:$H$2000,Sets!$A$2:$A$2000,$A4,Sets!$D$2:$D$2000,Q$1,Sets!$J$2:$J$2000,"N")=0,"",_xlfn.MAXIFS(Sets!$H$2:$H$2000,Sets!$A$2:$A$2000,$A4,Sets!$D$2:$D$2000,Q$1,Sets!$J$2:$J$2000,"N"))</f>
        <v/>
      </c>
      <c r="R4" s="26">
        <f>IF(_xlfn.MAXIFS(Sets!$H$2:$H$2000,Sets!$A$2:$A$2000,$A4,Sets!$D$2:$D$2000,R$1,Sets!$J$2:$J$2000,"N")=0,"",_xlfn.MAXIFS(Sets!$H$2:$H$2000,Sets!$A$2:$A$2000,$A4,Sets!$D$2:$D$2000,R$1,Sets!$J$2:$J$2000,"N"))</f>
        <v/>
      </c>
      <c r="S4" s="26">
        <f>IF(_xlfn.MAXIFS(Sets!$H$2:$H$2000,Sets!$A$2:$A$2000,$A4,Sets!$D$2:$D$2000,S$1,Sets!$J$2:$J$2000,"N")=0,"",_xlfn.MAXIFS(Sets!$H$2:$H$2000,Sets!$A$2:$A$2000,$A4,Sets!$D$2:$D$2000,S$1,Sets!$J$2:$J$2000,"N"))</f>
        <v/>
      </c>
      <c r="T4" s="26">
        <f>IF(_xlfn.MAXIFS(Sets!$H$2:$H$2000,Sets!$A$2:$A$2000,$A4,Sets!$D$2:$D$2000,T$1,Sets!$J$2:$J$2000,"N")=0,"",_xlfn.MAXIFS(Sets!$H$2:$H$2000,Sets!$A$2:$A$2000,$A4,Sets!$D$2:$D$2000,T$1,Sets!$J$2:$J$2000,"N"))</f>
        <v/>
      </c>
      <c r="U4" s="26">
        <f>IF(_xlfn.MAXIFS(Sets!$H$2:$H$2000,Sets!$A$2:$A$2000,$A4,Sets!$D$2:$D$2000,U$1,Sets!$J$2:$J$2000,"N")=0,"",_xlfn.MAXIFS(Sets!$H$2:$H$2000,Sets!$A$2:$A$2000,$A4,Sets!$D$2:$D$2000,U$1,Sets!$J$2:$J$2000,"N"))</f>
        <v/>
      </c>
      <c r="V4" s="26">
        <f>IF(_xlfn.MAXIFS(Sets!$H$2:$H$2000,Sets!$A$2:$A$2000,$A4,Sets!$D$2:$D$2000,V$1,Sets!$J$2:$J$2000,"N")=0,"",_xlfn.MAXIFS(Sets!$H$2:$H$2000,Sets!$A$2:$A$2000,$A4,Sets!$D$2:$D$2000,V$1,Sets!$J$2:$J$2000,"N"))</f>
        <v/>
      </c>
      <c r="W4" s="26">
        <f>IF(_xlfn.MAXIFS(Sets!$H$2:$H$2000,Sets!$A$2:$A$2000,$A4,Sets!$D$2:$D$2000,W$1,Sets!$J$2:$J$2000,"N")=0,"",_xlfn.MAXIFS(Sets!$H$2:$H$2000,Sets!$A$2:$A$2000,$A4,Sets!$D$2:$D$2000,W$1,Sets!$J$2:$J$2000,"N"))</f>
        <v/>
      </c>
      <c r="X4" s="26">
        <f>IF(_xlfn.MAXIFS(Sets!$H$2:$H$2000,Sets!$A$2:$A$2000,$A4,Sets!$D$2:$D$2000,X$1,Sets!$J$2:$J$2000,"N")=0,"",_xlfn.MAXIFS(Sets!$H$2:$H$2000,Sets!$A$2:$A$2000,$A4,Sets!$D$2:$D$2000,X$1,Sets!$J$2:$J$2000,"N"))</f>
        <v/>
      </c>
      <c r="Y4" s="26">
        <f>IF(_xlfn.MAXIFS(Sets!$H$2:$H$2000,Sets!$A$2:$A$2000,$A4,Sets!$D$2:$D$2000,Y$1,Sets!$J$2:$J$2000,"N")=0,"",_xlfn.MAXIFS(Sets!$H$2:$H$2000,Sets!$A$2:$A$2000,$A4,Sets!$D$2:$D$2000,Y$1,Sets!$J$2:$J$2000,"N"))</f>
        <v/>
      </c>
      <c r="Z4" s="26">
        <f>IF(_xlfn.MAXIFS(Sets!$H$2:$H$2000,Sets!$A$2:$A$2000,$A4,Sets!$D$2:$D$2000,Z$1,Sets!$J$2:$J$2000,"N")=0,"",_xlfn.MAXIFS(Sets!$H$2:$H$2000,Sets!$A$2:$A$2000,$A4,Sets!$D$2:$D$2000,Z$1,Sets!$J$2:$J$2000,"N"))</f>
        <v/>
      </c>
      <c r="AA4" s="26">
        <f>IF(_xlfn.MAXIFS(Sets!$H$2:$H$2000,Sets!$A$2:$A$2000,$A4,Sets!$D$2:$D$2000,AA$1,Sets!$J$2:$J$2000,"N")=0,"",_xlfn.MAXIFS(Sets!$H$2:$H$2000,Sets!$A$2:$A$2000,$A4,Sets!$D$2:$D$2000,AA$1,Sets!$J$2:$J$2000,"N"))</f>
        <v/>
      </c>
      <c r="AB4" s="26">
        <f>IF(_xlfn.MAXIFS(Sets!$H$2:$H$2000,Sets!$A$2:$A$2000,$A4,Sets!$D$2:$D$2000,AB$1,Sets!$J$2:$J$2000,"N")=0,"",_xlfn.MAXIFS(Sets!$H$2:$H$2000,Sets!$A$2:$A$2000,$A4,Sets!$D$2:$D$2000,AB$1,Sets!$J$2:$J$2000,"N"))</f>
        <v/>
      </c>
      <c r="AC4" s="26">
        <f>IF(_xlfn.MAXIFS(Sets!$H$2:$H$2000,Sets!$A$2:$A$2000,$A4,Sets!$D$2:$D$2000,AC$1,Sets!$J$2:$J$2000,"N")=0,"",_xlfn.MAXIFS(Sets!$H$2:$H$2000,Sets!$A$2:$A$2000,$A4,Sets!$D$2:$D$2000,AC$1,Sets!$J$2:$J$2000,"N"))</f>
        <v/>
      </c>
      <c r="AD4" s="26">
        <f>IF(_xlfn.MAXIFS(Sets!$H$2:$H$2000,Sets!$A$2:$A$2000,$A4,Sets!$D$2:$D$2000,AD$1,Sets!$J$2:$J$2000,"N")=0,"",_xlfn.MAXIFS(Sets!$H$2:$H$2000,Sets!$A$2:$A$2000,$A4,Sets!$D$2:$D$2000,AD$1,Sets!$J$2:$J$2000,"N"))</f>
        <v/>
      </c>
      <c r="AE4" s="26">
        <f>IF(_xlfn.MAXIFS(Sets!$H$2:$H$2000,Sets!$A$2:$A$2000,$A4,Sets!$D$2:$D$2000,AE$1,Sets!$J$2:$J$2000,"N")=0,"",_xlfn.MAXIFS(Sets!$H$2:$H$2000,Sets!$A$2:$A$2000,$A4,Sets!$D$2:$D$2000,AE$1,Sets!$J$2:$J$2000,"N"))</f>
        <v/>
      </c>
      <c r="AF4" s="26">
        <f>IF(_xlfn.MAXIFS(Sets!$H$2:$H$2000,Sets!$A$2:$A$2000,$A4,Sets!$D$2:$D$2000,AF$1,Sets!$J$2:$J$2000,"N")=0,"",_xlfn.MAXIFS(Sets!$H$2:$H$2000,Sets!$A$2:$A$2000,$A4,Sets!$D$2:$D$2000,AF$1,Sets!$J$2:$J$2000,"N"))</f>
        <v/>
      </c>
      <c r="AG4" s="26">
        <f>IF(_xlfn.MAXIFS(Sets!$H$2:$H$2000,Sets!$A$2:$A$2000,$A4,Sets!$D$2:$D$2000,AG$1,Sets!$J$2:$J$2000,"N")=0,"",_xlfn.MAXIFS(Sets!$H$2:$H$2000,Sets!$A$2:$A$2000,$A4,Sets!$D$2:$D$2000,AG$1,Sets!$J$2:$J$2000,"N"))</f>
        <v/>
      </c>
      <c r="AH4" s="26">
        <f>IF(_xlfn.MAXIFS(Sets!$H$2:$H$2000,Sets!$A$2:$A$2000,$A4,Sets!$D$2:$D$2000,AH$1,Sets!$J$2:$J$2000,"N")=0,"",_xlfn.MAXIFS(Sets!$H$2:$H$2000,Sets!$A$2:$A$2000,$A4,Sets!$D$2:$D$2000,AH$1,Sets!$J$2:$J$2000,"N"))</f>
        <v/>
      </c>
      <c r="AI4">
        <f>IF(_xlfn.MAXIFS(Sets!$H$2:$H$2000,Sets!$A$2:$A$2000,$A4,Sets!$D$2:$D$2000,AI$1,Sets!$J$2:$J$2000,"N")=0,"",_xlfn.MAXIFS(Sets!$H$2:$H$2000,Sets!$A$2:$A$2000,$A4,Sets!$D$2:$D$2000,AI$1,Sets!$J$2:$J$2000,"N"))</f>
        <v/>
      </c>
      <c r="AJ4">
        <f>IF(_xlfn.MAXIFS(Sets!$H$2:$H$2000,Sets!$A$2:$A$2000,$A4,Sets!$D$2:$D$2000,AJ$1,Sets!$J$2:$J$2000,"N")=0,"",_xlfn.MAXIFS(Sets!$H$2:$H$2000,Sets!$A$2:$A$2000,$A4,Sets!$D$2:$D$2000,AJ$1,Sets!$J$2:$J$2000,"N"))</f>
        <v/>
      </c>
      <c r="AK4">
        <f>IF(_xlfn.MAXIFS(Sets!$H$2:$H$2000,Sets!$A$2:$A$2000,$A4,Sets!$D$2:$D$2000,AK$1,Sets!$J$2:$J$2000,"N")=0,"",_xlfn.MAXIFS(Sets!$H$2:$H$2000,Sets!$A$2:$A$2000,$A4,Sets!$D$2:$D$2000,AK$1,Sets!$J$2:$J$2000,"N"))</f>
        <v/>
      </c>
      <c r="AL4">
        <f>IF(_xlfn.MAXIFS(Sets!$H$2:$H$2000,Sets!$A$2:$A$2000,$A4,Sets!$D$2:$D$2000,AL$1,Sets!$J$2:$J$2000,"N")=0,"",_xlfn.MAXIFS(Sets!$H$2:$H$2000,Sets!$A$2:$A$2000,$A4,Sets!$D$2:$D$2000,AL$1,Sets!$J$2:$J$2000,"N"))</f>
        <v/>
      </c>
      <c r="AM4">
        <f>IF(_xlfn.MAXIFS(Sets!$H$2:$H$2000,Sets!$A$2:$A$2000,$A4,Sets!$D$2:$D$2000,AM$1,Sets!$J$2:$J$2000,"N")=0,"",_xlfn.MAXIFS(Sets!$H$2:$H$2000,Sets!$A$2:$A$2000,$A4,Sets!$D$2:$D$2000,AM$1,Sets!$J$2:$J$2000,"N"))</f>
        <v/>
      </c>
      <c r="AN4">
        <f>IF(_xlfn.MAXIFS(Sets!$H$2:$H$2000,Sets!$A$2:$A$2000,$A4,Sets!$D$2:$D$2000,AN$1,Sets!$J$2:$J$2000,"N")=0,"",_xlfn.MAXIFS(Sets!$H$2:$H$2000,Sets!$A$2:$A$2000,$A4,Sets!$D$2:$D$2000,AN$1,Sets!$J$2:$J$2000,"N"))</f>
        <v/>
      </c>
      <c r="AO4">
        <f>IF(_xlfn.MAXIFS(Sets!$H$2:$H$2000,Sets!$A$2:$A$2000,$A4,Sets!$D$2:$D$2000,AO$1,Sets!$J$2:$J$2000,"N")=0,"",_xlfn.MAXIFS(Sets!$H$2:$H$2000,Sets!$A$2:$A$2000,$A4,Sets!$D$2:$D$2000,AO$1,Sets!$J$2:$J$2000,"N"))</f>
        <v/>
      </c>
      <c r="AP4">
        <f>IF(_xlfn.MAXIFS(Sets!$H$2:$H$2000,Sets!$A$2:$A$2000,$A4,Sets!$D$2:$D$2000,AP$1,Sets!$J$2:$J$2000,"N")=0,"",_xlfn.MAXIFS(Sets!$H$2:$H$2000,Sets!$A$2:$A$2000,$A4,Sets!$D$2:$D$2000,AP$1,Sets!$J$2:$J$2000,"N"))</f>
        <v/>
      </c>
    </row>
    <row r="5" ht="15" customHeight="1" s="22">
      <c r="A5" s="39" t="n">
        <v>46045</v>
      </c>
      <c r="B5" s="26">
        <f>IF(_xlfn.MAXIFS(Sets!$H$2:$H$2000,Sets!$A$2:$A$2000,$A5,Sets!$D$2:$D$2000,B$1,Sets!$J$2:$J$2000,"N")=0,"",_xlfn.MAXIFS(Sets!$H$2:$H$2000,Sets!$A$2:$A$2000,$A5,Sets!$D$2:$D$2000,B$1,Sets!$J$2:$J$2000,"N"))</f>
        <v/>
      </c>
      <c r="C5" s="26">
        <f>IF(_xlfn.MAXIFS(Sets!$H$2:$H$2000,Sets!$A$2:$A$2000,$A5,Sets!$D$2:$D$2000,C$1,Sets!$J$2:$J$2000,"N")=0,"",_xlfn.MAXIFS(Sets!$H$2:$H$2000,Sets!$A$2:$A$2000,$A5,Sets!$D$2:$D$2000,C$1,Sets!$J$2:$J$2000,"N"))</f>
        <v/>
      </c>
      <c r="D5" s="26">
        <f>IF(_xlfn.MAXIFS(Sets!$H$2:$H$2000,Sets!$A$2:$A$2000,$A5,Sets!$D$2:$D$2000,D$1,Sets!$J$2:$J$2000,"N")=0,"",_xlfn.MAXIFS(Sets!$H$2:$H$2000,Sets!$A$2:$A$2000,$A5,Sets!$D$2:$D$2000,D$1,Sets!$J$2:$J$2000,"N"))</f>
        <v/>
      </c>
      <c r="E5" s="26">
        <f>IF(_xlfn.MAXIFS(Sets!$H$2:$H$2000,Sets!$A$2:$A$2000,$A5,Sets!$D$2:$D$2000,E$1,Sets!$J$2:$J$2000,"N")=0,"",_xlfn.MAXIFS(Sets!$H$2:$H$2000,Sets!$A$2:$A$2000,$A5,Sets!$D$2:$D$2000,E$1,Sets!$J$2:$J$2000,"N"))</f>
        <v/>
      </c>
      <c r="F5" s="26">
        <f>IF(_xlfn.MAXIFS(Sets!$H$2:$H$2000,Sets!$A$2:$A$2000,$A5,Sets!$D$2:$D$2000,F$1,Sets!$J$2:$J$2000,"N")=0,"",_xlfn.MAXIFS(Sets!$H$2:$H$2000,Sets!$A$2:$A$2000,$A5,Sets!$D$2:$D$2000,F$1,Sets!$J$2:$J$2000,"N"))</f>
        <v/>
      </c>
      <c r="G5" s="26">
        <f>IF(_xlfn.MAXIFS(Sets!$H$2:$H$2000,Sets!$A$2:$A$2000,$A5,Sets!$D$2:$D$2000,G$1,Sets!$J$2:$J$2000,"N")=0,"",_xlfn.MAXIFS(Sets!$H$2:$H$2000,Sets!$A$2:$A$2000,$A5,Sets!$D$2:$D$2000,G$1,Sets!$J$2:$J$2000,"N"))</f>
        <v/>
      </c>
      <c r="H5" s="26">
        <f>IF(_xlfn.MAXIFS(Sets!$H$2:$H$2000,Sets!$A$2:$A$2000,$A5,Sets!$D$2:$D$2000,H$1,Sets!$J$2:$J$2000,"N")=0,"",_xlfn.MAXIFS(Sets!$H$2:$H$2000,Sets!$A$2:$A$2000,$A5,Sets!$D$2:$D$2000,H$1,Sets!$J$2:$J$2000,"N"))</f>
        <v/>
      </c>
      <c r="I5" s="26">
        <f>IF(_xlfn.MAXIFS(Sets!$H$2:$H$2000,Sets!$A$2:$A$2000,$A5,Sets!$D$2:$D$2000,I$1,Sets!$J$2:$J$2000,"N")=0,"",_xlfn.MAXIFS(Sets!$H$2:$H$2000,Sets!$A$2:$A$2000,$A5,Sets!$D$2:$D$2000,I$1,Sets!$J$2:$J$2000,"N"))</f>
        <v/>
      </c>
      <c r="J5" s="26">
        <f>IF(_xlfn.MAXIFS(Sets!$H$2:$H$2000,Sets!$A$2:$A$2000,$A5,Sets!$D$2:$D$2000,J$1,Sets!$J$2:$J$2000,"N")=0,"",_xlfn.MAXIFS(Sets!$H$2:$H$2000,Sets!$A$2:$A$2000,$A5,Sets!$D$2:$D$2000,J$1,Sets!$J$2:$J$2000,"N"))</f>
        <v/>
      </c>
      <c r="K5" s="26">
        <f>IF(_xlfn.MAXIFS(Sets!$H$2:$H$2000,Sets!$A$2:$A$2000,$A5,Sets!$D$2:$D$2000,K$1,Sets!$J$2:$J$2000,"N")=0,"",_xlfn.MAXIFS(Sets!$H$2:$H$2000,Sets!$A$2:$A$2000,$A5,Sets!$D$2:$D$2000,K$1,Sets!$J$2:$J$2000,"N"))</f>
        <v/>
      </c>
      <c r="L5" s="26">
        <f>IF(_xlfn.MAXIFS(Sets!$H$2:$H$2000,Sets!$A$2:$A$2000,$A5,Sets!$D$2:$D$2000,L$1,Sets!$J$2:$J$2000,"N")=0,"",_xlfn.MAXIFS(Sets!$H$2:$H$2000,Sets!$A$2:$A$2000,$A5,Sets!$D$2:$D$2000,L$1,Sets!$J$2:$J$2000,"N"))</f>
        <v/>
      </c>
      <c r="M5" s="26">
        <f>IF(_xlfn.MAXIFS(Sets!$H$2:$H$2000,Sets!$A$2:$A$2000,$A5,Sets!$D$2:$D$2000,M$1,Sets!$J$2:$J$2000,"N")=0,"",_xlfn.MAXIFS(Sets!$H$2:$H$2000,Sets!$A$2:$A$2000,$A5,Sets!$D$2:$D$2000,M$1,Sets!$J$2:$J$2000,"N"))</f>
        <v/>
      </c>
      <c r="N5" s="26">
        <f>IF(_xlfn.MAXIFS(Sets!$H$2:$H$2000,Sets!$A$2:$A$2000,$A5,Sets!$D$2:$D$2000,N$1,Sets!$J$2:$J$2000,"N")=0,"",_xlfn.MAXIFS(Sets!$H$2:$H$2000,Sets!$A$2:$A$2000,$A5,Sets!$D$2:$D$2000,N$1,Sets!$J$2:$J$2000,"N"))</f>
        <v/>
      </c>
      <c r="O5" s="26">
        <f>IF(_xlfn.MAXIFS(Sets!$H$2:$H$2000,Sets!$A$2:$A$2000,$A5,Sets!$D$2:$D$2000,O$1,Sets!$J$2:$J$2000,"N")=0,"",_xlfn.MAXIFS(Sets!$H$2:$H$2000,Sets!$A$2:$A$2000,$A5,Sets!$D$2:$D$2000,O$1,Sets!$J$2:$J$2000,"N"))</f>
        <v/>
      </c>
      <c r="P5" s="26">
        <f>IF(_xlfn.MAXIFS(Sets!$H$2:$H$2000,Sets!$A$2:$A$2000,$A5,Sets!$D$2:$D$2000,P$1,Sets!$J$2:$J$2000,"N")=0,"",_xlfn.MAXIFS(Sets!$H$2:$H$2000,Sets!$A$2:$A$2000,$A5,Sets!$D$2:$D$2000,P$1,Sets!$J$2:$J$2000,"N"))</f>
        <v/>
      </c>
      <c r="Q5" s="26">
        <f>IF(_xlfn.MAXIFS(Sets!$H$2:$H$2000,Sets!$A$2:$A$2000,$A5,Sets!$D$2:$D$2000,Q$1,Sets!$J$2:$J$2000,"N")=0,"",_xlfn.MAXIFS(Sets!$H$2:$H$2000,Sets!$A$2:$A$2000,$A5,Sets!$D$2:$D$2000,Q$1,Sets!$J$2:$J$2000,"N"))</f>
        <v/>
      </c>
      <c r="R5" s="26">
        <f>IF(_xlfn.MAXIFS(Sets!$H$2:$H$2000,Sets!$A$2:$A$2000,$A5,Sets!$D$2:$D$2000,R$1,Sets!$J$2:$J$2000,"N")=0,"",_xlfn.MAXIFS(Sets!$H$2:$H$2000,Sets!$A$2:$A$2000,$A5,Sets!$D$2:$D$2000,R$1,Sets!$J$2:$J$2000,"N"))</f>
        <v/>
      </c>
      <c r="S5" s="26">
        <f>IF(_xlfn.MAXIFS(Sets!$H$2:$H$2000,Sets!$A$2:$A$2000,$A5,Sets!$D$2:$D$2000,S$1,Sets!$J$2:$J$2000,"N")=0,"",_xlfn.MAXIFS(Sets!$H$2:$H$2000,Sets!$A$2:$A$2000,$A5,Sets!$D$2:$D$2000,S$1,Sets!$J$2:$J$2000,"N"))</f>
        <v/>
      </c>
      <c r="T5" s="26">
        <f>IF(_xlfn.MAXIFS(Sets!$H$2:$H$2000,Sets!$A$2:$A$2000,$A5,Sets!$D$2:$D$2000,T$1,Sets!$J$2:$J$2000,"N")=0,"",_xlfn.MAXIFS(Sets!$H$2:$H$2000,Sets!$A$2:$A$2000,$A5,Sets!$D$2:$D$2000,T$1,Sets!$J$2:$J$2000,"N"))</f>
        <v/>
      </c>
      <c r="U5" s="26">
        <f>IF(_xlfn.MAXIFS(Sets!$H$2:$H$2000,Sets!$A$2:$A$2000,$A5,Sets!$D$2:$D$2000,U$1,Sets!$J$2:$J$2000,"N")=0,"",_xlfn.MAXIFS(Sets!$H$2:$H$2000,Sets!$A$2:$A$2000,$A5,Sets!$D$2:$D$2000,U$1,Sets!$J$2:$J$2000,"N"))</f>
        <v/>
      </c>
      <c r="V5" s="26">
        <f>IF(_xlfn.MAXIFS(Sets!$H$2:$H$2000,Sets!$A$2:$A$2000,$A5,Sets!$D$2:$D$2000,V$1,Sets!$J$2:$J$2000,"N")=0,"",_xlfn.MAXIFS(Sets!$H$2:$H$2000,Sets!$A$2:$A$2000,$A5,Sets!$D$2:$D$2000,V$1,Sets!$J$2:$J$2000,"N"))</f>
        <v/>
      </c>
      <c r="W5" s="26">
        <f>IF(_xlfn.MAXIFS(Sets!$H$2:$H$2000,Sets!$A$2:$A$2000,$A5,Sets!$D$2:$D$2000,W$1,Sets!$J$2:$J$2000,"N")=0,"",_xlfn.MAXIFS(Sets!$H$2:$H$2000,Sets!$A$2:$A$2000,$A5,Sets!$D$2:$D$2000,W$1,Sets!$J$2:$J$2000,"N"))</f>
        <v/>
      </c>
      <c r="X5" s="26">
        <f>IF(_xlfn.MAXIFS(Sets!$H$2:$H$2000,Sets!$A$2:$A$2000,$A5,Sets!$D$2:$D$2000,X$1,Sets!$J$2:$J$2000,"N")=0,"",_xlfn.MAXIFS(Sets!$H$2:$H$2000,Sets!$A$2:$A$2000,$A5,Sets!$D$2:$D$2000,X$1,Sets!$J$2:$J$2000,"N"))</f>
        <v/>
      </c>
      <c r="Y5" s="26">
        <f>IF(_xlfn.MAXIFS(Sets!$H$2:$H$2000,Sets!$A$2:$A$2000,$A5,Sets!$D$2:$D$2000,Y$1,Sets!$J$2:$J$2000,"N")=0,"",_xlfn.MAXIFS(Sets!$H$2:$H$2000,Sets!$A$2:$A$2000,$A5,Sets!$D$2:$D$2000,Y$1,Sets!$J$2:$J$2000,"N"))</f>
        <v/>
      </c>
      <c r="Z5" s="26">
        <f>IF(_xlfn.MAXIFS(Sets!$H$2:$H$2000,Sets!$A$2:$A$2000,$A5,Sets!$D$2:$D$2000,Z$1,Sets!$J$2:$J$2000,"N")=0,"",_xlfn.MAXIFS(Sets!$H$2:$H$2000,Sets!$A$2:$A$2000,$A5,Sets!$D$2:$D$2000,Z$1,Sets!$J$2:$J$2000,"N"))</f>
        <v/>
      </c>
      <c r="AA5" s="26">
        <f>IF(_xlfn.MAXIFS(Sets!$H$2:$H$2000,Sets!$A$2:$A$2000,$A5,Sets!$D$2:$D$2000,AA$1,Sets!$J$2:$J$2000,"N")=0,"",_xlfn.MAXIFS(Sets!$H$2:$H$2000,Sets!$A$2:$A$2000,$A5,Sets!$D$2:$D$2000,AA$1,Sets!$J$2:$J$2000,"N"))</f>
        <v/>
      </c>
      <c r="AB5" s="26">
        <f>IF(_xlfn.MAXIFS(Sets!$H$2:$H$2000,Sets!$A$2:$A$2000,$A5,Sets!$D$2:$D$2000,AB$1,Sets!$J$2:$J$2000,"N")=0,"",_xlfn.MAXIFS(Sets!$H$2:$H$2000,Sets!$A$2:$A$2000,$A5,Sets!$D$2:$D$2000,AB$1,Sets!$J$2:$J$2000,"N"))</f>
        <v/>
      </c>
      <c r="AC5" s="26">
        <f>IF(_xlfn.MAXIFS(Sets!$H$2:$H$2000,Sets!$A$2:$A$2000,$A5,Sets!$D$2:$D$2000,AC$1,Sets!$J$2:$J$2000,"N")=0,"",_xlfn.MAXIFS(Sets!$H$2:$H$2000,Sets!$A$2:$A$2000,$A5,Sets!$D$2:$D$2000,AC$1,Sets!$J$2:$J$2000,"N"))</f>
        <v/>
      </c>
      <c r="AD5" s="26">
        <f>IF(_xlfn.MAXIFS(Sets!$H$2:$H$2000,Sets!$A$2:$A$2000,$A5,Sets!$D$2:$D$2000,AD$1,Sets!$J$2:$J$2000,"N")=0,"",_xlfn.MAXIFS(Sets!$H$2:$H$2000,Sets!$A$2:$A$2000,$A5,Sets!$D$2:$D$2000,AD$1,Sets!$J$2:$J$2000,"N"))</f>
        <v/>
      </c>
      <c r="AE5" s="26">
        <f>IF(_xlfn.MAXIFS(Sets!$H$2:$H$2000,Sets!$A$2:$A$2000,$A5,Sets!$D$2:$D$2000,AE$1,Sets!$J$2:$J$2000,"N")=0,"",_xlfn.MAXIFS(Sets!$H$2:$H$2000,Sets!$A$2:$A$2000,$A5,Sets!$D$2:$D$2000,AE$1,Sets!$J$2:$J$2000,"N"))</f>
        <v/>
      </c>
      <c r="AF5" s="26">
        <f>IF(_xlfn.MAXIFS(Sets!$H$2:$H$2000,Sets!$A$2:$A$2000,$A5,Sets!$D$2:$D$2000,AF$1,Sets!$J$2:$J$2000,"N")=0,"",_xlfn.MAXIFS(Sets!$H$2:$H$2000,Sets!$A$2:$A$2000,$A5,Sets!$D$2:$D$2000,AF$1,Sets!$J$2:$J$2000,"N"))</f>
        <v/>
      </c>
      <c r="AG5" s="26">
        <f>IF(_xlfn.MAXIFS(Sets!$H$2:$H$2000,Sets!$A$2:$A$2000,$A5,Sets!$D$2:$D$2000,AG$1,Sets!$J$2:$J$2000,"N")=0,"",_xlfn.MAXIFS(Sets!$H$2:$H$2000,Sets!$A$2:$A$2000,$A5,Sets!$D$2:$D$2000,AG$1,Sets!$J$2:$J$2000,"N"))</f>
        <v/>
      </c>
      <c r="AH5" s="26">
        <f>IF(_xlfn.MAXIFS(Sets!$H$2:$H$2000,Sets!$A$2:$A$2000,$A5,Sets!$D$2:$D$2000,AH$1,Sets!$J$2:$J$2000,"N")=0,"",_xlfn.MAXIFS(Sets!$H$2:$H$2000,Sets!$A$2:$A$2000,$A5,Sets!$D$2:$D$2000,AH$1,Sets!$J$2:$J$2000,"N"))</f>
        <v/>
      </c>
      <c r="AI5">
        <f>IF(_xlfn.MAXIFS(Sets!$H$2:$H$2000,Sets!$A$2:$A$2000,$A5,Sets!$D$2:$D$2000,AI$1,Sets!$J$2:$J$2000,"N")=0,"",_xlfn.MAXIFS(Sets!$H$2:$H$2000,Sets!$A$2:$A$2000,$A5,Sets!$D$2:$D$2000,AI$1,Sets!$J$2:$J$2000,"N"))</f>
        <v/>
      </c>
      <c r="AJ5">
        <f>IF(_xlfn.MAXIFS(Sets!$H$2:$H$2000,Sets!$A$2:$A$2000,$A5,Sets!$D$2:$D$2000,AJ$1,Sets!$J$2:$J$2000,"N")=0,"",_xlfn.MAXIFS(Sets!$H$2:$H$2000,Sets!$A$2:$A$2000,$A5,Sets!$D$2:$D$2000,AJ$1,Sets!$J$2:$J$2000,"N"))</f>
        <v/>
      </c>
      <c r="AK5">
        <f>IF(_xlfn.MAXIFS(Sets!$H$2:$H$2000,Sets!$A$2:$A$2000,$A5,Sets!$D$2:$D$2000,AK$1,Sets!$J$2:$J$2000,"N")=0,"",_xlfn.MAXIFS(Sets!$H$2:$H$2000,Sets!$A$2:$A$2000,$A5,Sets!$D$2:$D$2000,AK$1,Sets!$J$2:$J$2000,"N"))</f>
        <v/>
      </c>
      <c r="AL5">
        <f>IF(_xlfn.MAXIFS(Sets!$H$2:$H$2000,Sets!$A$2:$A$2000,$A5,Sets!$D$2:$D$2000,AL$1,Sets!$J$2:$J$2000,"N")=0,"",_xlfn.MAXIFS(Sets!$H$2:$H$2000,Sets!$A$2:$A$2000,$A5,Sets!$D$2:$D$2000,AL$1,Sets!$J$2:$J$2000,"N"))</f>
        <v/>
      </c>
      <c r="AM5">
        <f>IF(_xlfn.MAXIFS(Sets!$H$2:$H$2000,Sets!$A$2:$A$2000,$A5,Sets!$D$2:$D$2000,AM$1,Sets!$J$2:$J$2000,"N")=0,"",_xlfn.MAXIFS(Sets!$H$2:$H$2000,Sets!$A$2:$A$2000,$A5,Sets!$D$2:$D$2000,AM$1,Sets!$J$2:$J$2000,"N"))</f>
        <v/>
      </c>
      <c r="AN5">
        <f>IF(_xlfn.MAXIFS(Sets!$H$2:$H$2000,Sets!$A$2:$A$2000,$A5,Sets!$D$2:$D$2000,AN$1,Sets!$J$2:$J$2000,"N")=0,"",_xlfn.MAXIFS(Sets!$H$2:$H$2000,Sets!$A$2:$A$2000,$A5,Sets!$D$2:$D$2000,AN$1,Sets!$J$2:$J$2000,"N"))</f>
        <v/>
      </c>
      <c r="AO5">
        <f>IF(_xlfn.MAXIFS(Sets!$H$2:$H$2000,Sets!$A$2:$A$2000,$A5,Sets!$D$2:$D$2000,AO$1,Sets!$J$2:$J$2000,"N")=0,"",_xlfn.MAXIFS(Sets!$H$2:$H$2000,Sets!$A$2:$A$2000,$A5,Sets!$D$2:$D$2000,AO$1,Sets!$J$2:$J$2000,"N"))</f>
        <v/>
      </c>
      <c r="AP5">
        <f>IF(_xlfn.MAXIFS(Sets!$H$2:$H$2000,Sets!$A$2:$A$2000,$A5,Sets!$D$2:$D$2000,AP$1,Sets!$J$2:$J$2000,"N")=0,"",_xlfn.MAXIFS(Sets!$H$2:$H$2000,Sets!$A$2:$A$2000,$A5,Sets!$D$2:$D$2000,AP$1,Sets!$J$2:$J$2000,"N"))</f>
        <v/>
      </c>
    </row>
    <row r="6" ht="15" customHeight="1" s="22">
      <c r="A6" s="39" t="n">
        <v>46047</v>
      </c>
      <c r="B6" s="26">
        <f>IF(_xlfn.MAXIFS(Sets!$H$2:$H$2000,Sets!$A$2:$A$2000,$A6,Sets!$D$2:$D$2000,B$1,Sets!$J$2:$J$2000,"N")=0,"",_xlfn.MAXIFS(Sets!$H$2:$H$2000,Sets!$A$2:$A$2000,$A6,Sets!$D$2:$D$2000,B$1,Sets!$J$2:$J$2000,"N"))</f>
        <v/>
      </c>
      <c r="C6" s="26">
        <f>IF(_xlfn.MAXIFS(Sets!$H$2:$H$2000,Sets!$A$2:$A$2000,$A6,Sets!$D$2:$D$2000,C$1,Sets!$J$2:$J$2000,"N")=0,"",_xlfn.MAXIFS(Sets!$H$2:$H$2000,Sets!$A$2:$A$2000,$A6,Sets!$D$2:$D$2000,C$1,Sets!$J$2:$J$2000,"N"))</f>
        <v/>
      </c>
      <c r="D6" s="26">
        <f>IF(_xlfn.MAXIFS(Sets!$H$2:$H$2000,Sets!$A$2:$A$2000,$A6,Sets!$D$2:$D$2000,D$1,Sets!$J$2:$J$2000,"N")=0,"",_xlfn.MAXIFS(Sets!$H$2:$H$2000,Sets!$A$2:$A$2000,$A6,Sets!$D$2:$D$2000,D$1,Sets!$J$2:$J$2000,"N"))</f>
        <v/>
      </c>
      <c r="E6" s="26">
        <f>IF(_xlfn.MAXIFS(Sets!$H$2:$H$2000,Sets!$A$2:$A$2000,$A6,Sets!$D$2:$D$2000,E$1,Sets!$J$2:$J$2000,"N")=0,"",_xlfn.MAXIFS(Sets!$H$2:$H$2000,Sets!$A$2:$A$2000,$A6,Sets!$D$2:$D$2000,E$1,Sets!$J$2:$J$2000,"N"))</f>
        <v/>
      </c>
      <c r="F6" s="26">
        <f>IF(_xlfn.MAXIFS(Sets!$H$2:$H$2000,Sets!$A$2:$A$2000,$A6,Sets!$D$2:$D$2000,F$1,Sets!$J$2:$J$2000,"N")=0,"",_xlfn.MAXIFS(Sets!$H$2:$H$2000,Sets!$A$2:$A$2000,$A6,Sets!$D$2:$D$2000,F$1,Sets!$J$2:$J$2000,"N"))</f>
        <v/>
      </c>
      <c r="G6" s="26">
        <f>IF(_xlfn.MAXIFS(Sets!$H$2:$H$2000,Sets!$A$2:$A$2000,$A6,Sets!$D$2:$D$2000,G$1,Sets!$J$2:$J$2000,"N")=0,"",_xlfn.MAXIFS(Sets!$H$2:$H$2000,Sets!$A$2:$A$2000,$A6,Sets!$D$2:$D$2000,G$1,Sets!$J$2:$J$2000,"N"))</f>
        <v/>
      </c>
      <c r="H6" s="26">
        <f>IF(_xlfn.MAXIFS(Sets!$H$2:$H$2000,Sets!$A$2:$A$2000,$A6,Sets!$D$2:$D$2000,H$1,Sets!$J$2:$J$2000,"N")=0,"",_xlfn.MAXIFS(Sets!$H$2:$H$2000,Sets!$A$2:$A$2000,$A6,Sets!$D$2:$D$2000,H$1,Sets!$J$2:$J$2000,"N"))</f>
        <v/>
      </c>
      <c r="I6" s="26">
        <f>IF(_xlfn.MAXIFS(Sets!$H$2:$H$2000,Sets!$A$2:$A$2000,$A6,Sets!$D$2:$D$2000,I$1,Sets!$J$2:$J$2000,"N")=0,"",_xlfn.MAXIFS(Sets!$H$2:$H$2000,Sets!$A$2:$A$2000,$A6,Sets!$D$2:$D$2000,I$1,Sets!$J$2:$J$2000,"N"))</f>
        <v/>
      </c>
      <c r="J6" s="26">
        <f>IF(_xlfn.MAXIFS(Sets!$H$2:$H$2000,Sets!$A$2:$A$2000,$A6,Sets!$D$2:$D$2000,J$1,Sets!$J$2:$J$2000,"N")=0,"",_xlfn.MAXIFS(Sets!$H$2:$H$2000,Sets!$A$2:$A$2000,$A6,Sets!$D$2:$D$2000,J$1,Sets!$J$2:$J$2000,"N"))</f>
        <v/>
      </c>
      <c r="K6" s="26">
        <f>IF(_xlfn.MAXIFS(Sets!$H$2:$H$2000,Sets!$A$2:$A$2000,$A6,Sets!$D$2:$D$2000,K$1,Sets!$J$2:$J$2000,"N")=0,"",_xlfn.MAXIFS(Sets!$H$2:$H$2000,Sets!$A$2:$A$2000,$A6,Sets!$D$2:$D$2000,K$1,Sets!$J$2:$J$2000,"N"))</f>
        <v/>
      </c>
      <c r="L6" s="26">
        <f>IF(_xlfn.MAXIFS(Sets!$H$2:$H$2000,Sets!$A$2:$A$2000,$A6,Sets!$D$2:$D$2000,L$1,Sets!$J$2:$J$2000,"N")=0,"",_xlfn.MAXIFS(Sets!$H$2:$H$2000,Sets!$A$2:$A$2000,$A6,Sets!$D$2:$D$2000,L$1,Sets!$J$2:$J$2000,"N"))</f>
        <v/>
      </c>
      <c r="M6" s="26">
        <f>IF(_xlfn.MAXIFS(Sets!$H$2:$H$2000,Sets!$A$2:$A$2000,$A6,Sets!$D$2:$D$2000,M$1,Sets!$J$2:$J$2000,"N")=0,"",_xlfn.MAXIFS(Sets!$H$2:$H$2000,Sets!$A$2:$A$2000,$A6,Sets!$D$2:$D$2000,M$1,Sets!$J$2:$J$2000,"N"))</f>
        <v/>
      </c>
      <c r="N6" s="26">
        <f>IF(_xlfn.MAXIFS(Sets!$H$2:$H$2000,Sets!$A$2:$A$2000,$A6,Sets!$D$2:$D$2000,N$1,Sets!$J$2:$J$2000,"N")=0,"",_xlfn.MAXIFS(Sets!$H$2:$H$2000,Sets!$A$2:$A$2000,$A6,Sets!$D$2:$D$2000,N$1,Sets!$J$2:$J$2000,"N"))</f>
        <v/>
      </c>
      <c r="O6" s="26">
        <f>IF(_xlfn.MAXIFS(Sets!$H$2:$H$2000,Sets!$A$2:$A$2000,$A6,Sets!$D$2:$D$2000,O$1,Sets!$J$2:$J$2000,"N")=0,"",_xlfn.MAXIFS(Sets!$H$2:$H$2000,Sets!$A$2:$A$2000,$A6,Sets!$D$2:$D$2000,O$1,Sets!$J$2:$J$2000,"N"))</f>
        <v/>
      </c>
      <c r="P6" s="26">
        <f>IF(_xlfn.MAXIFS(Sets!$H$2:$H$2000,Sets!$A$2:$A$2000,$A6,Sets!$D$2:$D$2000,P$1,Sets!$J$2:$J$2000,"N")=0,"",_xlfn.MAXIFS(Sets!$H$2:$H$2000,Sets!$A$2:$A$2000,$A6,Sets!$D$2:$D$2000,P$1,Sets!$J$2:$J$2000,"N"))</f>
        <v/>
      </c>
      <c r="Q6" s="26">
        <f>IF(_xlfn.MAXIFS(Sets!$H$2:$H$2000,Sets!$A$2:$A$2000,$A6,Sets!$D$2:$D$2000,Q$1,Sets!$J$2:$J$2000,"N")=0,"",_xlfn.MAXIFS(Sets!$H$2:$H$2000,Sets!$A$2:$A$2000,$A6,Sets!$D$2:$D$2000,Q$1,Sets!$J$2:$J$2000,"N"))</f>
        <v/>
      </c>
      <c r="R6" s="26">
        <f>IF(_xlfn.MAXIFS(Sets!$H$2:$H$2000,Sets!$A$2:$A$2000,$A6,Sets!$D$2:$D$2000,R$1,Sets!$J$2:$J$2000,"N")=0,"",_xlfn.MAXIFS(Sets!$H$2:$H$2000,Sets!$A$2:$A$2000,$A6,Sets!$D$2:$D$2000,R$1,Sets!$J$2:$J$2000,"N"))</f>
        <v/>
      </c>
      <c r="S6" s="26">
        <f>IF(_xlfn.MAXIFS(Sets!$H$2:$H$2000,Sets!$A$2:$A$2000,$A6,Sets!$D$2:$D$2000,S$1,Sets!$J$2:$J$2000,"N")=0,"",_xlfn.MAXIFS(Sets!$H$2:$H$2000,Sets!$A$2:$A$2000,$A6,Sets!$D$2:$D$2000,S$1,Sets!$J$2:$J$2000,"N"))</f>
        <v/>
      </c>
      <c r="T6" s="26">
        <f>IF(_xlfn.MAXIFS(Sets!$H$2:$H$2000,Sets!$A$2:$A$2000,$A6,Sets!$D$2:$D$2000,T$1,Sets!$J$2:$J$2000,"N")=0,"",_xlfn.MAXIFS(Sets!$H$2:$H$2000,Sets!$A$2:$A$2000,$A6,Sets!$D$2:$D$2000,T$1,Sets!$J$2:$J$2000,"N"))</f>
        <v/>
      </c>
      <c r="U6" s="26">
        <f>IF(_xlfn.MAXIFS(Sets!$H$2:$H$2000,Sets!$A$2:$A$2000,$A6,Sets!$D$2:$D$2000,U$1,Sets!$J$2:$J$2000,"N")=0,"",_xlfn.MAXIFS(Sets!$H$2:$H$2000,Sets!$A$2:$A$2000,$A6,Sets!$D$2:$D$2000,U$1,Sets!$J$2:$J$2000,"N"))</f>
        <v/>
      </c>
      <c r="V6" s="26">
        <f>IF(_xlfn.MAXIFS(Sets!$H$2:$H$2000,Sets!$A$2:$A$2000,$A6,Sets!$D$2:$D$2000,V$1,Sets!$J$2:$J$2000,"N")=0,"",_xlfn.MAXIFS(Sets!$H$2:$H$2000,Sets!$A$2:$A$2000,$A6,Sets!$D$2:$D$2000,V$1,Sets!$J$2:$J$2000,"N"))</f>
        <v/>
      </c>
      <c r="W6" s="26">
        <f>IF(_xlfn.MAXIFS(Sets!$H$2:$H$2000,Sets!$A$2:$A$2000,$A6,Sets!$D$2:$D$2000,W$1,Sets!$J$2:$J$2000,"N")=0,"",_xlfn.MAXIFS(Sets!$H$2:$H$2000,Sets!$A$2:$A$2000,$A6,Sets!$D$2:$D$2000,W$1,Sets!$J$2:$J$2000,"N"))</f>
        <v/>
      </c>
      <c r="X6" s="26">
        <f>IF(_xlfn.MAXIFS(Sets!$H$2:$H$2000,Sets!$A$2:$A$2000,$A6,Sets!$D$2:$D$2000,X$1,Sets!$J$2:$J$2000,"N")=0,"",_xlfn.MAXIFS(Sets!$H$2:$H$2000,Sets!$A$2:$A$2000,$A6,Sets!$D$2:$D$2000,X$1,Sets!$J$2:$J$2000,"N"))</f>
        <v/>
      </c>
      <c r="Y6" s="26">
        <f>IF(_xlfn.MAXIFS(Sets!$H$2:$H$2000,Sets!$A$2:$A$2000,$A6,Sets!$D$2:$D$2000,Y$1,Sets!$J$2:$J$2000,"N")=0,"",_xlfn.MAXIFS(Sets!$H$2:$H$2000,Sets!$A$2:$A$2000,$A6,Sets!$D$2:$D$2000,Y$1,Sets!$J$2:$J$2000,"N"))</f>
        <v/>
      </c>
      <c r="Z6" s="26">
        <f>IF(_xlfn.MAXIFS(Sets!$H$2:$H$2000,Sets!$A$2:$A$2000,$A6,Sets!$D$2:$D$2000,Z$1,Sets!$J$2:$J$2000,"N")=0,"",_xlfn.MAXIFS(Sets!$H$2:$H$2000,Sets!$A$2:$A$2000,$A6,Sets!$D$2:$D$2000,Z$1,Sets!$J$2:$J$2000,"N"))</f>
        <v/>
      </c>
      <c r="AA6" s="26">
        <f>IF(_xlfn.MAXIFS(Sets!$H$2:$H$2000,Sets!$A$2:$A$2000,$A6,Sets!$D$2:$D$2000,AA$1,Sets!$J$2:$J$2000,"N")=0,"",_xlfn.MAXIFS(Sets!$H$2:$H$2000,Sets!$A$2:$A$2000,$A6,Sets!$D$2:$D$2000,AA$1,Sets!$J$2:$J$2000,"N"))</f>
        <v/>
      </c>
      <c r="AB6" s="26">
        <f>IF(_xlfn.MAXIFS(Sets!$H$2:$H$2000,Sets!$A$2:$A$2000,$A6,Sets!$D$2:$D$2000,AB$1,Sets!$J$2:$J$2000,"N")=0,"",_xlfn.MAXIFS(Sets!$H$2:$H$2000,Sets!$A$2:$A$2000,$A6,Sets!$D$2:$D$2000,AB$1,Sets!$J$2:$J$2000,"N"))</f>
        <v/>
      </c>
      <c r="AC6" s="26">
        <f>IF(_xlfn.MAXIFS(Sets!$H$2:$H$2000,Sets!$A$2:$A$2000,$A6,Sets!$D$2:$D$2000,AC$1,Sets!$J$2:$J$2000,"N")=0,"",_xlfn.MAXIFS(Sets!$H$2:$H$2000,Sets!$A$2:$A$2000,$A6,Sets!$D$2:$D$2000,AC$1,Sets!$J$2:$J$2000,"N"))</f>
        <v/>
      </c>
      <c r="AD6" s="26">
        <f>IF(_xlfn.MAXIFS(Sets!$H$2:$H$2000,Sets!$A$2:$A$2000,$A6,Sets!$D$2:$D$2000,AD$1,Sets!$J$2:$J$2000,"N")=0,"",_xlfn.MAXIFS(Sets!$H$2:$H$2000,Sets!$A$2:$A$2000,$A6,Sets!$D$2:$D$2000,AD$1,Sets!$J$2:$J$2000,"N"))</f>
        <v/>
      </c>
      <c r="AE6" s="26">
        <f>IF(_xlfn.MAXIFS(Sets!$H$2:$H$2000,Sets!$A$2:$A$2000,$A6,Sets!$D$2:$D$2000,AE$1,Sets!$J$2:$J$2000,"N")=0,"",_xlfn.MAXIFS(Sets!$H$2:$H$2000,Sets!$A$2:$A$2000,$A6,Sets!$D$2:$D$2000,AE$1,Sets!$J$2:$J$2000,"N"))</f>
        <v/>
      </c>
      <c r="AF6" s="26">
        <f>IF(_xlfn.MAXIFS(Sets!$H$2:$H$2000,Sets!$A$2:$A$2000,$A6,Sets!$D$2:$D$2000,AF$1,Sets!$J$2:$J$2000,"N")=0,"",_xlfn.MAXIFS(Sets!$H$2:$H$2000,Sets!$A$2:$A$2000,$A6,Sets!$D$2:$D$2000,AF$1,Sets!$J$2:$J$2000,"N"))</f>
        <v/>
      </c>
      <c r="AG6" s="26">
        <f>IF(_xlfn.MAXIFS(Sets!$H$2:$H$2000,Sets!$A$2:$A$2000,$A6,Sets!$D$2:$D$2000,AG$1,Sets!$J$2:$J$2000,"N")=0,"",_xlfn.MAXIFS(Sets!$H$2:$H$2000,Sets!$A$2:$A$2000,$A6,Sets!$D$2:$D$2000,AG$1,Sets!$J$2:$J$2000,"N"))</f>
        <v/>
      </c>
      <c r="AH6" s="26">
        <f>IF(_xlfn.MAXIFS(Sets!$H$2:$H$2000,Sets!$A$2:$A$2000,$A6,Sets!$D$2:$D$2000,AH$1,Sets!$J$2:$J$2000,"N")=0,"",_xlfn.MAXIFS(Sets!$H$2:$H$2000,Sets!$A$2:$A$2000,$A6,Sets!$D$2:$D$2000,AH$1,Sets!$J$2:$J$2000,"N"))</f>
        <v/>
      </c>
      <c r="AI6">
        <f>IF(_xlfn.MAXIFS(Sets!$H$2:$H$2000,Sets!$A$2:$A$2000,$A6,Sets!$D$2:$D$2000,AI$1,Sets!$J$2:$J$2000,"N")=0,"",_xlfn.MAXIFS(Sets!$H$2:$H$2000,Sets!$A$2:$A$2000,$A6,Sets!$D$2:$D$2000,AI$1,Sets!$J$2:$J$2000,"N"))</f>
        <v/>
      </c>
      <c r="AJ6">
        <f>IF(_xlfn.MAXIFS(Sets!$H$2:$H$2000,Sets!$A$2:$A$2000,$A6,Sets!$D$2:$D$2000,AJ$1,Sets!$J$2:$J$2000,"N")=0,"",_xlfn.MAXIFS(Sets!$H$2:$H$2000,Sets!$A$2:$A$2000,$A6,Sets!$D$2:$D$2000,AJ$1,Sets!$J$2:$J$2000,"N"))</f>
        <v/>
      </c>
      <c r="AK6">
        <f>IF(_xlfn.MAXIFS(Sets!$H$2:$H$2000,Sets!$A$2:$A$2000,$A6,Sets!$D$2:$D$2000,AK$1,Sets!$J$2:$J$2000,"N")=0,"",_xlfn.MAXIFS(Sets!$H$2:$H$2000,Sets!$A$2:$A$2000,$A6,Sets!$D$2:$D$2000,AK$1,Sets!$J$2:$J$2000,"N"))</f>
        <v/>
      </c>
      <c r="AL6">
        <f>IF(_xlfn.MAXIFS(Sets!$H$2:$H$2000,Sets!$A$2:$A$2000,$A6,Sets!$D$2:$D$2000,AL$1,Sets!$J$2:$J$2000,"N")=0,"",_xlfn.MAXIFS(Sets!$H$2:$H$2000,Sets!$A$2:$A$2000,$A6,Sets!$D$2:$D$2000,AL$1,Sets!$J$2:$J$2000,"N"))</f>
        <v/>
      </c>
      <c r="AM6">
        <f>IF(_xlfn.MAXIFS(Sets!$H$2:$H$2000,Sets!$A$2:$A$2000,$A6,Sets!$D$2:$D$2000,AM$1,Sets!$J$2:$J$2000,"N")=0,"",_xlfn.MAXIFS(Sets!$H$2:$H$2000,Sets!$A$2:$A$2000,$A6,Sets!$D$2:$D$2000,AM$1,Sets!$J$2:$J$2000,"N"))</f>
        <v/>
      </c>
      <c r="AN6">
        <f>IF(_xlfn.MAXIFS(Sets!$H$2:$H$2000,Sets!$A$2:$A$2000,$A6,Sets!$D$2:$D$2000,AN$1,Sets!$J$2:$J$2000,"N")=0,"",_xlfn.MAXIFS(Sets!$H$2:$H$2000,Sets!$A$2:$A$2000,$A6,Sets!$D$2:$D$2000,AN$1,Sets!$J$2:$J$2000,"N"))</f>
        <v/>
      </c>
      <c r="AO6">
        <f>IF(_xlfn.MAXIFS(Sets!$H$2:$H$2000,Sets!$A$2:$A$2000,$A6,Sets!$D$2:$D$2000,AO$1,Sets!$J$2:$J$2000,"N")=0,"",_xlfn.MAXIFS(Sets!$H$2:$H$2000,Sets!$A$2:$A$2000,$A6,Sets!$D$2:$D$2000,AO$1,Sets!$J$2:$J$2000,"N"))</f>
        <v/>
      </c>
      <c r="AP6">
        <f>IF(_xlfn.MAXIFS(Sets!$H$2:$H$2000,Sets!$A$2:$A$2000,$A6,Sets!$D$2:$D$2000,AP$1,Sets!$J$2:$J$2000,"N")=0,"",_xlfn.MAXIFS(Sets!$H$2:$H$2000,Sets!$A$2:$A$2000,$A6,Sets!$D$2:$D$2000,AP$1,Sets!$J$2:$J$2000,"N"))</f>
        <v/>
      </c>
    </row>
    <row r="7" ht="15" customHeight="1" s="22">
      <c r="A7" s="39" t="n">
        <v>46049</v>
      </c>
      <c r="B7" s="26">
        <f>IF(_xlfn.MAXIFS(Sets!$H$2:$H$2000,Sets!$A$2:$A$2000,$A7,Sets!$D$2:$D$2000,B$1,Sets!$J$2:$J$2000,"N")=0,"",_xlfn.MAXIFS(Sets!$H$2:$H$2000,Sets!$A$2:$A$2000,$A7,Sets!$D$2:$D$2000,B$1,Sets!$J$2:$J$2000,"N"))</f>
        <v/>
      </c>
      <c r="C7" s="26">
        <f>IF(_xlfn.MAXIFS(Sets!$H$2:$H$2000,Sets!$A$2:$A$2000,$A7,Sets!$D$2:$D$2000,C$1,Sets!$J$2:$J$2000,"N")=0,"",_xlfn.MAXIFS(Sets!$H$2:$H$2000,Sets!$A$2:$A$2000,$A7,Sets!$D$2:$D$2000,C$1,Sets!$J$2:$J$2000,"N"))</f>
        <v/>
      </c>
      <c r="D7" s="26">
        <f>IF(_xlfn.MAXIFS(Sets!$H$2:$H$2000,Sets!$A$2:$A$2000,$A7,Sets!$D$2:$D$2000,D$1,Sets!$J$2:$J$2000,"N")=0,"",_xlfn.MAXIFS(Sets!$H$2:$H$2000,Sets!$A$2:$A$2000,$A7,Sets!$D$2:$D$2000,D$1,Sets!$J$2:$J$2000,"N"))</f>
        <v/>
      </c>
      <c r="E7" s="26">
        <f>IF(_xlfn.MAXIFS(Sets!$H$2:$H$2000,Sets!$A$2:$A$2000,$A7,Sets!$D$2:$D$2000,E$1,Sets!$J$2:$J$2000,"N")=0,"",_xlfn.MAXIFS(Sets!$H$2:$H$2000,Sets!$A$2:$A$2000,$A7,Sets!$D$2:$D$2000,E$1,Sets!$J$2:$J$2000,"N"))</f>
        <v/>
      </c>
      <c r="F7" s="26">
        <f>IF(_xlfn.MAXIFS(Sets!$H$2:$H$2000,Sets!$A$2:$A$2000,$A7,Sets!$D$2:$D$2000,F$1,Sets!$J$2:$J$2000,"N")=0,"",_xlfn.MAXIFS(Sets!$H$2:$H$2000,Sets!$A$2:$A$2000,$A7,Sets!$D$2:$D$2000,F$1,Sets!$J$2:$J$2000,"N"))</f>
        <v/>
      </c>
      <c r="G7" s="26">
        <f>IF(_xlfn.MAXIFS(Sets!$H$2:$H$2000,Sets!$A$2:$A$2000,$A7,Sets!$D$2:$D$2000,G$1,Sets!$J$2:$J$2000,"N")=0,"",_xlfn.MAXIFS(Sets!$H$2:$H$2000,Sets!$A$2:$A$2000,$A7,Sets!$D$2:$D$2000,G$1,Sets!$J$2:$J$2000,"N"))</f>
        <v/>
      </c>
      <c r="H7" s="26">
        <f>IF(_xlfn.MAXIFS(Sets!$H$2:$H$2000,Sets!$A$2:$A$2000,$A7,Sets!$D$2:$D$2000,H$1,Sets!$J$2:$J$2000,"N")=0,"",_xlfn.MAXIFS(Sets!$H$2:$H$2000,Sets!$A$2:$A$2000,$A7,Sets!$D$2:$D$2000,H$1,Sets!$J$2:$J$2000,"N"))</f>
        <v/>
      </c>
      <c r="I7" s="26">
        <f>IF(_xlfn.MAXIFS(Sets!$H$2:$H$2000,Sets!$A$2:$A$2000,$A7,Sets!$D$2:$D$2000,I$1,Sets!$J$2:$J$2000,"N")=0,"",_xlfn.MAXIFS(Sets!$H$2:$H$2000,Sets!$A$2:$A$2000,$A7,Sets!$D$2:$D$2000,I$1,Sets!$J$2:$J$2000,"N"))</f>
        <v/>
      </c>
      <c r="J7" s="26">
        <f>IF(_xlfn.MAXIFS(Sets!$H$2:$H$2000,Sets!$A$2:$A$2000,$A7,Sets!$D$2:$D$2000,J$1,Sets!$J$2:$J$2000,"N")=0,"",_xlfn.MAXIFS(Sets!$H$2:$H$2000,Sets!$A$2:$A$2000,$A7,Sets!$D$2:$D$2000,J$1,Sets!$J$2:$J$2000,"N"))</f>
        <v/>
      </c>
      <c r="K7" s="26">
        <f>IF(_xlfn.MAXIFS(Sets!$H$2:$H$2000,Sets!$A$2:$A$2000,$A7,Sets!$D$2:$D$2000,K$1,Sets!$J$2:$J$2000,"N")=0,"",_xlfn.MAXIFS(Sets!$H$2:$H$2000,Sets!$A$2:$A$2000,$A7,Sets!$D$2:$D$2000,K$1,Sets!$J$2:$J$2000,"N"))</f>
        <v/>
      </c>
      <c r="L7" s="26">
        <f>IF(_xlfn.MAXIFS(Sets!$H$2:$H$2000,Sets!$A$2:$A$2000,$A7,Sets!$D$2:$D$2000,L$1,Sets!$J$2:$J$2000,"N")=0,"",_xlfn.MAXIFS(Sets!$H$2:$H$2000,Sets!$A$2:$A$2000,$A7,Sets!$D$2:$D$2000,L$1,Sets!$J$2:$J$2000,"N"))</f>
        <v/>
      </c>
      <c r="M7" s="26">
        <f>IF(_xlfn.MAXIFS(Sets!$H$2:$H$2000,Sets!$A$2:$A$2000,$A7,Sets!$D$2:$D$2000,M$1,Sets!$J$2:$J$2000,"N")=0,"",_xlfn.MAXIFS(Sets!$H$2:$H$2000,Sets!$A$2:$A$2000,$A7,Sets!$D$2:$D$2000,M$1,Sets!$J$2:$J$2000,"N"))</f>
        <v/>
      </c>
      <c r="N7" s="26">
        <f>IF(_xlfn.MAXIFS(Sets!$H$2:$H$2000,Sets!$A$2:$A$2000,$A7,Sets!$D$2:$D$2000,N$1,Sets!$J$2:$J$2000,"N")=0,"",_xlfn.MAXIFS(Sets!$H$2:$H$2000,Sets!$A$2:$A$2000,$A7,Sets!$D$2:$D$2000,N$1,Sets!$J$2:$J$2000,"N"))</f>
        <v/>
      </c>
      <c r="O7" s="26">
        <f>IF(_xlfn.MAXIFS(Sets!$H$2:$H$2000,Sets!$A$2:$A$2000,$A7,Sets!$D$2:$D$2000,O$1,Sets!$J$2:$J$2000,"N")=0,"",_xlfn.MAXIFS(Sets!$H$2:$H$2000,Sets!$A$2:$A$2000,$A7,Sets!$D$2:$D$2000,O$1,Sets!$J$2:$J$2000,"N"))</f>
        <v/>
      </c>
      <c r="P7" s="26">
        <f>IF(_xlfn.MAXIFS(Sets!$H$2:$H$2000,Sets!$A$2:$A$2000,$A7,Sets!$D$2:$D$2000,P$1,Sets!$J$2:$J$2000,"N")=0,"",_xlfn.MAXIFS(Sets!$H$2:$H$2000,Sets!$A$2:$A$2000,$A7,Sets!$D$2:$D$2000,P$1,Sets!$J$2:$J$2000,"N"))</f>
        <v/>
      </c>
      <c r="Q7" s="26">
        <f>IF(_xlfn.MAXIFS(Sets!$H$2:$H$2000,Sets!$A$2:$A$2000,$A7,Sets!$D$2:$D$2000,Q$1,Sets!$J$2:$J$2000,"N")=0,"",_xlfn.MAXIFS(Sets!$H$2:$H$2000,Sets!$A$2:$A$2000,$A7,Sets!$D$2:$D$2000,Q$1,Sets!$J$2:$J$2000,"N"))</f>
        <v/>
      </c>
      <c r="R7" s="26">
        <f>IF(_xlfn.MAXIFS(Sets!$H$2:$H$2000,Sets!$A$2:$A$2000,$A7,Sets!$D$2:$D$2000,R$1,Sets!$J$2:$J$2000,"N")=0,"",_xlfn.MAXIFS(Sets!$H$2:$H$2000,Sets!$A$2:$A$2000,$A7,Sets!$D$2:$D$2000,R$1,Sets!$J$2:$J$2000,"N"))</f>
        <v/>
      </c>
      <c r="S7" s="26">
        <f>IF(_xlfn.MAXIFS(Sets!$H$2:$H$2000,Sets!$A$2:$A$2000,$A7,Sets!$D$2:$D$2000,S$1,Sets!$J$2:$J$2000,"N")=0,"",_xlfn.MAXIFS(Sets!$H$2:$H$2000,Sets!$A$2:$A$2000,$A7,Sets!$D$2:$D$2000,S$1,Sets!$J$2:$J$2000,"N"))</f>
        <v/>
      </c>
      <c r="T7" s="26">
        <f>IF(_xlfn.MAXIFS(Sets!$H$2:$H$2000,Sets!$A$2:$A$2000,$A7,Sets!$D$2:$D$2000,T$1,Sets!$J$2:$J$2000,"N")=0,"",_xlfn.MAXIFS(Sets!$H$2:$H$2000,Sets!$A$2:$A$2000,$A7,Sets!$D$2:$D$2000,T$1,Sets!$J$2:$J$2000,"N"))</f>
        <v/>
      </c>
      <c r="U7" s="26">
        <f>IF(_xlfn.MAXIFS(Sets!$H$2:$H$2000,Sets!$A$2:$A$2000,$A7,Sets!$D$2:$D$2000,U$1,Sets!$J$2:$J$2000,"N")=0,"",_xlfn.MAXIFS(Sets!$H$2:$H$2000,Sets!$A$2:$A$2000,$A7,Sets!$D$2:$D$2000,U$1,Sets!$J$2:$J$2000,"N"))</f>
        <v/>
      </c>
      <c r="V7" s="26">
        <f>IF(_xlfn.MAXIFS(Sets!$H$2:$H$2000,Sets!$A$2:$A$2000,$A7,Sets!$D$2:$D$2000,V$1,Sets!$J$2:$J$2000,"N")=0,"",_xlfn.MAXIFS(Sets!$H$2:$H$2000,Sets!$A$2:$A$2000,$A7,Sets!$D$2:$D$2000,V$1,Sets!$J$2:$J$2000,"N"))</f>
        <v/>
      </c>
      <c r="W7" s="26">
        <f>IF(_xlfn.MAXIFS(Sets!$H$2:$H$2000,Sets!$A$2:$A$2000,$A7,Sets!$D$2:$D$2000,W$1,Sets!$J$2:$J$2000,"N")=0,"",_xlfn.MAXIFS(Sets!$H$2:$H$2000,Sets!$A$2:$A$2000,$A7,Sets!$D$2:$D$2000,W$1,Sets!$J$2:$J$2000,"N"))</f>
        <v/>
      </c>
      <c r="X7" s="26">
        <f>IF(_xlfn.MAXIFS(Sets!$H$2:$H$2000,Sets!$A$2:$A$2000,$A7,Sets!$D$2:$D$2000,X$1,Sets!$J$2:$J$2000,"N")=0,"",_xlfn.MAXIFS(Sets!$H$2:$H$2000,Sets!$A$2:$A$2000,$A7,Sets!$D$2:$D$2000,X$1,Sets!$J$2:$J$2000,"N"))</f>
        <v/>
      </c>
      <c r="Y7" s="26">
        <f>IF(_xlfn.MAXIFS(Sets!$H$2:$H$2000,Sets!$A$2:$A$2000,$A7,Sets!$D$2:$D$2000,Y$1,Sets!$J$2:$J$2000,"N")=0,"",_xlfn.MAXIFS(Sets!$H$2:$H$2000,Sets!$A$2:$A$2000,$A7,Sets!$D$2:$D$2000,Y$1,Sets!$J$2:$J$2000,"N"))</f>
        <v/>
      </c>
      <c r="Z7" s="26">
        <f>IF(_xlfn.MAXIFS(Sets!$H$2:$H$2000,Sets!$A$2:$A$2000,$A7,Sets!$D$2:$D$2000,Z$1,Sets!$J$2:$J$2000,"N")=0,"",_xlfn.MAXIFS(Sets!$H$2:$H$2000,Sets!$A$2:$A$2000,$A7,Sets!$D$2:$D$2000,Z$1,Sets!$J$2:$J$2000,"N"))</f>
        <v/>
      </c>
      <c r="AA7" s="26">
        <f>IF(_xlfn.MAXIFS(Sets!$H$2:$H$2000,Sets!$A$2:$A$2000,$A7,Sets!$D$2:$D$2000,AA$1,Sets!$J$2:$J$2000,"N")=0,"",_xlfn.MAXIFS(Sets!$H$2:$H$2000,Sets!$A$2:$A$2000,$A7,Sets!$D$2:$D$2000,AA$1,Sets!$J$2:$J$2000,"N"))</f>
        <v/>
      </c>
      <c r="AB7" s="26">
        <f>IF(_xlfn.MAXIFS(Sets!$H$2:$H$2000,Sets!$A$2:$A$2000,$A7,Sets!$D$2:$D$2000,AB$1,Sets!$J$2:$J$2000,"N")=0,"",_xlfn.MAXIFS(Sets!$H$2:$H$2000,Sets!$A$2:$A$2000,$A7,Sets!$D$2:$D$2000,AB$1,Sets!$J$2:$J$2000,"N"))</f>
        <v/>
      </c>
      <c r="AC7" s="26">
        <f>IF(_xlfn.MAXIFS(Sets!$H$2:$H$2000,Sets!$A$2:$A$2000,$A7,Sets!$D$2:$D$2000,AC$1,Sets!$J$2:$J$2000,"N")=0,"",_xlfn.MAXIFS(Sets!$H$2:$H$2000,Sets!$A$2:$A$2000,$A7,Sets!$D$2:$D$2000,AC$1,Sets!$J$2:$J$2000,"N"))</f>
        <v/>
      </c>
      <c r="AD7" s="26">
        <f>IF(_xlfn.MAXIFS(Sets!$H$2:$H$2000,Sets!$A$2:$A$2000,$A7,Sets!$D$2:$D$2000,AD$1,Sets!$J$2:$J$2000,"N")=0,"",_xlfn.MAXIFS(Sets!$H$2:$H$2000,Sets!$A$2:$A$2000,$A7,Sets!$D$2:$D$2000,AD$1,Sets!$J$2:$J$2000,"N"))</f>
        <v/>
      </c>
      <c r="AE7" s="26">
        <f>IF(_xlfn.MAXIFS(Sets!$H$2:$H$2000,Sets!$A$2:$A$2000,$A7,Sets!$D$2:$D$2000,AE$1,Sets!$J$2:$J$2000,"N")=0,"",_xlfn.MAXIFS(Sets!$H$2:$H$2000,Sets!$A$2:$A$2000,$A7,Sets!$D$2:$D$2000,AE$1,Sets!$J$2:$J$2000,"N"))</f>
        <v/>
      </c>
      <c r="AF7" s="26">
        <f>IF(_xlfn.MAXIFS(Sets!$H$2:$H$2000,Sets!$A$2:$A$2000,$A7,Sets!$D$2:$D$2000,AF$1,Sets!$J$2:$J$2000,"N")=0,"",_xlfn.MAXIFS(Sets!$H$2:$H$2000,Sets!$A$2:$A$2000,$A7,Sets!$D$2:$D$2000,AF$1,Sets!$J$2:$J$2000,"N"))</f>
        <v/>
      </c>
      <c r="AG7" s="26">
        <f>IF(_xlfn.MAXIFS(Sets!$H$2:$H$2000,Sets!$A$2:$A$2000,$A7,Sets!$D$2:$D$2000,AG$1,Sets!$J$2:$J$2000,"N")=0,"",_xlfn.MAXIFS(Sets!$H$2:$H$2000,Sets!$A$2:$A$2000,$A7,Sets!$D$2:$D$2000,AG$1,Sets!$J$2:$J$2000,"N"))</f>
        <v/>
      </c>
      <c r="AH7" s="26">
        <f>IF(_xlfn.MAXIFS(Sets!$H$2:$H$2000,Sets!$A$2:$A$2000,$A7,Sets!$D$2:$D$2000,AH$1,Sets!$J$2:$J$2000,"N")=0,"",_xlfn.MAXIFS(Sets!$H$2:$H$2000,Sets!$A$2:$A$2000,$A7,Sets!$D$2:$D$2000,AH$1,Sets!$J$2:$J$2000,"N"))</f>
        <v/>
      </c>
      <c r="AI7">
        <f>IF(_xlfn.MAXIFS(Sets!$H$2:$H$2000,Sets!$A$2:$A$2000,$A7,Sets!$D$2:$D$2000,AI$1,Sets!$J$2:$J$2000,"N")=0,"",_xlfn.MAXIFS(Sets!$H$2:$H$2000,Sets!$A$2:$A$2000,$A7,Sets!$D$2:$D$2000,AI$1,Sets!$J$2:$J$2000,"N"))</f>
        <v/>
      </c>
      <c r="AJ7">
        <f>IF(_xlfn.MAXIFS(Sets!$H$2:$H$2000,Sets!$A$2:$A$2000,$A7,Sets!$D$2:$D$2000,AJ$1,Sets!$J$2:$J$2000,"N")=0,"",_xlfn.MAXIFS(Sets!$H$2:$H$2000,Sets!$A$2:$A$2000,$A7,Sets!$D$2:$D$2000,AJ$1,Sets!$J$2:$J$2000,"N"))</f>
        <v/>
      </c>
      <c r="AK7">
        <f>IF(_xlfn.MAXIFS(Sets!$H$2:$H$2000,Sets!$A$2:$A$2000,$A7,Sets!$D$2:$D$2000,AK$1,Sets!$J$2:$J$2000,"N")=0,"",_xlfn.MAXIFS(Sets!$H$2:$H$2000,Sets!$A$2:$A$2000,$A7,Sets!$D$2:$D$2000,AK$1,Sets!$J$2:$J$2000,"N"))</f>
        <v/>
      </c>
      <c r="AL7">
        <f>IF(_xlfn.MAXIFS(Sets!$H$2:$H$2000,Sets!$A$2:$A$2000,$A7,Sets!$D$2:$D$2000,AL$1,Sets!$J$2:$J$2000,"N")=0,"",_xlfn.MAXIFS(Sets!$H$2:$H$2000,Sets!$A$2:$A$2000,$A7,Sets!$D$2:$D$2000,AL$1,Sets!$J$2:$J$2000,"N"))</f>
        <v/>
      </c>
      <c r="AM7">
        <f>IF(_xlfn.MAXIFS(Sets!$H$2:$H$2000,Sets!$A$2:$A$2000,$A7,Sets!$D$2:$D$2000,AM$1,Sets!$J$2:$J$2000,"N")=0,"",_xlfn.MAXIFS(Sets!$H$2:$H$2000,Sets!$A$2:$A$2000,$A7,Sets!$D$2:$D$2000,AM$1,Sets!$J$2:$J$2000,"N"))</f>
        <v/>
      </c>
      <c r="AN7">
        <f>IF(_xlfn.MAXIFS(Sets!$H$2:$H$2000,Sets!$A$2:$A$2000,$A7,Sets!$D$2:$D$2000,AN$1,Sets!$J$2:$J$2000,"N")=0,"",_xlfn.MAXIFS(Sets!$H$2:$H$2000,Sets!$A$2:$A$2000,$A7,Sets!$D$2:$D$2000,AN$1,Sets!$J$2:$J$2000,"N"))</f>
        <v/>
      </c>
      <c r="AO7">
        <f>IF(_xlfn.MAXIFS(Sets!$H$2:$H$2000,Sets!$A$2:$A$2000,$A7,Sets!$D$2:$D$2000,AO$1,Sets!$J$2:$J$2000,"N")=0,"",_xlfn.MAXIFS(Sets!$H$2:$H$2000,Sets!$A$2:$A$2000,$A7,Sets!$D$2:$D$2000,AO$1,Sets!$J$2:$J$2000,"N"))</f>
        <v/>
      </c>
      <c r="AP7">
        <f>IF(_xlfn.MAXIFS(Sets!$H$2:$H$2000,Sets!$A$2:$A$2000,$A7,Sets!$D$2:$D$2000,AP$1,Sets!$J$2:$J$2000,"N")=0,"",_xlfn.MAXIFS(Sets!$H$2:$H$2000,Sets!$A$2:$A$2000,$A7,Sets!$D$2:$D$2000,AP$1,Sets!$J$2:$J$2000,"N"))</f>
        <v/>
      </c>
    </row>
    <row r="8" ht="15" customHeight="1" s="22">
      <c r="A8" s="39" t="n">
        <v>46051</v>
      </c>
      <c r="B8" s="26">
        <f>IF(_xlfn.MAXIFS(Sets!$H$2:$H$2000,Sets!$A$2:$A$2000,$A8,Sets!$D$2:$D$2000,B$1,Sets!$J$2:$J$2000,"N")=0,"",_xlfn.MAXIFS(Sets!$H$2:$H$2000,Sets!$A$2:$A$2000,$A8,Sets!$D$2:$D$2000,B$1,Sets!$J$2:$J$2000,"N"))</f>
        <v/>
      </c>
      <c r="C8" s="26">
        <f>IF(_xlfn.MAXIFS(Sets!$H$2:$H$2000,Sets!$A$2:$A$2000,$A8,Sets!$D$2:$D$2000,C$1,Sets!$J$2:$J$2000,"N")=0,"",_xlfn.MAXIFS(Sets!$H$2:$H$2000,Sets!$A$2:$A$2000,$A8,Sets!$D$2:$D$2000,C$1,Sets!$J$2:$J$2000,"N"))</f>
        <v/>
      </c>
      <c r="D8" s="26">
        <f>IF(_xlfn.MAXIFS(Sets!$H$2:$H$2000,Sets!$A$2:$A$2000,$A8,Sets!$D$2:$D$2000,D$1,Sets!$J$2:$J$2000,"N")=0,"",_xlfn.MAXIFS(Sets!$H$2:$H$2000,Sets!$A$2:$A$2000,$A8,Sets!$D$2:$D$2000,D$1,Sets!$J$2:$J$2000,"N"))</f>
        <v/>
      </c>
      <c r="E8" s="26">
        <f>IF(_xlfn.MAXIFS(Sets!$H$2:$H$2000,Sets!$A$2:$A$2000,$A8,Sets!$D$2:$D$2000,E$1,Sets!$J$2:$J$2000,"N")=0,"",_xlfn.MAXIFS(Sets!$H$2:$H$2000,Sets!$A$2:$A$2000,$A8,Sets!$D$2:$D$2000,E$1,Sets!$J$2:$J$2000,"N"))</f>
        <v/>
      </c>
      <c r="F8" s="26">
        <f>IF(_xlfn.MAXIFS(Sets!$H$2:$H$2000,Sets!$A$2:$A$2000,$A8,Sets!$D$2:$D$2000,F$1,Sets!$J$2:$J$2000,"N")=0,"",_xlfn.MAXIFS(Sets!$H$2:$H$2000,Sets!$A$2:$A$2000,$A8,Sets!$D$2:$D$2000,F$1,Sets!$J$2:$J$2000,"N"))</f>
        <v/>
      </c>
      <c r="G8" s="26">
        <f>IF(_xlfn.MAXIFS(Sets!$H$2:$H$2000,Sets!$A$2:$A$2000,$A8,Sets!$D$2:$D$2000,G$1,Sets!$J$2:$J$2000,"N")=0,"",_xlfn.MAXIFS(Sets!$H$2:$H$2000,Sets!$A$2:$A$2000,$A8,Sets!$D$2:$D$2000,G$1,Sets!$J$2:$J$2000,"N"))</f>
        <v/>
      </c>
      <c r="H8" s="26">
        <f>IF(_xlfn.MAXIFS(Sets!$H$2:$H$2000,Sets!$A$2:$A$2000,$A8,Sets!$D$2:$D$2000,H$1,Sets!$J$2:$J$2000,"N")=0,"",_xlfn.MAXIFS(Sets!$H$2:$H$2000,Sets!$A$2:$A$2000,$A8,Sets!$D$2:$D$2000,H$1,Sets!$J$2:$J$2000,"N"))</f>
        <v/>
      </c>
      <c r="I8" s="26">
        <f>IF(_xlfn.MAXIFS(Sets!$H$2:$H$2000,Sets!$A$2:$A$2000,$A8,Sets!$D$2:$D$2000,I$1,Sets!$J$2:$J$2000,"N")=0,"",_xlfn.MAXIFS(Sets!$H$2:$H$2000,Sets!$A$2:$A$2000,$A8,Sets!$D$2:$D$2000,I$1,Sets!$J$2:$J$2000,"N"))</f>
        <v/>
      </c>
      <c r="J8" s="26">
        <f>IF(_xlfn.MAXIFS(Sets!$H$2:$H$2000,Sets!$A$2:$A$2000,$A8,Sets!$D$2:$D$2000,J$1,Sets!$J$2:$J$2000,"N")=0,"",_xlfn.MAXIFS(Sets!$H$2:$H$2000,Sets!$A$2:$A$2000,$A8,Sets!$D$2:$D$2000,J$1,Sets!$J$2:$J$2000,"N"))</f>
        <v/>
      </c>
      <c r="K8" s="26">
        <f>IF(_xlfn.MAXIFS(Sets!$H$2:$H$2000,Sets!$A$2:$A$2000,$A8,Sets!$D$2:$D$2000,K$1,Sets!$J$2:$J$2000,"N")=0,"",_xlfn.MAXIFS(Sets!$H$2:$H$2000,Sets!$A$2:$A$2000,$A8,Sets!$D$2:$D$2000,K$1,Sets!$J$2:$J$2000,"N"))</f>
        <v/>
      </c>
      <c r="L8" s="26">
        <f>IF(_xlfn.MAXIFS(Sets!$H$2:$H$2000,Sets!$A$2:$A$2000,$A8,Sets!$D$2:$D$2000,L$1,Sets!$J$2:$J$2000,"N")=0,"",_xlfn.MAXIFS(Sets!$H$2:$H$2000,Sets!$A$2:$A$2000,$A8,Sets!$D$2:$D$2000,L$1,Sets!$J$2:$J$2000,"N"))</f>
        <v/>
      </c>
      <c r="M8" s="26">
        <f>IF(_xlfn.MAXIFS(Sets!$H$2:$H$2000,Sets!$A$2:$A$2000,$A8,Sets!$D$2:$D$2000,M$1,Sets!$J$2:$J$2000,"N")=0,"",_xlfn.MAXIFS(Sets!$H$2:$H$2000,Sets!$A$2:$A$2000,$A8,Sets!$D$2:$D$2000,M$1,Sets!$J$2:$J$2000,"N"))</f>
        <v/>
      </c>
      <c r="N8" s="26">
        <f>IF(_xlfn.MAXIFS(Sets!$H$2:$H$2000,Sets!$A$2:$A$2000,$A8,Sets!$D$2:$D$2000,N$1,Sets!$J$2:$J$2000,"N")=0,"",_xlfn.MAXIFS(Sets!$H$2:$H$2000,Sets!$A$2:$A$2000,$A8,Sets!$D$2:$D$2000,N$1,Sets!$J$2:$J$2000,"N"))</f>
        <v/>
      </c>
      <c r="O8" s="26">
        <f>IF(_xlfn.MAXIFS(Sets!$H$2:$H$2000,Sets!$A$2:$A$2000,$A8,Sets!$D$2:$D$2000,O$1,Sets!$J$2:$J$2000,"N")=0,"",_xlfn.MAXIFS(Sets!$H$2:$H$2000,Sets!$A$2:$A$2000,$A8,Sets!$D$2:$D$2000,O$1,Sets!$J$2:$J$2000,"N"))</f>
        <v/>
      </c>
      <c r="P8" s="26">
        <f>IF(_xlfn.MAXIFS(Sets!$H$2:$H$2000,Sets!$A$2:$A$2000,$A8,Sets!$D$2:$D$2000,P$1,Sets!$J$2:$J$2000,"N")=0,"",_xlfn.MAXIFS(Sets!$H$2:$H$2000,Sets!$A$2:$A$2000,$A8,Sets!$D$2:$D$2000,P$1,Sets!$J$2:$J$2000,"N"))</f>
        <v/>
      </c>
      <c r="Q8" s="26">
        <f>IF(_xlfn.MAXIFS(Sets!$H$2:$H$2000,Sets!$A$2:$A$2000,$A8,Sets!$D$2:$D$2000,Q$1,Sets!$J$2:$J$2000,"N")=0,"",_xlfn.MAXIFS(Sets!$H$2:$H$2000,Sets!$A$2:$A$2000,$A8,Sets!$D$2:$D$2000,Q$1,Sets!$J$2:$J$2000,"N"))</f>
        <v/>
      </c>
      <c r="R8" s="26">
        <f>IF(_xlfn.MAXIFS(Sets!$H$2:$H$2000,Sets!$A$2:$A$2000,$A8,Sets!$D$2:$D$2000,R$1,Sets!$J$2:$J$2000,"N")=0,"",_xlfn.MAXIFS(Sets!$H$2:$H$2000,Sets!$A$2:$A$2000,$A8,Sets!$D$2:$D$2000,R$1,Sets!$J$2:$J$2000,"N"))</f>
        <v/>
      </c>
      <c r="S8" s="26">
        <f>IF(_xlfn.MAXIFS(Sets!$H$2:$H$2000,Sets!$A$2:$A$2000,$A8,Sets!$D$2:$D$2000,S$1,Sets!$J$2:$J$2000,"N")=0,"",_xlfn.MAXIFS(Sets!$H$2:$H$2000,Sets!$A$2:$A$2000,$A8,Sets!$D$2:$D$2000,S$1,Sets!$J$2:$J$2000,"N"))</f>
        <v/>
      </c>
      <c r="T8" s="26">
        <f>IF(_xlfn.MAXIFS(Sets!$H$2:$H$2000,Sets!$A$2:$A$2000,$A8,Sets!$D$2:$D$2000,T$1,Sets!$J$2:$J$2000,"N")=0,"",_xlfn.MAXIFS(Sets!$H$2:$H$2000,Sets!$A$2:$A$2000,$A8,Sets!$D$2:$D$2000,T$1,Sets!$J$2:$J$2000,"N"))</f>
        <v/>
      </c>
      <c r="U8" s="26">
        <f>IF(_xlfn.MAXIFS(Sets!$H$2:$H$2000,Sets!$A$2:$A$2000,$A8,Sets!$D$2:$D$2000,U$1,Sets!$J$2:$J$2000,"N")=0,"",_xlfn.MAXIFS(Sets!$H$2:$H$2000,Sets!$A$2:$A$2000,$A8,Sets!$D$2:$D$2000,U$1,Sets!$J$2:$J$2000,"N"))</f>
        <v/>
      </c>
      <c r="V8" s="26">
        <f>IF(_xlfn.MAXIFS(Sets!$H$2:$H$2000,Sets!$A$2:$A$2000,$A8,Sets!$D$2:$D$2000,V$1,Sets!$J$2:$J$2000,"N")=0,"",_xlfn.MAXIFS(Sets!$H$2:$H$2000,Sets!$A$2:$A$2000,$A8,Sets!$D$2:$D$2000,V$1,Sets!$J$2:$J$2000,"N"))</f>
        <v/>
      </c>
      <c r="W8" s="26">
        <f>IF(_xlfn.MAXIFS(Sets!$H$2:$H$2000,Sets!$A$2:$A$2000,$A8,Sets!$D$2:$D$2000,W$1,Sets!$J$2:$J$2000,"N")=0,"",_xlfn.MAXIFS(Sets!$H$2:$H$2000,Sets!$A$2:$A$2000,$A8,Sets!$D$2:$D$2000,W$1,Sets!$J$2:$J$2000,"N"))</f>
        <v/>
      </c>
      <c r="X8" s="26">
        <f>IF(_xlfn.MAXIFS(Sets!$H$2:$H$2000,Sets!$A$2:$A$2000,$A8,Sets!$D$2:$D$2000,X$1,Sets!$J$2:$J$2000,"N")=0,"",_xlfn.MAXIFS(Sets!$H$2:$H$2000,Sets!$A$2:$A$2000,$A8,Sets!$D$2:$D$2000,X$1,Sets!$J$2:$J$2000,"N"))</f>
        <v/>
      </c>
      <c r="Y8" s="26">
        <f>IF(_xlfn.MAXIFS(Sets!$H$2:$H$2000,Sets!$A$2:$A$2000,$A8,Sets!$D$2:$D$2000,Y$1,Sets!$J$2:$J$2000,"N")=0,"",_xlfn.MAXIFS(Sets!$H$2:$H$2000,Sets!$A$2:$A$2000,$A8,Sets!$D$2:$D$2000,Y$1,Sets!$J$2:$J$2000,"N"))</f>
        <v/>
      </c>
      <c r="Z8" s="26">
        <f>IF(_xlfn.MAXIFS(Sets!$H$2:$H$2000,Sets!$A$2:$A$2000,$A8,Sets!$D$2:$D$2000,Z$1,Sets!$J$2:$J$2000,"N")=0,"",_xlfn.MAXIFS(Sets!$H$2:$H$2000,Sets!$A$2:$A$2000,$A8,Sets!$D$2:$D$2000,Z$1,Sets!$J$2:$J$2000,"N"))</f>
        <v/>
      </c>
      <c r="AA8" s="26">
        <f>IF(_xlfn.MAXIFS(Sets!$H$2:$H$2000,Sets!$A$2:$A$2000,$A8,Sets!$D$2:$D$2000,AA$1,Sets!$J$2:$J$2000,"N")=0,"",_xlfn.MAXIFS(Sets!$H$2:$H$2000,Sets!$A$2:$A$2000,$A8,Sets!$D$2:$D$2000,AA$1,Sets!$J$2:$J$2000,"N"))</f>
        <v/>
      </c>
      <c r="AB8" s="26">
        <f>IF(_xlfn.MAXIFS(Sets!$H$2:$H$2000,Sets!$A$2:$A$2000,$A8,Sets!$D$2:$D$2000,AB$1,Sets!$J$2:$J$2000,"N")=0,"",_xlfn.MAXIFS(Sets!$H$2:$H$2000,Sets!$A$2:$A$2000,$A8,Sets!$D$2:$D$2000,AB$1,Sets!$J$2:$J$2000,"N"))</f>
        <v/>
      </c>
      <c r="AC8" s="26">
        <f>IF(_xlfn.MAXIFS(Sets!$H$2:$H$2000,Sets!$A$2:$A$2000,$A8,Sets!$D$2:$D$2000,AC$1,Sets!$J$2:$J$2000,"N")=0,"",_xlfn.MAXIFS(Sets!$H$2:$H$2000,Sets!$A$2:$A$2000,$A8,Sets!$D$2:$D$2000,AC$1,Sets!$J$2:$J$2000,"N"))</f>
        <v/>
      </c>
      <c r="AD8" s="26">
        <f>IF(_xlfn.MAXIFS(Sets!$H$2:$H$2000,Sets!$A$2:$A$2000,$A8,Sets!$D$2:$D$2000,AD$1,Sets!$J$2:$J$2000,"N")=0,"",_xlfn.MAXIFS(Sets!$H$2:$H$2000,Sets!$A$2:$A$2000,$A8,Sets!$D$2:$D$2000,AD$1,Sets!$J$2:$J$2000,"N"))</f>
        <v/>
      </c>
      <c r="AE8" s="26">
        <f>IF(_xlfn.MAXIFS(Sets!$H$2:$H$2000,Sets!$A$2:$A$2000,$A8,Sets!$D$2:$D$2000,AE$1,Sets!$J$2:$J$2000,"N")=0,"",_xlfn.MAXIFS(Sets!$H$2:$H$2000,Sets!$A$2:$A$2000,$A8,Sets!$D$2:$D$2000,AE$1,Sets!$J$2:$J$2000,"N"))</f>
        <v/>
      </c>
      <c r="AF8" s="26">
        <f>IF(_xlfn.MAXIFS(Sets!$H$2:$H$2000,Sets!$A$2:$A$2000,$A8,Sets!$D$2:$D$2000,AF$1,Sets!$J$2:$J$2000,"N")=0,"",_xlfn.MAXIFS(Sets!$H$2:$H$2000,Sets!$A$2:$A$2000,$A8,Sets!$D$2:$D$2000,AF$1,Sets!$J$2:$J$2000,"N"))</f>
        <v/>
      </c>
      <c r="AG8" s="26">
        <f>IF(_xlfn.MAXIFS(Sets!$H$2:$H$2000,Sets!$A$2:$A$2000,$A8,Sets!$D$2:$D$2000,AG$1,Sets!$J$2:$J$2000,"N")=0,"",_xlfn.MAXIFS(Sets!$H$2:$H$2000,Sets!$A$2:$A$2000,$A8,Sets!$D$2:$D$2000,AG$1,Sets!$J$2:$J$2000,"N"))</f>
        <v/>
      </c>
      <c r="AH8" s="26">
        <f>IF(_xlfn.MAXIFS(Sets!$H$2:$H$2000,Sets!$A$2:$A$2000,$A8,Sets!$D$2:$D$2000,AH$1,Sets!$J$2:$J$2000,"N")=0,"",_xlfn.MAXIFS(Sets!$H$2:$H$2000,Sets!$A$2:$A$2000,$A8,Sets!$D$2:$D$2000,AH$1,Sets!$J$2:$J$2000,"N"))</f>
        <v/>
      </c>
      <c r="AI8">
        <f>IF(_xlfn.MAXIFS(Sets!$H$2:$H$2000,Sets!$A$2:$A$2000,$A8,Sets!$D$2:$D$2000,AI$1,Sets!$J$2:$J$2000,"N")=0,"",_xlfn.MAXIFS(Sets!$H$2:$H$2000,Sets!$A$2:$A$2000,$A8,Sets!$D$2:$D$2000,AI$1,Sets!$J$2:$J$2000,"N"))</f>
        <v/>
      </c>
      <c r="AJ8">
        <f>IF(_xlfn.MAXIFS(Sets!$H$2:$H$2000,Sets!$A$2:$A$2000,$A8,Sets!$D$2:$D$2000,AJ$1,Sets!$J$2:$J$2000,"N")=0,"",_xlfn.MAXIFS(Sets!$H$2:$H$2000,Sets!$A$2:$A$2000,$A8,Sets!$D$2:$D$2000,AJ$1,Sets!$J$2:$J$2000,"N"))</f>
        <v/>
      </c>
      <c r="AK8">
        <f>IF(_xlfn.MAXIFS(Sets!$H$2:$H$2000,Sets!$A$2:$A$2000,$A8,Sets!$D$2:$D$2000,AK$1,Sets!$J$2:$J$2000,"N")=0,"",_xlfn.MAXIFS(Sets!$H$2:$H$2000,Sets!$A$2:$A$2000,$A8,Sets!$D$2:$D$2000,AK$1,Sets!$J$2:$J$2000,"N"))</f>
        <v/>
      </c>
      <c r="AL8">
        <f>IF(_xlfn.MAXIFS(Sets!$H$2:$H$2000,Sets!$A$2:$A$2000,$A8,Sets!$D$2:$D$2000,AL$1,Sets!$J$2:$J$2000,"N")=0,"",_xlfn.MAXIFS(Sets!$H$2:$H$2000,Sets!$A$2:$A$2000,$A8,Sets!$D$2:$D$2000,AL$1,Sets!$J$2:$J$2000,"N"))</f>
        <v/>
      </c>
      <c r="AM8">
        <f>IF(_xlfn.MAXIFS(Sets!$H$2:$H$2000,Sets!$A$2:$A$2000,$A8,Sets!$D$2:$D$2000,AM$1,Sets!$J$2:$J$2000,"N")=0,"",_xlfn.MAXIFS(Sets!$H$2:$H$2000,Sets!$A$2:$A$2000,$A8,Sets!$D$2:$D$2000,AM$1,Sets!$J$2:$J$2000,"N"))</f>
        <v/>
      </c>
      <c r="AN8">
        <f>IF(_xlfn.MAXIFS(Sets!$H$2:$H$2000,Sets!$A$2:$A$2000,$A8,Sets!$D$2:$D$2000,AN$1,Sets!$J$2:$J$2000,"N")=0,"",_xlfn.MAXIFS(Sets!$H$2:$H$2000,Sets!$A$2:$A$2000,$A8,Sets!$D$2:$D$2000,AN$1,Sets!$J$2:$J$2000,"N"))</f>
        <v/>
      </c>
      <c r="AO8">
        <f>IF(_xlfn.MAXIFS(Sets!$H$2:$H$2000,Sets!$A$2:$A$2000,$A8,Sets!$D$2:$D$2000,AO$1,Sets!$J$2:$J$2000,"N")=0,"",_xlfn.MAXIFS(Sets!$H$2:$H$2000,Sets!$A$2:$A$2000,$A8,Sets!$D$2:$D$2000,AO$1,Sets!$J$2:$J$2000,"N"))</f>
        <v/>
      </c>
      <c r="AP8">
        <f>IF(_xlfn.MAXIFS(Sets!$H$2:$H$2000,Sets!$A$2:$A$2000,$A8,Sets!$D$2:$D$2000,AP$1,Sets!$J$2:$J$2000,"N")=0,"",_xlfn.MAXIFS(Sets!$H$2:$H$2000,Sets!$A$2:$A$2000,$A8,Sets!$D$2:$D$2000,AP$1,Sets!$J$2:$J$2000,"N"))</f>
        <v/>
      </c>
    </row>
    <row r="9" ht="15" customHeight="1" s="22">
      <c r="A9" s="39" t="n">
        <v>46060</v>
      </c>
      <c r="B9" s="26">
        <f>IF(_xlfn.MAXIFS(Sets!$H$2:$H$2000,Sets!$A$2:$A$2000,$A9,Sets!$D$2:$D$2000,B$1,Sets!$J$2:$J$2000,"N")=0,"",_xlfn.MAXIFS(Sets!$H$2:$H$2000,Sets!$A$2:$A$2000,$A9,Sets!$D$2:$D$2000,B$1,Sets!$J$2:$J$2000,"N"))</f>
        <v/>
      </c>
      <c r="C9" s="26">
        <f>IF(_xlfn.MAXIFS(Sets!$H$2:$H$2000,Sets!$A$2:$A$2000,$A9,Sets!$D$2:$D$2000,C$1,Sets!$J$2:$J$2000,"N")=0,"",_xlfn.MAXIFS(Sets!$H$2:$H$2000,Sets!$A$2:$A$2000,$A9,Sets!$D$2:$D$2000,C$1,Sets!$J$2:$J$2000,"N"))</f>
        <v/>
      </c>
      <c r="D9" s="26">
        <f>IF(_xlfn.MAXIFS(Sets!$H$2:$H$2000,Sets!$A$2:$A$2000,$A9,Sets!$D$2:$D$2000,D$1,Sets!$J$2:$J$2000,"N")=0,"",_xlfn.MAXIFS(Sets!$H$2:$H$2000,Sets!$A$2:$A$2000,$A9,Sets!$D$2:$D$2000,D$1,Sets!$J$2:$J$2000,"N"))</f>
        <v/>
      </c>
      <c r="E9" s="26">
        <f>IF(_xlfn.MAXIFS(Sets!$H$2:$H$2000,Sets!$A$2:$A$2000,$A9,Sets!$D$2:$D$2000,E$1,Sets!$J$2:$J$2000,"N")=0,"",_xlfn.MAXIFS(Sets!$H$2:$H$2000,Sets!$A$2:$A$2000,$A9,Sets!$D$2:$D$2000,E$1,Sets!$J$2:$J$2000,"N"))</f>
        <v/>
      </c>
      <c r="F9" s="26">
        <f>IF(_xlfn.MAXIFS(Sets!$H$2:$H$2000,Sets!$A$2:$A$2000,$A9,Sets!$D$2:$D$2000,F$1,Sets!$J$2:$J$2000,"N")=0,"",_xlfn.MAXIFS(Sets!$H$2:$H$2000,Sets!$A$2:$A$2000,$A9,Sets!$D$2:$D$2000,F$1,Sets!$J$2:$J$2000,"N"))</f>
        <v/>
      </c>
      <c r="G9" s="26">
        <f>IF(_xlfn.MAXIFS(Sets!$H$2:$H$2000,Sets!$A$2:$A$2000,$A9,Sets!$D$2:$D$2000,G$1,Sets!$J$2:$J$2000,"N")=0,"",_xlfn.MAXIFS(Sets!$H$2:$H$2000,Sets!$A$2:$A$2000,$A9,Sets!$D$2:$D$2000,G$1,Sets!$J$2:$J$2000,"N"))</f>
        <v/>
      </c>
      <c r="H9" s="26">
        <f>IF(_xlfn.MAXIFS(Sets!$H$2:$H$2000,Sets!$A$2:$A$2000,$A9,Sets!$D$2:$D$2000,H$1,Sets!$J$2:$J$2000,"N")=0,"",_xlfn.MAXIFS(Sets!$H$2:$H$2000,Sets!$A$2:$A$2000,$A9,Sets!$D$2:$D$2000,H$1,Sets!$J$2:$J$2000,"N"))</f>
        <v/>
      </c>
      <c r="I9" s="26">
        <f>IF(_xlfn.MAXIFS(Sets!$H$2:$H$2000,Sets!$A$2:$A$2000,$A9,Sets!$D$2:$D$2000,I$1,Sets!$J$2:$J$2000,"N")=0,"",_xlfn.MAXIFS(Sets!$H$2:$H$2000,Sets!$A$2:$A$2000,$A9,Sets!$D$2:$D$2000,I$1,Sets!$J$2:$J$2000,"N"))</f>
        <v/>
      </c>
      <c r="J9" s="26">
        <f>IF(_xlfn.MAXIFS(Sets!$H$2:$H$2000,Sets!$A$2:$A$2000,$A9,Sets!$D$2:$D$2000,J$1,Sets!$J$2:$J$2000,"N")=0,"",_xlfn.MAXIFS(Sets!$H$2:$H$2000,Sets!$A$2:$A$2000,$A9,Sets!$D$2:$D$2000,J$1,Sets!$J$2:$J$2000,"N"))</f>
        <v/>
      </c>
      <c r="K9" s="26">
        <f>IF(_xlfn.MAXIFS(Sets!$H$2:$H$2000,Sets!$A$2:$A$2000,$A9,Sets!$D$2:$D$2000,K$1,Sets!$J$2:$J$2000,"N")=0,"",_xlfn.MAXIFS(Sets!$H$2:$H$2000,Sets!$A$2:$A$2000,$A9,Sets!$D$2:$D$2000,K$1,Sets!$J$2:$J$2000,"N"))</f>
        <v/>
      </c>
      <c r="L9" s="26">
        <f>IF(_xlfn.MAXIFS(Sets!$H$2:$H$2000,Sets!$A$2:$A$2000,$A9,Sets!$D$2:$D$2000,L$1,Sets!$J$2:$J$2000,"N")=0,"",_xlfn.MAXIFS(Sets!$H$2:$H$2000,Sets!$A$2:$A$2000,$A9,Sets!$D$2:$D$2000,L$1,Sets!$J$2:$J$2000,"N"))</f>
        <v/>
      </c>
      <c r="M9" s="26">
        <f>IF(_xlfn.MAXIFS(Sets!$H$2:$H$2000,Sets!$A$2:$A$2000,$A9,Sets!$D$2:$D$2000,M$1,Sets!$J$2:$J$2000,"N")=0,"",_xlfn.MAXIFS(Sets!$H$2:$H$2000,Sets!$A$2:$A$2000,$A9,Sets!$D$2:$D$2000,M$1,Sets!$J$2:$J$2000,"N"))</f>
        <v/>
      </c>
      <c r="N9" s="26">
        <f>IF(_xlfn.MAXIFS(Sets!$H$2:$H$2000,Sets!$A$2:$A$2000,$A9,Sets!$D$2:$D$2000,N$1,Sets!$J$2:$J$2000,"N")=0,"",_xlfn.MAXIFS(Sets!$H$2:$H$2000,Sets!$A$2:$A$2000,$A9,Sets!$D$2:$D$2000,N$1,Sets!$J$2:$J$2000,"N"))</f>
        <v/>
      </c>
      <c r="O9" s="26">
        <f>IF(_xlfn.MAXIFS(Sets!$H$2:$H$2000,Sets!$A$2:$A$2000,$A9,Sets!$D$2:$D$2000,O$1,Sets!$J$2:$J$2000,"N")=0,"",_xlfn.MAXIFS(Sets!$H$2:$H$2000,Sets!$A$2:$A$2000,$A9,Sets!$D$2:$D$2000,O$1,Sets!$J$2:$J$2000,"N"))</f>
        <v/>
      </c>
      <c r="P9" s="26">
        <f>IF(_xlfn.MAXIFS(Sets!$H$2:$H$2000,Sets!$A$2:$A$2000,$A9,Sets!$D$2:$D$2000,P$1,Sets!$J$2:$J$2000,"N")=0,"",_xlfn.MAXIFS(Sets!$H$2:$H$2000,Sets!$A$2:$A$2000,$A9,Sets!$D$2:$D$2000,P$1,Sets!$J$2:$J$2000,"N"))</f>
        <v/>
      </c>
      <c r="Q9" s="26">
        <f>IF(_xlfn.MAXIFS(Sets!$H$2:$H$2000,Sets!$A$2:$A$2000,$A9,Sets!$D$2:$D$2000,Q$1,Sets!$J$2:$J$2000,"N")=0,"",_xlfn.MAXIFS(Sets!$H$2:$H$2000,Sets!$A$2:$A$2000,$A9,Sets!$D$2:$D$2000,Q$1,Sets!$J$2:$J$2000,"N"))</f>
        <v/>
      </c>
      <c r="R9" s="26">
        <f>IF(_xlfn.MAXIFS(Sets!$H$2:$H$2000,Sets!$A$2:$A$2000,$A9,Sets!$D$2:$D$2000,R$1,Sets!$J$2:$J$2000,"N")=0,"",_xlfn.MAXIFS(Sets!$H$2:$H$2000,Sets!$A$2:$A$2000,$A9,Sets!$D$2:$D$2000,R$1,Sets!$J$2:$J$2000,"N"))</f>
        <v/>
      </c>
      <c r="S9" s="26">
        <f>IF(_xlfn.MAXIFS(Sets!$H$2:$H$2000,Sets!$A$2:$A$2000,$A9,Sets!$D$2:$D$2000,S$1,Sets!$J$2:$J$2000,"N")=0,"",_xlfn.MAXIFS(Sets!$H$2:$H$2000,Sets!$A$2:$A$2000,$A9,Sets!$D$2:$D$2000,S$1,Sets!$J$2:$J$2000,"N"))</f>
        <v/>
      </c>
      <c r="T9" s="26">
        <f>IF(_xlfn.MAXIFS(Sets!$H$2:$H$2000,Sets!$A$2:$A$2000,$A9,Sets!$D$2:$D$2000,T$1,Sets!$J$2:$J$2000,"N")=0,"",_xlfn.MAXIFS(Sets!$H$2:$H$2000,Sets!$A$2:$A$2000,$A9,Sets!$D$2:$D$2000,T$1,Sets!$J$2:$J$2000,"N"))</f>
        <v/>
      </c>
      <c r="U9" s="26">
        <f>IF(_xlfn.MAXIFS(Sets!$H$2:$H$2000,Sets!$A$2:$A$2000,$A9,Sets!$D$2:$D$2000,U$1,Sets!$J$2:$J$2000,"N")=0,"",_xlfn.MAXIFS(Sets!$H$2:$H$2000,Sets!$A$2:$A$2000,$A9,Sets!$D$2:$D$2000,U$1,Sets!$J$2:$J$2000,"N"))</f>
        <v/>
      </c>
      <c r="V9" s="26">
        <f>IF(_xlfn.MAXIFS(Sets!$H$2:$H$2000,Sets!$A$2:$A$2000,$A9,Sets!$D$2:$D$2000,V$1,Sets!$J$2:$J$2000,"N")=0,"",_xlfn.MAXIFS(Sets!$H$2:$H$2000,Sets!$A$2:$A$2000,$A9,Sets!$D$2:$D$2000,V$1,Sets!$J$2:$J$2000,"N"))</f>
        <v/>
      </c>
      <c r="W9" s="26">
        <f>IF(_xlfn.MAXIFS(Sets!$H$2:$H$2000,Sets!$A$2:$A$2000,$A9,Sets!$D$2:$D$2000,W$1,Sets!$J$2:$J$2000,"N")=0,"",_xlfn.MAXIFS(Sets!$H$2:$H$2000,Sets!$A$2:$A$2000,$A9,Sets!$D$2:$D$2000,W$1,Sets!$J$2:$J$2000,"N"))</f>
        <v/>
      </c>
      <c r="X9" s="26">
        <f>IF(_xlfn.MAXIFS(Sets!$H$2:$H$2000,Sets!$A$2:$A$2000,$A9,Sets!$D$2:$D$2000,X$1,Sets!$J$2:$J$2000,"N")=0,"",_xlfn.MAXIFS(Sets!$H$2:$H$2000,Sets!$A$2:$A$2000,$A9,Sets!$D$2:$D$2000,X$1,Sets!$J$2:$J$2000,"N"))</f>
        <v/>
      </c>
      <c r="Y9" s="26">
        <f>IF(_xlfn.MAXIFS(Sets!$H$2:$H$2000,Sets!$A$2:$A$2000,$A9,Sets!$D$2:$D$2000,Y$1,Sets!$J$2:$J$2000,"N")=0,"",_xlfn.MAXIFS(Sets!$H$2:$H$2000,Sets!$A$2:$A$2000,$A9,Sets!$D$2:$D$2000,Y$1,Sets!$J$2:$J$2000,"N"))</f>
        <v/>
      </c>
      <c r="Z9" s="26">
        <f>IF(_xlfn.MAXIFS(Sets!$H$2:$H$2000,Sets!$A$2:$A$2000,$A9,Sets!$D$2:$D$2000,Z$1,Sets!$J$2:$J$2000,"N")=0,"",_xlfn.MAXIFS(Sets!$H$2:$H$2000,Sets!$A$2:$A$2000,$A9,Sets!$D$2:$D$2000,Z$1,Sets!$J$2:$J$2000,"N"))</f>
        <v/>
      </c>
      <c r="AA9" s="26">
        <f>IF(_xlfn.MAXIFS(Sets!$H$2:$H$2000,Sets!$A$2:$A$2000,$A9,Sets!$D$2:$D$2000,AA$1,Sets!$J$2:$J$2000,"N")=0,"",_xlfn.MAXIFS(Sets!$H$2:$H$2000,Sets!$A$2:$A$2000,$A9,Sets!$D$2:$D$2000,AA$1,Sets!$J$2:$J$2000,"N"))</f>
        <v/>
      </c>
      <c r="AB9" s="26">
        <f>IF(_xlfn.MAXIFS(Sets!$H$2:$H$2000,Sets!$A$2:$A$2000,$A9,Sets!$D$2:$D$2000,AB$1,Sets!$J$2:$J$2000,"N")=0,"",_xlfn.MAXIFS(Sets!$H$2:$H$2000,Sets!$A$2:$A$2000,$A9,Sets!$D$2:$D$2000,AB$1,Sets!$J$2:$J$2000,"N"))</f>
        <v/>
      </c>
      <c r="AC9" s="26">
        <f>IF(_xlfn.MAXIFS(Sets!$H$2:$H$2000,Sets!$A$2:$A$2000,$A9,Sets!$D$2:$D$2000,AC$1,Sets!$J$2:$J$2000,"N")=0,"",_xlfn.MAXIFS(Sets!$H$2:$H$2000,Sets!$A$2:$A$2000,$A9,Sets!$D$2:$D$2000,AC$1,Sets!$J$2:$J$2000,"N"))</f>
        <v/>
      </c>
      <c r="AD9" s="26">
        <f>IF(_xlfn.MAXIFS(Sets!$H$2:$H$2000,Sets!$A$2:$A$2000,$A9,Sets!$D$2:$D$2000,AD$1,Sets!$J$2:$J$2000,"N")=0,"",_xlfn.MAXIFS(Sets!$H$2:$H$2000,Sets!$A$2:$A$2000,$A9,Sets!$D$2:$D$2000,AD$1,Sets!$J$2:$J$2000,"N"))</f>
        <v/>
      </c>
      <c r="AE9" s="26">
        <f>IF(_xlfn.MAXIFS(Sets!$H$2:$H$2000,Sets!$A$2:$A$2000,$A9,Sets!$D$2:$D$2000,AE$1,Sets!$J$2:$J$2000,"N")=0,"",_xlfn.MAXIFS(Sets!$H$2:$H$2000,Sets!$A$2:$A$2000,$A9,Sets!$D$2:$D$2000,AE$1,Sets!$J$2:$J$2000,"N"))</f>
        <v/>
      </c>
      <c r="AF9" s="26">
        <f>IF(_xlfn.MAXIFS(Sets!$H$2:$H$2000,Sets!$A$2:$A$2000,$A9,Sets!$D$2:$D$2000,AF$1,Sets!$J$2:$J$2000,"N")=0,"",_xlfn.MAXIFS(Sets!$H$2:$H$2000,Sets!$A$2:$A$2000,$A9,Sets!$D$2:$D$2000,AF$1,Sets!$J$2:$J$2000,"N"))</f>
        <v/>
      </c>
      <c r="AG9" s="26">
        <f>IF(_xlfn.MAXIFS(Sets!$H$2:$H$2000,Sets!$A$2:$A$2000,$A9,Sets!$D$2:$D$2000,AG$1,Sets!$J$2:$J$2000,"N")=0,"",_xlfn.MAXIFS(Sets!$H$2:$H$2000,Sets!$A$2:$A$2000,$A9,Sets!$D$2:$D$2000,AG$1,Sets!$J$2:$J$2000,"N"))</f>
        <v/>
      </c>
      <c r="AH9" s="26">
        <f>IF(_xlfn.MAXIFS(Sets!$H$2:$H$2000,Sets!$A$2:$A$2000,$A9,Sets!$D$2:$D$2000,AH$1,Sets!$J$2:$J$2000,"N")=0,"",_xlfn.MAXIFS(Sets!$H$2:$H$2000,Sets!$A$2:$A$2000,$A9,Sets!$D$2:$D$2000,AH$1,Sets!$J$2:$J$2000,"N"))</f>
        <v/>
      </c>
      <c r="AI9">
        <f>IF(_xlfn.MAXIFS(Sets!$H$2:$H$2000,Sets!$A$2:$A$2000,$A9,Sets!$D$2:$D$2000,AI$1,Sets!$J$2:$J$2000,"N")=0,"",_xlfn.MAXIFS(Sets!$H$2:$H$2000,Sets!$A$2:$A$2000,$A9,Sets!$D$2:$D$2000,AI$1,Sets!$J$2:$J$2000,"N"))</f>
        <v/>
      </c>
      <c r="AJ9">
        <f>IF(_xlfn.MAXIFS(Sets!$H$2:$H$2000,Sets!$A$2:$A$2000,$A9,Sets!$D$2:$D$2000,AJ$1,Sets!$J$2:$J$2000,"N")=0,"",_xlfn.MAXIFS(Sets!$H$2:$H$2000,Sets!$A$2:$A$2000,$A9,Sets!$D$2:$D$2000,AJ$1,Sets!$J$2:$J$2000,"N"))</f>
        <v/>
      </c>
      <c r="AK9">
        <f>IF(_xlfn.MAXIFS(Sets!$H$2:$H$2000,Sets!$A$2:$A$2000,$A9,Sets!$D$2:$D$2000,AK$1,Sets!$J$2:$J$2000,"N")=0,"",_xlfn.MAXIFS(Sets!$H$2:$H$2000,Sets!$A$2:$A$2000,$A9,Sets!$D$2:$D$2000,AK$1,Sets!$J$2:$J$2000,"N"))</f>
        <v/>
      </c>
      <c r="AL9">
        <f>IF(_xlfn.MAXIFS(Sets!$H$2:$H$2000,Sets!$A$2:$A$2000,$A9,Sets!$D$2:$D$2000,AL$1,Sets!$J$2:$J$2000,"N")=0,"",_xlfn.MAXIFS(Sets!$H$2:$H$2000,Sets!$A$2:$A$2000,$A9,Sets!$D$2:$D$2000,AL$1,Sets!$J$2:$J$2000,"N"))</f>
        <v/>
      </c>
      <c r="AM9">
        <f>IF(_xlfn.MAXIFS(Sets!$H$2:$H$2000,Sets!$A$2:$A$2000,$A9,Sets!$D$2:$D$2000,AM$1,Sets!$J$2:$J$2000,"N")=0,"",_xlfn.MAXIFS(Sets!$H$2:$H$2000,Sets!$A$2:$A$2000,$A9,Sets!$D$2:$D$2000,AM$1,Sets!$J$2:$J$2000,"N"))</f>
        <v/>
      </c>
      <c r="AN9">
        <f>IF(_xlfn.MAXIFS(Sets!$H$2:$H$2000,Sets!$A$2:$A$2000,$A9,Sets!$D$2:$D$2000,AN$1,Sets!$J$2:$J$2000,"N")=0,"",_xlfn.MAXIFS(Sets!$H$2:$H$2000,Sets!$A$2:$A$2000,$A9,Sets!$D$2:$D$2000,AN$1,Sets!$J$2:$J$2000,"N"))</f>
        <v/>
      </c>
      <c r="AO9">
        <f>IF(_xlfn.MAXIFS(Sets!$H$2:$H$2000,Sets!$A$2:$A$2000,$A9,Sets!$D$2:$D$2000,AO$1,Sets!$J$2:$J$2000,"N")=0,"",_xlfn.MAXIFS(Sets!$H$2:$H$2000,Sets!$A$2:$A$2000,$A9,Sets!$D$2:$D$2000,AO$1,Sets!$J$2:$J$2000,"N"))</f>
        <v/>
      </c>
      <c r="AP9">
        <f>IF(_xlfn.MAXIFS(Sets!$H$2:$H$2000,Sets!$A$2:$A$2000,$A9,Sets!$D$2:$D$2000,AP$1,Sets!$J$2:$J$2000,"N")=0,"",_xlfn.MAXIFS(Sets!$H$2:$H$2000,Sets!$A$2:$A$2000,$A9,Sets!$D$2:$D$2000,AP$1,Sets!$J$2:$J$2000,"N"))</f>
        <v/>
      </c>
    </row>
    <row r="10" ht="15" customHeight="1" s="22">
      <c r="A10" s="39" t="n">
        <v>46062</v>
      </c>
      <c r="B10" s="26">
        <f>IF(_xlfn.MAXIFS(Sets!$H$2:$H$2000,Sets!$A$2:$A$2000,$A10,Sets!$D$2:$D$2000,B$1,Sets!$J$2:$J$2000,"N")=0,"",_xlfn.MAXIFS(Sets!$H$2:$H$2000,Sets!$A$2:$A$2000,$A10,Sets!$D$2:$D$2000,B$1,Sets!$J$2:$J$2000,"N"))</f>
        <v/>
      </c>
      <c r="C10" s="26">
        <f>IF(_xlfn.MAXIFS(Sets!$H$2:$H$2000,Sets!$A$2:$A$2000,$A10,Sets!$D$2:$D$2000,C$1,Sets!$J$2:$J$2000,"N")=0,"",_xlfn.MAXIFS(Sets!$H$2:$H$2000,Sets!$A$2:$A$2000,$A10,Sets!$D$2:$D$2000,C$1,Sets!$J$2:$J$2000,"N"))</f>
        <v/>
      </c>
      <c r="D10" s="26">
        <f>IF(_xlfn.MAXIFS(Sets!$H$2:$H$2000,Sets!$A$2:$A$2000,$A10,Sets!$D$2:$D$2000,D$1,Sets!$J$2:$J$2000,"N")=0,"",_xlfn.MAXIFS(Sets!$H$2:$H$2000,Sets!$A$2:$A$2000,$A10,Sets!$D$2:$D$2000,D$1,Sets!$J$2:$J$2000,"N"))</f>
        <v/>
      </c>
      <c r="E10" s="26">
        <f>IF(_xlfn.MAXIFS(Sets!$H$2:$H$2000,Sets!$A$2:$A$2000,$A10,Sets!$D$2:$D$2000,E$1,Sets!$J$2:$J$2000,"N")=0,"",_xlfn.MAXIFS(Sets!$H$2:$H$2000,Sets!$A$2:$A$2000,$A10,Sets!$D$2:$D$2000,E$1,Sets!$J$2:$J$2000,"N"))</f>
        <v/>
      </c>
      <c r="F10" s="26">
        <f>IF(_xlfn.MAXIFS(Sets!$H$2:$H$2000,Sets!$A$2:$A$2000,$A10,Sets!$D$2:$D$2000,F$1,Sets!$J$2:$J$2000,"N")=0,"",_xlfn.MAXIFS(Sets!$H$2:$H$2000,Sets!$A$2:$A$2000,$A10,Sets!$D$2:$D$2000,F$1,Sets!$J$2:$J$2000,"N"))</f>
        <v/>
      </c>
      <c r="G10" s="26">
        <f>IF(_xlfn.MAXIFS(Sets!$H$2:$H$2000,Sets!$A$2:$A$2000,$A10,Sets!$D$2:$D$2000,G$1,Sets!$J$2:$J$2000,"N")=0,"",_xlfn.MAXIFS(Sets!$H$2:$H$2000,Sets!$A$2:$A$2000,$A10,Sets!$D$2:$D$2000,G$1,Sets!$J$2:$J$2000,"N"))</f>
        <v/>
      </c>
      <c r="H10" s="26">
        <f>IF(_xlfn.MAXIFS(Sets!$H$2:$H$2000,Sets!$A$2:$A$2000,$A10,Sets!$D$2:$D$2000,H$1,Sets!$J$2:$J$2000,"N")=0,"",_xlfn.MAXIFS(Sets!$H$2:$H$2000,Sets!$A$2:$A$2000,$A10,Sets!$D$2:$D$2000,H$1,Sets!$J$2:$J$2000,"N"))</f>
        <v/>
      </c>
      <c r="I10" s="26">
        <f>IF(_xlfn.MAXIFS(Sets!$H$2:$H$2000,Sets!$A$2:$A$2000,$A10,Sets!$D$2:$D$2000,I$1,Sets!$J$2:$J$2000,"N")=0,"",_xlfn.MAXIFS(Sets!$H$2:$H$2000,Sets!$A$2:$A$2000,$A10,Sets!$D$2:$D$2000,I$1,Sets!$J$2:$J$2000,"N"))</f>
        <v/>
      </c>
      <c r="J10" s="26">
        <f>IF(_xlfn.MAXIFS(Sets!$H$2:$H$2000,Sets!$A$2:$A$2000,$A10,Sets!$D$2:$D$2000,J$1,Sets!$J$2:$J$2000,"N")=0,"",_xlfn.MAXIFS(Sets!$H$2:$H$2000,Sets!$A$2:$A$2000,$A10,Sets!$D$2:$D$2000,J$1,Sets!$J$2:$J$2000,"N"))</f>
        <v/>
      </c>
      <c r="K10" s="26">
        <f>IF(_xlfn.MAXIFS(Sets!$H$2:$H$2000,Sets!$A$2:$A$2000,$A10,Sets!$D$2:$D$2000,K$1,Sets!$J$2:$J$2000,"N")=0,"",_xlfn.MAXIFS(Sets!$H$2:$H$2000,Sets!$A$2:$A$2000,$A10,Sets!$D$2:$D$2000,K$1,Sets!$J$2:$J$2000,"N"))</f>
        <v/>
      </c>
      <c r="L10" s="26">
        <f>IF(_xlfn.MAXIFS(Sets!$H$2:$H$2000,Sets!$A$2:$A$2000,$A10,Sets!$D$2:$D$2000,L$1,Sets!$J$2:$J$2000,"N")=0,"",_xlfn.MAXIFS(Sets!$H$2:$H$2000,Sets!$A$2:$A$2000,$A10,Sets!$D$2:$D$2000,L$1,Sets!$J$2:$J$2000,"N"))</f>
        <v/>
      </c>
      <c r="M10" s="26">
        <f>IF(_xlfn.MAXIFS(Sets!$H$2:$H$2000,Sets!$A$2:$A$2000,$A10,Sets!$D$2:$D$2000,M$1,Sets!$J$2:$J$2000,"N")=0,"",_xlfn.MAXIFS(Sets!$H$2:$H$2000,Sets!$A$2:$A$2000,$A10,Sets!$D$2:$D$2000,M$1,Sets!$J$2:$J$2000,"N"))</f>
        <v/>
      </c>
      <c r="N10" s="26">
        <f>IF(_xlfn.MAXIFS(Sets!$H$2:$H$2000,Sets!$A$2:$A$2000,$A10,Sets!$D$2:$D$2000,N$1,Sets!$J$2:$J$2000,"N")=0,"",_xlfn.MAXIFS(Sets!$H$2:$H$2000,Sets!$A$2:$A$2000,$A10,Sets!$D$2:$D$2000,N$1,Sets!$J$2:$J$2000,"N"))</f>
        <v/>
      </c>
      <c r="O10" s="26">
        <f>IF(_xlfn.MAXIFS(Sets!$H$2:$H$2000,Sets!$A$2:$A$2000,$A10,Sets!$D$2:$D$2000,O$1,Sets!$J$2:$J$2000,"N")=0,"",_xlfn.MAXIFS(Sets!$H$2:$H$2000,Sets!$A$2:$A$2000,$A10,Sets!$D$2:$D$2000,O$1,Sets!$J$2:$J$2000,"N"))</f>
        <v/>
      </c>
      <c r="P10" s="26">
        <f>IF(_xlfn.MAXIFS(Sets!$H$2:$H$2000,Sets!$A$2:$A$2000,$A10,Sets!$D$2:$D$2000,P$1,Sets!$J$2:$J$2000,"N")=0,"",_xlfn.MAXIFS(Sets!$H$2:$H$2000,Sets!$A$2:$A$2000,$A10,Sets!$D$2:$D$2000,P$1,Sets!$J$2:$J$2000,"N"))</f>
        <v/>
      </c>
      <c r="Q10" s="26">
        <f>IF(_xlfn.MAXIFS(Sets!$H$2:$H$2000,Sets!$A$2:$A$2000,$A10,Sets!$D$2:$D$2000,Q$1,Sets!$J$2:$J$2000,"N")=0,"",_xlfn.MAXIFS(Sets!$H$2:$H$2000,Sets!$A$2:$A$2000,$A10,Sets!$D$2:$D$2000,Q$1,Sets!$J$2:$J$2000,"N"))</f>
        <v/>
      </c>
      <c r="R10" s="26">
        <f>IF(_xlfn.MAXIFS(Sets!$H$2:$H$2000,Sets!$A$2:$A$2000,$A10,Sets!$D$2:$D$2000,R$1,Sets!$J$2:$J$2000,"N")=0,"",_xlfn.MAXIFS(Sets!$H$2:$H$2000,Sets!$A$2:$A$2000,$A10,Sets!$D$2:$D$2000,R$1,Sets!$J$2:$J$2000,"N"))</f>
        <v/>
      </c>
      <c r="S10" s="26">
        <f>IF(_xlfn.MAXIFS(Sets!$H$2:$H$2000,Sets!$A$2:$A$2000,$A10,Sets!$D$2:$D$2000,S$1,Sets!$J$2:$J$2000,"N")=0,"",_xlfn.MAXIFS(Sets!$H$2:$H$2000,Sets!$A$2:$A$2000,$A10,Sets!$D$2:$D$2000,S$1,Sets!$J$2:$J$2000,"N"))</f>
        <v/>
      </c>
      <c r="T10" s="26">
        <f>IF(_xlfn.MAXIFS(Sets!$H$2:$H$2000,Sets!$A$2:$A$2000,$A10,Sets!$D$2:$D$2000,T$1,Sets!$J$2:$J$2000,"N")=0,"",_xlfn.MAXIFS(Sets!$H$2:$H$2000,Sets!$A$2:$A$2000,$A10,Sets!$D$2:$D$2000,T$1,Sets!$J$2:$J$2000,"N"))</f>
        <v/>
      </c>
      <c r="U10" s="26">
        <f>IF(_xlfn.MAXIFS(Sets!$H$2:$H$2000,Sets!$A$2:$A$2000,$A10,Sets!$D$2:$D$2000,U$1,Sets!$J$2:$J$2000,"N")=0,"",_xlfn.MAXIFS(Sets!$H$2:$H$2000,Sets!$A$2:$A$2000,$A10,Sets!$D$2:$D$2000,U$1,Sets!$J$2:$J$2000,"N"))</f>
        <v/>
      </c>
      <c r="V10" s="26">
        <f>IF(_xlfn.MAXIFS(Sets!$H$2:$H$2000,Sets!$A$2:$A$2000,$A10,Sets!$D$2:$D$2000,V$1,Sets!$J$2:$J$2000,"N")=0,"",_xlfn.MAXIFS(Sets!$H$2:$H$2000,Sets!$A$2:$A$2000,$A10,Sets!$D$2:$D$2000,V$1,Sets!$J$2:$J$2000,"N"))</f>
        <v/>
      </c>
      <c r="W10" s="26">
        <f>IF(_xlfn.MAXIFS(Sets!$H$2:$H$2000,Sets!$A$2:$A$2000,$A10,Sets!$D$2:$D$2000,W$1,Sets!$J$2:$J$2000,"N")=0,"",_xlfn.MAXIFS(Sets!$H$2:$H$2000,Sets!$A$2:$A$2000,$A10,Sets!$D$2:$D$2000,W$1,Sets!$J$2:$J$2000,"N"))</f>
        <v/>
      </c>
      <c r="X10" s="26">
        <f>IF(_xlfn.MAXIFS(Sets!$H$2:$H$2000,Sets!$A$2:$A$2000,$A10,Sets!$D$2:$D$2000,X$1,Sets!$J$2:$J$2000,"N")=0,"",_xlfn.MAXIFS(Sets!$H$2:$H$2000,Sets!$A$2:$A$2000,$A10,Sets!$D$2:$D$2000,X$1,Sets!$J$2:$J$2000,"N"))</f>
        <v/>
      </c>
      <c r="Y10" s="26">
        <f>IF(_xlfn.MAXIFS(Sets!$H$2:$H$2000,Sets!$A$2:$A$2000,$A10,Sets!$D$2:$D$2000,Y$1,Sets!$J$2:$J$2000,"N")=0,"",_xlfn.MAXIFS(Sets!$H$2:$H$2000,Sets!$A$2:$A$2000,$A10,Sets!$D$2:$D$2000,Y$1,Sets!$J$2:$J$2000,"N"))</f>
        <v/>
      </c>
      <c r="Z10" s="26">
        <f>IF(_xlfn.MAXIFS(Sets!$H$2:$H$2000,Sets!$A$2:$A$2000,$A10,Sets!$D$2:$D$2000,Z$1,Sets!$J$2:$J$2000,"N")=0,"",_xlfn.MAXIFS(Sets!$H$2:$H$2000,Sets!$A$2:$A$2000,$A10,Sets!$D$2:$D$2000,Z$1,Sets!$J$2:$J$2000,"N"))</f>
        <v/>
      </c>
      <c r="AA10" s="26">
        <f>IF(_xlfn.MAXIFS(Sets!$H$2:$H$2000,Sets!$A$2:$A$2000,$A10,Sets!$D$2:$D$2000,AA$1,Sets!$J$2:$J$2000,"N")=0,"",_xlfn.MAXIFS(Sets!$H$2:$H$2000,Sets!$A$2:$A$2000,$A10,Sets!$D$2:$D$2000,AA$1,Sets!$J$2:$J$2000,"N"))</f>
        <v/>
      </c>
      <c r="AB10" s="26">
        <f>IF(_xlfn.MAXIFS(Sets!$H$2:$H$2000,Sets!$A$2:$A$2000,$A10,Sets!$D$2:$D$2000,AB$1,Sets!$J$2:$J$2000,"N")=0,"",_xlfn.MAXIFS(Sets!$H$2:$H$2000,Sets!$A$2:$A$2000,$A10,Sets!$D$2:$D$2000,AB$1,Sets!$J$2:$J$2000,"N"))</f>
        <v/>
      </c>
      <c r="AC10" s="26">
        <f>IF(_xlfn.MAXIFS(Sets!$H$2:$H$2000,Sets!$A$2:$A$2000,$A10,Sets!$D$2:$D$2000,AC$1,Sets!$J$2:$J$2000,"N")=0,"",_xlfn.MAXIFS(Sets!$H$2:$H$2000,Sets!$A$2:$A$2000,$A10,Sets!$D$2:$D$2000,AC$1,Sets!$J$2:$J$2000,"N"))</f>
        <v/>
      </c>
      <c r="AD10" s="26">
        <f>IF(_xlfn.MAXIFS(Sets!$H$2:$H$2000,Sets!$A$2:$A$2000,$A10,Sets!$D$2:$D$2000,AD$1,Sets!$J$2:$J$2000,"N")=0,"",_xlfn.MAXIFS(Sets!$H$2:$H$2000,Sets!$A$2:$A$2000,$A10,Sets!$D$2:$D$2000,AD$1,Sets!$J$2:$J$2000,"N"))</f>
        <v/>
      </c>
      <c r="AE10" s="26">
        <f>IF(_xlfn.MAXIFS(Sets!$H$2:$H$2000,Sets!$A$2:$A$2000,$A10,Sets!$D$2:$D$2000,AE$1,Sets!$J$2:$J$2000,"N")=0,"",_xlfn.MAXIFS(Sets!$H$2:$H$2000,Sets!$A$2:$A$2000,$A10,Sets!$D$2:$D$2000,AE$1,Sets!$J$2:$J$2000,"N"))</f>
        <v/>
      </c>
      <c r="AF10" s="26">
        <f>IF(_xlfn.MAXIFS(Sets!$H$2:$H$2000,Sets!$A$2:$A$2000,$A10,Sets!$D$2:$D$2000,AF$1,Sets!$J$2:$J$2000,"N")=0,"",_xlfn.MAXIFS(Sets!$H$2:$H$2000,Sets!$A$2:$A$2000,$A10,Sets!$D$2:$D$2000,AF$1,Sets!$J$2:$J$2000,"N"))</f>
        <v/>
      </c>
      <c r="AG10" s="26">
        <f>IF(_xlfn.MAXIFS(Sets!$H$2:$H$2000,Sets!$A$2:$A$2000,$A10,Sets!$D$2:$D$2000,AG$1,Sets!$J$2:$J$2000,"N")=0,"",_xlfn.MAXIFS(Sets!$H$2:$H$2000,Sets!$A$2:$A$2000,$A10,Sets!$D$2:$D$2000,AG$1,Sets!$J$2:$J$2000,"N"))</f>
        <v/>
      </c>
      <c r="AH10" s="26">
        <f>IF(_xlfn.MAXIFS(Sets!$H$2:$H$2000,Sets!$A$2:$A$2000,$A10,Sets!$D$2:$D$2000,AH$1,Sets!$J$2:$J$2000,"N")=0,"",_xlfn.MAXIFS(Sets!$H$2:$H$2000,Sets!$A$2:$A$2000,$A10,Sets!$D$2:$D$2000,AH$1,Sets!$J$2:$J$2000,"N"))</f>
        <v/>
      </c>
      <c r="AI10">
        <f>IF(_xlfn.MAXIFS(Sets!$H$2:$H$2000,Sets!$A$2:$A$2000,$A10,Sets!$D$2:$D$2000,AI$1,Sets!$J$2:$J$2000,"N")=0,"",_xlfn.MAXIFS(Sets!$H$2:$H$2000,Sets!$A$2:$A$2000,$A10,Sets!$D$2:$D$2000,AI$1,Sets!$J$2:$J$2000,"N"))</f>
        <v/>
      </c>
      <c r="AJ10">
        <f>IF(_xlfn.MAXIFS(Sets!$H$2:$H$2000,Sets!$A$2:$A$2000,$A10,Sets!$D$2:$D$2000,AJ$1,Sets!$J$2:$J$2000,"N")=0,"",_xlfn.MAXIFS(Sets!$H$2:$H$2000,Sets!$A$2:$A$2000,$A10,Sets!$D$2:$D$2000,AJ$1,Sets!$J$2:$J$2000,"N"))</f>
        <v/>
      </c>
      <c r="AK10">
        <f>IF(_xlfn.MAXIFS(Sets!$H$2:$H$2000,Sets!$A$2:$A$2000,$A10,Sets!$D$2:$D$2000,AK$1,Sets!$J$2:$J$2000,"N")=0,"",_xlfn.MAXIFS(Sets!$H$2:$H$2000,Sets!$A$2:$A$2000,$A10,Sets!$D$2:$D$2000,AK$1,Sets!$J$2:$J$2000,"N"))</f>
        <v/>
      </c>
      <c r="AL10">
        <f>IF(_xlfn.MAXIFS(Sets!$H$2:$H$2000,Sets!$A$2:$A$2000,$A10,Sets!$D$2:$D$2000,AL$1,Sets!$J$2:$J$2000,"N")=0,"",_xlfn.MAXIFS(Sets!$H$2:$H$2000,Sets!$A$2:$A$2000,$A10,Sets!$D$2:$D$2000,AL$1,Sets!$J$2:$J$2000,"N"))</f>
        <v/>
      </c>
      <c r="AM10">
        <f>IF(_xlfn.MAXIFS(Sets!$H$2:$H$2000,Sets!$A$2:$A$2000,$A10,Sets!$D$2:$D$2000,AM$1,Sets!$J$2:$J$2000,"N")=0,"",_xlfn.MAXIFS(Sets!$H$2:$H$2000,Sets!$A$2:$A$2000,$A10,Sets!$D$2:$D$2000,AM$1,Sets!$J$2:$J$2000,"N"))</f>
        <v/>
      </c>
      <c r="AN10">
        <f>IF(_xlfn.MAXIFS(Sets!$H$2:$H$2000,Sets!$A$2:$A$2000,$A10,Sets!$D$2:$D$2000,AN$1,Sets!$J$2:$J$2000,"N")=0,"",_xlfn.MAXIFS(Sets!$H$2:$H$2000,Sets!$A$2:$A$2000,$A10,Sets!$D$2:$D$2000,AN$1,Sets!$J$2:$J$2000,"N"))</f>
        <v/>
      </c>
      <c r="AO10">
        <f>IF(_xlfn.MAXIFS(Sets!$H$2:$H$2000,Sets!$A$2:$A$2000,$A10,Sets!$D$2:$D$2000,AO$1,Sets!$J$2:$J$2000,"N")=0,"",_xlfn.MAXIFS(Sets!$H$2:$H$2000,Sets!$A$2:$A$2000,$A10,Sets!$D$2:$D$2000,AO$1,Sets!$J$2:$J$2000,"N"))</f>
        <v/>
      </c>
      <c r="AP10">
        <f>IF(_xlfn.MAXIFS(Sets!$H$2:$H$2000,Sets!$A$2:$A$2000,$A10,Sets!$D$2:$D$2000,AP$1,Sets!$J$2:$J$2000,"N")=0,"",_xlfn.MAXIFS(Sets!$H$2:$H$2000,Sets!$A$2:$A$2000,$A10,Sets!$D$2:$D$2000,AP$1,Sets!$J$2:$J$2000,"N"))</f>
        <v/>
      </c>
    </row>
    <row r="11" ht="15" customHeight="1" s="22">
      <c r="A11" s="39" t="n">
        <v>46063</v>
      </c>
      <c r="B11" s="26">
        <f>IF(_xlfn.MAXIFS(Sets!$H$2:$H$2000,Sets!$A$2:$A$2000,$A11,Sets!$D$2:$D$2000,B$1,Sets!$J$2:$J$2000,"N")=0,"",_xlfn.MAXIFS(Sets!$H$2:$H$2000,Sets!$A$2:$A$2000,$A11,Sets!$D$2:$D$2000,B$1,Sets!$J$2:$J$2000,"N"))</f>
        <v/>
      </c>
      <c r="C11" s="26">
        <f>IF(_xlfn.MAXIFS(Sets!$H$2:$H$2000,Sets!$A$2:$A$2000,$A11,Sets!$D$2:$D$2000,C$1,Sets!$J$2:$J$2000,"N")=0,"",_xlfn.MAXIFS(Sets!$H$2:$H$2000,Sets!$A$2:$A$2000,$A11,Sets!$D$2:$D$2000,C$1,Sets!$J$2:$J$2000,"N"))</f>
        <v/>
      </c>
      <c r="D11" s="26">
        <f>IF(_xlfn.MAXIFS(Sets!$H$2:$H$2000,Sets!$A$2:$A$2000,$A11,Sets!$D$2:$D$2000,D$1,Sets!$J$2:$J$2000,"N")=0,"",_xlfn.MAXIFS(Sets!$H$2:$H$2000,Sets!$A$2:$A$2000,$A11,Sets!$D$2:$D$2000,D$1,Sets!$J$2:$J$2000,"N"))</f>
        <v/>
      </c>
      <c r="E11" s="26">
        <f>IF(_xlfn.MAXIFS(Sets!$H$2:$H$2000,Sets!$A$2:$A$2000,$A11,Sets!$D$2:$D$2000,E$1,Sets!$J$2:$J$2000,"N")=0,"",_xlfn.MAXIFS(Sets!$H$2:$H$2000,Sets!$A$2:$A$2000,$A11,Sets!$D$2:$D$2000,E$1,Sets!$J$2:$J$2000,"N"))</f>
        <v/>
      </c>
      <c r="F11" s="26">
        <f>IF(_xlfn.MAXIFS(Sets!$H$2:$H$2000,Sets!$A$2:$A$2000,$A11,Sets!$D$2:$D$2000,F$1,Sets!$J$2:$J$2000,"N")=0,"",_xlfn.MAXIFS(Sets!$H$2:$H$2000,Sets!$A$2:$A$2000,$A11,Sets!$D$2:$D$2000,F$1,Sets!$J$2:$J$2000,"N"))</f>
        <v/>
      </c>
      <c r="G11" s="26">
        <f>IF(_xlfn.MAXIFS(Sets!$H$2:$H$2000,Sets!$A$2:$A$2000,$A11,Sets!$D$2:$D$2000,G$1,Sets!$J$2:$J$2000,"N")=0,"",_xlfn.MAXIFS(Sets!$H$2:$H$2000,Sets!$A$2:$A$2000,$A11,Sets!$D$2:$D$2000,G$1,Sets!$J$2:$J$2000,"N"))</f>
        <v/>
      </c>
      <c r="H11" s="26">
        <f>IF(_xlfn.MAXIFS(Sets!$H$2:$H$2000,Sets!$A$2:$A$2000,$A11,Sets!$D$2:$D$2000,H$1,Sets!$J$2:$J$2000,"N")=0,"",_xlfn.MAXIFS(Sets!$H$2:$H$2000,Sets!$A$2:$A$2000,$A11,Sets!$D$2:$D$2000,H$1,Sets!$J$2:$J$2000,"N"))</f>
        <v/>
      </c>
      <c r="I11" s="26">
        <f>IF(_xlfn.MAXIFS(Sets!$H$2:$H$2000,Sets!$A$2:$A$2000,$A11,Sets!$D$2:$D$2000,I$1,Sets!$J$2:$J$2000,"N")=0,"",_xlfn.MAXIFS(Sets!$H$2:$H$2000,Sets!$A$2:$A$2000,$A11,Sets!$D$2:$D$2000,I$1,Sets!$J$2:$J$2000,"N"))</f>
        <v/>
      </c>
      <c r="J11" s="26">
        <f>IF(_xlfn.MAXIFS(Sets!$H$2:$H$2000,Sets!$A$2:$A$2000,$A11,Sets!$D$2:$D$2000,J$1,Sets!$J$2:$J$2000,"N")=0,"",_xlfn.MAXIFS(Sets!$H$2:$H$2000,Sets!$A$2:$A$2000,$A11,Sets!$D$2:$D$2000,J$1,Sets!$J$2:$J$2000,"N"))</f>
        <v/>
      </c>
      <c r="K11" s="26">
        <f>IF(_xlfn.MAXIFS(Sets!$H$2:$H$2000,Sets!$A$2:$A$2000,$A11,Sets!$D$2:$D$2000,K$1,Sets!$J$2:$J$2000,"N")=0,"",_xlfn.MAXIFS(Sets!$H$2:$H$2000,Sets!$A$2:$A$2000,$A11,Sets!$D$2:$D$2000,K$1,Sets!$J$2:$J$2000,"N"))</f>
        <v/>
      </c>
      <c r="L11" s="26">
        <f>IF(_xlfn.MAXIFS(Sets!$H$2:$H$2000,Sets!$A$2:$A$2000,$A11,Sets!$D$2:$D$2000,L$1,Sets!$J$2:$J$2000,"N")=0,"",_xlfn.MAXIFS(Sets!$H$2:$H$2000,Sets!$A$2:$A$2000,$A11,Sets!$D$2:$D$2000,L$1,Sets!$J$2:$J$2000,"N"))</f>
        <v/>
      </c>
      <c r="M11" s="26">
        <f>IF(_xlfn.MAXIFS(Sets!$H$2:$H$2000,Sets!$A$2:$A$2000,$A11,Sets!$D$2:$D$2000,M$1,Sets!$J$2:$J$2000,"N")=0,"",_xlfn.MAXIFS(Sets!$H$2:$H$2000,Sets!$A$2:$A$2000,$A11,Sets!$D$2:$D$2000,M$1,Sets!$J$2:$J$2000,"N"))</f>
        <v/>
      </c>
      <c r="N11" s="26">
        <f>IF(_xlfn.MAXIFS(Sets!$H$2:$H$2000,Sets!$A$2:$A$2000,$A11,Sets!$D$2:$D$2000,N$1,Sets!$J$2:$J$2000,"N")=0,"",_xlfn.MAXIFS(Sets!$H$2:$H$2000,Sets!$A$2:$A$2000,$A11,Sets!$D$2:$D$2000,N$1,Sets!$J$2:$J$2000,"N"))</f>
        <v/>
      </c>
      <c r="O11" s="26">
        <f>IF(_xlfn.MAXIFS(Sets!$H$2:$H$2000,Sets!$A$2:$A$2000,$A11,Sets!$D$2:$D$2000,O$1,Sets!$J$2:$J$2000,"N")=0,"",_xlfn.MAXIFS(Sets!$H$2:$H$2000,Sets!$A$2:$A$2000,$A11,Sets!$D$2:$D$2000,O$1,Sets!$J$2:$J$2000,"N"))</f>
        <v/>
      </c>
      <c r="P11" s="26">
        <f>IF(_xlfn.MAXIFS(Sets!$H$2:$H$2000,Sets!$A$2:$A$2000,$A11,Sets!$D$2:$D$2000,P$1,Sets!$J$2:$J$2000,"N")=0,"",_xlfn.MAXIFS(Sets!$H$2:$H$2000,Sets!$A$2:$A$2000,$A11,Sets!$D$2:$D$2000,P$1,Sets!$J$2:$J$2000,"N"))</f>
        <v/>
      </c>
      <c r="Q11" s="26">
        <f>IF(_xlfn.MAXIFS(Sets!$H$2:$H$2000,Sets!$A$2:$A$2000,$A11,Sets!$D$2:$D$2000,Q$1,Sets!$J$2:$J$2000,"N")=0,"",_xlfn.MAXIFS(Sets!$H$2:$H$2000,Sets!$A$2:$A$2000,$A11,Sets!$D$2:$D$2000,Q$1,Sets!$J$2:$J$2000,"N"))</f>
        <v/>
      </c>
      <c r="R11" s="26">
        <f>IF(_xlfn.MAXIFS(Sets!$H$2:$H$2000,Sets!$A$2:$A$2000,$A11,Sets!$D$2:$D$2000,R$1,Sets!$J$2:$J$2000,"N")=0,"",_xlfn.MAXIFS(Sets!$H$2:$H$2000,Sets!$A$2:$A$2000,$A11,Sets!$D$2:$D$2000,R$1,Sets!$J$2:$J$2000,"N"))</f>
        <v/>
      </c>
      <c r="S11" s="26">
        <f>IF(_xlfn.MAXIFS(Sets!$H$2:$H$2000,Sets!$A$2:$A$2000,$A11,Sets!$D$2:$D$2000,S$1,Sets!$J$2:$J$2000,"N")=0,"",_xlfn.MAXIFS(Sets!$H$2:$H$2000,Sets!$A$2:$A$2000,$A11,Sets!$D$2:$D$2000,S$1,Sets!$J$2:$J$2000,"N"))</f>
        <v/>
      </c>
      <c r="T11" s="26">
        <f>IF(_xlfn.MAXIFS(Sets!$H$2:$H$2000,Sets!$A$2:$A$2000,$A11,Sets!$D$2:$D$2000,T$1,Sets!$J$2:$J$2000,"N")=0,"",_xlfn.MAXIFS(Sets!$H$2:$H$2000,Sets!$A$2:$A$2000,$A11,Sets!$D$2:$D$2000,T$1,Sets!$J$2:$J$2000,"N"))</f>
        <v/>
      </c>
      <c r="U11" s="26">
        <f>IF(_xlfn.MAXIFS(Sets!$H$2:$H$2000,Sets!$A$2:$A$2000,$A11,Sets!$D$2:$D$2000,U$1,Sets!$J$2:$J$2000,"N")=0,"",_xlfn.MAXIFS(Sets!$H$2:$H$2000,Sets!$A$2:$A$2000,$A11,Sets!$D$2:$D$2000,U$1,Sets!$J$2:$J$2000,"N"))</f>
        <v/>
      </c>
      <c r="V11" s="26">
        <f>IF(_xlfn.MAXIFS(Sets!$H$2:$H$2000,Sets!$A$2:$A$2000,$A11,Sets!$D$2:$D$2000,V$1,Sets!$J$2:$J$2000,"N")=0,"",_xlfn.MAXIFS(Sets!$H$2:$H$2000,Sets!$A$2:$A$2000,$A11,Sets!$D$2:$D$2000,V$1,Sets!$J$2:$J$2000,"N"))</f>
        <v/>
      </c>
      <c r="W11" s="26">
        <f>IF(_xlfn.MAXIFS(Sets!$H$2:$H$2000,Sets!$A$2:$A$2000,$A11,Sets!$D$2:$D$2000,W$1,Sets!$J$2:$J$2000,"N")=0,"",_xlfn.MAXIFS(Sets!$H$2:$H$2000,Sets!$A$2:$A$2000,$A11,Sets!$D$2:$D$2000,W$1,Sets!$J$2:$J$2000,"N"))</f>
        <v/>
      </c>
      <c r="X11" s="26">
        <f>IF(_xlfn.MAXIFS(Sets!$H$2:$H$2000,Sets!$A$2:$A$2000,$A11,Sets!$D$2:$D$2000,X$1,Sets!$J$2:$J$2000,"N")=0,"",_xlfn.MAXIFS(Sets!$H$2:$H$2000,Sets!$A$2:$A$2000,$A11,Sets!$D$2:$D$2000,X$1,Sets!$J$2:$J$2000,"N"))</f>
        <v/>
      </c>
      <c r="Y11" s="26">
        <f>IF(_xlfn.MAXIFS(Sets!$H$2:$H$2000,Sets!$A$2:$A$2000,$A11,Sets!$D$2:$D$2000,Y$1,Sets!$J$2:$J$2000,"N")=0,"",_xlfn.MAXIFS(Sets!$H$2:$H$2000,Sets!$A$2:$A$2000,$A11,Sets!$D$2:$D$2000,Y$1,Sets!$J$2:$J$2000,"N"))</f>
        <v/>
      </c>
      <c r="Z11" s="26">
        <f>IF(_xlfn.MAXIFS(Sets!$H$2:$H$2000,Sets!$A$2:$A$2000,$A11,Sets!$D$2:$D$2000,Z$1,Sets!$J$2:$J$2000,"N")=0,"",_xlfn.MAXIFS(Sets!$H$2:$H$2000,Sets!$A$2:$A$2000,$A11,Sets!$D$2:$D$2000,Z$1,Sets!$J$2:$J$2000,"N"))</f>
        <v/>
      </c>
      <c r="AA11" s="26">
        <f>IF(_xlfn.MAXIFS(Sets!$H$2:$H$2000,Sets!$A$2:$A$2000,$A11,Sets!$D$2:$D$2000,AA$1,Sets!$J$2:$J$2000,"N")=0,"",_xlfn.MAXIFS(Sets!$H$2:$H$2000,Sets!$A$2:$A$2000,$A11,Sets!$D$2:$D$2000,AA$1,Sets!$J$2:$J$2000,"N"))</f>
        <v/>
      </c>
      <c r="AB11" s="26">
        <f>IF(_xlfn.MAXIFS(Sets!$H$2:$H$2000,Sets!$A$2:$A$2000,$A11,Sets!$D$2:$D$2000,AB$1,Sets!$J$2:$J$2000,"N")=0,"",_xlfn.MAXIFS(Sets!$H$2:$H$2000,Sets!$A$2:$A$2000,$A11,Sets!$D$2:$D$2000,AB$1,Sets!$J$2:$J$2000,"N"))</f>
        <v/>
      </c>
      <c r="AC11" s="26">
        <f>IF(_xlfn.MAXIFS(Sets!$H$2:$H$2000,Sets!$A$2:$A$2000,$A11,Sets!$D$2:$D$2000,AC$1,Sets!$J$2:$J$2000,"N")=0,"",_xlfn.MAXIFS(Sets!$H$2:$H$2000,Sets!$A$2:$A$2000,$A11,Sets!$D$2:$D$2000,AC$1,Sets!$J$2:$J$2000,"N"))</f>
        <v/>
      </c>
      <c r="AD11" s="26">
        <f>IF(_xlfn.MAXIFS(Sets!$H$2:$H$2000,Sets!$A$2:$A$2000,$A11,Sets!$D$2:$D$2000,AD$1,Sets!$J$2:$J$2000,"N")=0,"",_xlfn.MAXIFS(Sets!$H$2:$H$2000,Sets!$A$2:$A$2000,$A11,Sets!$D$2:$D$2000,AD$1,Sets!$J$2:$J$2000,"N"))</f>
        <v/>
      </c>
      <c r="AE11" s="26">
        <f>IF(_xlfn.MAXIFS(Sets!$H$2:$H$2000,Sets!$A$2:$A$2000,$A11,Sets!$D$2:$D$2000,AE$1,Sets!$J$2:$J$2000,"N")=0,"",_xlfn.MAXIFS(Sets!$H$2:$H$2000,Sets!$A$2:$A$2000,$A11,Sets!$D$2:$D$2000,AE$1,Sets!$J$2:$J$2000,"N"))</f>
        <v/>
      </c>
      <c r="AF11" s="26">
        <f>IF(_xlfn.MAXIFS(Sets!$H$2:$H$2000,Sets!$A$2:$A$2000,$A11,Sets!$D$2:$D$2000,AF$1,Sets!$J$2:$J$2000,"N")=0,"",_xlfn.MAXIFS(Sets!$H$2:$H$2000,Sets!$A$2:$A$2000,$A11,Sets!$D$2:$D$2000,AF$1,Sets!$J$2:$J$2000,"N"))</f>
        <v/>
      </c>
      <c r="AG11" s="26">
        <f>IF(_xlfn.MAXIFS(Sets!$H$2:$H$2000,Sets!$A$2:$A$2000,$A11,Sets!$D$2:$D$2000,AG$1,Sets!$J$2:$J$2000,"N")=0,"",_xlfn.MAXIFS(Sets!$H$2:$H$2000,Sets!$A$2:$A$2000,$A11,Sets!$D$2:$D$2000,AG$1,Sets!$J$2:$J$2000,"N"))</f>
        <v/>
      </c>
      <c r="AH11" s="26">
        <f>IF(_xlfn.MAXIFS(Sets!$H$2:$H$2000,Sets!$A$2:$A$2000,$A11,Sets!$D$2:$D$2000,AH$1,Sets!$J$2:$J$2000,"N")=0,"",_xlfn.MAXIFS(Sets!$H$2:$H$2000,Sets!$A$2:$A$2000,$A11,Sets!$D$2:$D$2000,AH$1,Sets!$J$2:$J$2000,"N"))</f>
        <v/>
      </c>
      <c r="AI11">
        <f>IF(_xlfn.MAXIFS(Sets!$H$2:$H$2000,Sets!$A$2:$A$2000,$A11,Sets!$D$2:$D$2000,AI$1,Sets!$J$2:$J$2000,"N")=0,"",_xlfn.MAXIFS(Sets!$H$2:$H$2000,Sets!$A$2:$A$2000,$A11,Sets!$D$2:$D$2000,AI$1,Sets!$J$2:$J$2000,"N"))</f>
        <v/>
      </c>
      <c r="AJ11">
        <f>IF(_xlfn.MAXIFS(Sets!$H$2:$H$2000,Sets!$A$2:$A$2000,$A11,Sets!$D$2:$D$2000,AJ$1,Sets!$J$2:$J$2000,"N")=0,"",_xlfn.MAXIFS(Sets!$H$2:$H$2000,Sets!$A$2:$A$2000,$A11,Sets!$D$2:$D$2000,AJ$1,Sets!$J$2:$J$2000,"N"))</f>
        <v/>
      </c>
      <c r="AK11">
        <f>IF(_xlfn.MAXIFS(Sets!$H$2:$H$2000,Sets!$A$2:$A$2000,$A11,Sets!$D$2:$D$2000,AK$1,Sets!$J$2:$J$2000,"N")=0,"",_xlfn.MAXIFS(Sets!$H$2:$H$2000,Sets!$A$2:$A$2000,$A11,Sets!$D$2:$D$2000,AK$1,Sets!$J$2:$J$2000,"N"))</f>
        <v/>
      </c>
      <c r="AL11">
        <f>IF(_xlfn.MAXIFS(Sets!$H$2:$H$2000,Sets!$A$2:$A$2000,$A11,Sets!$D$2:$D$2000,AL$1,Sets!$J$2:$J$2000,"N")=0,"",_xlfn.MAXIFS(Sets!$H$2:$H$2000,Sets!$A$2:$A$2000,$A11,Sets!$D$2:$D$2000,AL$1,Sets!$J$2:$J$2000,"N"))</f>
        <v/>
      </c>
      <c r="AM11">
        <f>IF(_xlfn.MAXIFS(Sets!$H$2:$H$2000,Sets!$A$2:$A$2000,$A11,Sets!$D$2:$D$2000,AM$1,Sets!$J$2:$J$2000,"N")=0,"",_xlfn.MAXIFS(Sets!$H$2:$H$2000,Sets!$A$2:$A$2000,$A11,Sets!$D$2:$D$2000,AM$1,Sets!$J$2:$J$2000,"N"))</f>
        <v/>
      </c>
      <c r="AN11">
        <f>IF(_xlfn.MAXIFS(Sets!$H$2:$H$2000,Sets!$A$2:$A$2000,$A11,Sets!$D$2:$D$2000,AN$1,Sets!$J$2:$J$2000,"N")=0,"",_xlfn.MAXIFS(Sets!$H$2:$H$2000,Sets!$A$2:$A$2000,$A11,Sets!$D$2:$D$2000,AN$1,Sets!$J$2:$J$2000,"N"))</f>
        <v/>
      </c>
      <c r="AO11">
        <f>IF(_xlfn.MAXIFS(Sets!$H$2:$H$2000,Sets!$A$2:$A$2000,$A11,Sets!$D$2:$D$2000,AO$1,Sets!$J$2:$J$2000,"N")=0,"",_xlfn.MAXIFS(Sets!$H$2:$H$2000,Sets!$A$2:$A$2000,$A11,Sets!$D$2:$D$2000,AO$1,Sets!$J$2:$J$2000,"N"))</f>
        <v/>
      </c>
      <c r="AP11">
        <f>IF(_xlfn.MAXIFS(Sets!$H$2:$H$2000,Sets!$A$2:$A$2000,$A11,Sets!$D$2:$D$2000,AP$1,Sets!$J$2:$J$2000,"N")=0,"",_xlfn.MAXIFS(Sets!$H$2:$H$2000,Sets!$A$2:$A$2000,$A11,Sets!$D$2:$D$2000,AP$1,Sets!$J$2:$J$2000,"N"))</f>
        <v/>
      </c>
    </row>
    <row r="12" ht="15" customHeight="1" s="22">
      <c r="A12" s="39" t="n">
        <v>46066</v>
      </c>
      <c r="B12" s="26">
        <f>IF(_xlfn.MAXIFS(Sets!$H$2:$H$2000,Sets!$A$2:$A$2000,$A12,Sets!$D$2:$D$2000,B$1,Sets!$J$2:$J$2000,"N")=0,"",_xlfn.MAXIFS(Sets!$H$2:$H$2000,Sets!$A$2:$A$2000,$A12,Sets!$D$2:$D$2000,B$1,Sets!$J$2:$J$2000,"N"))</f>
        <v/>
      </c>
      <c r="C12" s="26">
        <f>IF(_xlfn.MAXIFS(Sets!$H$2:$H$2000,Sets!$A$2:$A$2000,$A12,Sets!$D$2:$D$2000,C$1,Sets!$J$2:$J$2000,"N")=0,"",_xlfn.MAXIFS(Sets!$H$2:$H$2000,Sets!$A$2:$A$2000,$A12,Sets!$D$2:$D$2000,C$1,Sets!$J$2:$J$2000,"N"))</f>
        <v/>
      </c>
      <c r="D12" s="26">
        <f>IF(_xlfn.MAXIFS(Sets!$H$2:$H$2000,Sets!$A$2:$A$2000,$A12,Sets!$D$2:$D$2000,D$1,Sets!$J$2:$J$2000,"N")=0,"",_xlfn.MAXIFS(Sets!$H$2:$H$2000,Sets!$A$2:$A$2000,$A12,Sets!$D$2:$D$2000,D$1,Sets!$J$2:$J$2000,"N"))</f>
        <v/>
      </c>
      <c r="E12" s="26">
        <f>IF(_xlfn.MAXIFS(Sets!$H$2:$H$2000,Sets!$A$2:$A$2000,$A12,Sets!$D$2:$D$2000,E$1,Sets!$J$2:$J$2000,"N")=0,"",_xlfn.MAXIFS(Sets!$H$2:$H$2000,Sets!$A$2:$A$2000,$A12,Sets!$D$2:$D$2000,E$1,Sets!$J$2:$J$2000,"N"))</f>
        <v/>
      </c>
      <c r="F12" s="26">
        <f>IF(_xlfn.MAXIFS(Sets!$H$2:$H$2000,Sets!$A$2:$A$2000,$A12,Sets!$D$2:$D$2000,F$1,Sets!$J$2:$J$2000,"N")=0,"",_xlfn.MAXIFS(Sets!$H$2:$H$2000,Sets!$A$2:$A$2000,$A12,Sets!$D$2:$D$2000,F$1,Sets!$J$2:$J$2000,"N"))</f>
        <v/>
      </c>
      <c r="G12" s="26">
        <f>IF(_xlfn.MAXIFS(Sets!$H$2:$H$2000,Sets!$A$2:$A$2000,$A12,Sets!$D$2:$D$2000,G$1,Sets!$J$2:$J$2000,"N")=0,"",_xlfn.MAXIFS(Sets!$H$2:$H$2000,Sets!$A$2:$A$2000,$A12,Sets!$D$2:$D$2000,G$1,Sets!$J$2:$J$2000,"N"))</f>
        <v/>
      </c>
      <c r="H12" s="26">
        <f>IF(_xlfn.MAXIFS(Sets!$H$2:$H$2000,Sets!$A$2:$A$2000,$A12,Sets!$D$2:$D$2000,H$1,Sets!$J$2:$J$2000,"N")=0,"",_xlfn.MAXIFS(Sets!$H$2:$H$2000,Sets!$A$2:$A$2000,$A12,Sets!$D$2:$D$2000,H$1,Sets!$J$2:$J$2000,"N"))</f>
        <v/>
      </c>
      <c r="I12" s="26">
        <f>IF(_xlfn.MAXIFS(Sets!$H$2:$H$2000,Sets!$A$2:$A$2000,$A12,Sets!$D$2:$D$2000,I$1,Sets!$J$2:$J$2000,"N")=0,"",_xlfn.MAXIFS(Sets!$H$2:$H$2000,Sets!$A$2:$A$2000,$A12,Sets!$D$2:$D$2000,I$1,Sets!$J$2:$J$2000,"N"))</f>
        <v/>
      </c>
      <c r="J12" s="26">
        <f>IF(_xlfn.MAXIFS(Sets!$H$2:$H$2000,Sets!$A$2:$A$2000,$A12,Sets!$D$2:$D$2000,J$1,Sets!$J$2:$J$2000,"N")=0,"",_xlfn.MAXIFS(Sets!$H$2:$H$2000,Sets!$A$2:$A$2000,$A12,Sets!$D$2:$D$2000,J$1,Sets!$J$2:$J$2000,"N"))</f>
        <v/>
      </c>
      <c r="K12" s="26">
        <f>IF(_xlfn.MAXIFS(Sets!$H$2:$H$2000,Sets!$A$2:$A$2000,$A12,Sets!$D$2:$D$2000,K$1,Sets!$J$2:$J$2000,"N")=0,"",_xlfn.MAXIFS(Sets!$H$2:$H$2000,Sets!$A$2:$A$2000,$A12,Sets!$D$2:$D$2000,K$1,Sets!$J$2:$J$2000,"N"))</f>
        <v/>
      </c>
      <c r="L12" s="26">
        <f>IF(_xlfn.MAXIFS(Sets!$H$2:$H$2000,Sets!$A$2:$A$2000,$A12,Sets!$D$2:$D$2000,L$1,Sets!$J$2:$J$2000,"N")=0,"",_xlfn.MAXIFS(Sets!$H$2:$H$2000,Sets!$A$2:$A$2000,$A12,Sets!$D$2:$D$2000,L$1,Sets!$J$2:$J$2000,"N"))</f>
        <v/>
      </c>
      <c r="M12" s="26">
        <f>IF(_xlfn.MAXIFS(Sets!$H$2:$H$2000,Sets!$A$2:$A$2000,$A12,Sets!$D$2:$D$2000,M$1,Sets!$J$2:$J$2000,"N")=0,"",_xlfn.MAXIFS(Sets!$H$2:$H$2000,Sets!$A$2:$A$2000,$A12,Sets!$D$2:$D$2000,M$1,Sets!$J$2:$J$2000,"N"))</f>
        <v/>
      </c>
      <c r="N12" s="26">
        <f>IF(_xlfn.MAXIFS(Sets!$H$2:$H$2000,Sets!$A$2:$A$2000,$A12,Sets!$D$2:$D$2000,N$1,Sets!$J$2:$J$2000,"N")=0,"",_xlfn.MAXIFS(Sets!$H$2:$H$2000,Sets!$A$2:$A$2000,$A12,Sets!$D$2:$D$2000,N$1,Sets!$J$2:$J$2000,"N"))</f>
        <v/>
      </c>
      <c r="O12" s="26">
        <f>IF(_xlfn.MAXIFS(Sets!$H$2:$H$2000,Sets!$A$2:$A$2000,$A12,Sets!$D$2:$D$2000,O$1,Sets!$J$2:$J$2000,"N")=0,"",_xlfn.MAXIFS(Sets!$H$2:$H$2000,Sets!$A$2:$A$2000,$A12,Sets!$D$2:$D$2000,O$1,Sets!$J$2:$J$2000,"N"))</f>
        <v/>
      </c>
      <c r="P12" s="26">
        <f>IF(_xlfn.MAXIFS(Sets!$H$2:$H$2000,Sets!$A$2:$A$2000,$A12,Sets!$D$2:$D$2000,P$1,Sets!$J$2:$J$2000,"N")=0,"",_xlfn.MAXIFS(Sets!$H$2:$H$2000,Sets!$A$2:$A$2000,$A12,Sets!$D$2:$D$2000,P$1,Sets!$J$2:$J$2000,"N"))</f>
        <v/>
      </c>
      <c r="Q12" s="26">
        <f>IF(_xlfn.MAXIFS(Sets!$H$2:$H$2000,Sets!$A$2:$A$2000,$A12,Sets!$D$2:$D$2000,Q$1,Sets!$J$2:$J$2000,"N")=0,"",_xlfn.MAXIFS(Sets!$H$2:$H$2000,Sets!$A$2:$A$2000,$A12,Sets!$D$2:$D$2000,Q$1,Sets!$J$2:$J$2000,"N"))</f>
        <v/>
      </c>
      <c r="R12" s="26">
        <f>IF(_xlfn.MAXIFS(Sets!$H$2:$H$2000,Sets!$A$2:$A$2000,$A12,Sets!$D$2:$D$2000,R$1,Sets!$J$2:$J$2000,"N")=0,"",_xlfn.MAXIFS(Sets!$H$2:$H$2000,Sets!$A$2:$A$2000,$A12,Sets!$D$2:$D$2000,R$1,Sets!$J$2:$J$2000,"N"))</f>
        <v/>
      </c>
      <c r="S12" s="26">
        <f>IF(_xlfn.MAXIFS(Sets!$H$2:$H$2000,Sets!$A$2:$A$2000,$A12,Sets!$D$2:$D$2000,S$1,Sets!$J$2:$J$2000,"N")=0,"",_xlfn.MAXIFS(Sets!$H$2:$H$2000,Sets!$A$2:$A$2000,$A12,Sets!$D$2:$D$2000,S$1,Sets!$J$2:$J$2000,"N"))</f>
        <v/>
      </c>
      <c r="T12" s="26">
        <f>IF(_xlfn.MAXIFS(Sets!$H$2:$H$2000,Sets!$A$2:$A$2000,$A12,Sets!$D$2:$D$2000,T$1,Sets!$J$2:$J$2000,"N")=0,"",_xlfn.MAXIFS(Sets!$H$2:$H$2000,Sets!$A$2:$A$2000,$A12,Sets!$D$2:$D$2000,T$1,Sets!$J$2:$J$2000,"N"))</f>
        <v/>
      </c>
      <c r="U12" s="26">
        <f>IF(_xlfn.MAXIFS(Sets!$H$2:$H$2000,Sets!$A$2:$A$2000,$A12,Sets!$D$2:$D$2000,U$1,Sets!$J$2:$J$2000,"N")=0,"",_xlfn.MAXIFS(Sets!$H$2:$H$2000,Sets!$A$2:$A$2000,$A12,Sets!$D$2:$D$2000,U$1,Sets!$J$2:$J$2000,"N"))</f>
        <v/>
      </c>
      <c r="V12" s="26">
        <f>IF(_xlfn.MAXIFS(Sets!$H$2:$H$2000,Sets!$A$2:$A$2000,$A12,Sets!$D$2:$D$2000,V$1,Sets!$J$2:$J$2000,"N")=0,"",_xlfn.MAXIFS(Sets!$H$2:$H$2000,Sets!$A$2:$A$2000,$A12,Sets!$D$2:$D$2000,V$1,Sets!$J$2:$J$2000,"N"))</f>
        <v/>
      </c>
      <c r="W12" s="26">
        <f>IF(_xlfn.MAXIFS(Sets!$H$2:$H$2000,Sets!$A$2:$A$2000,$A12,Sets!$D$2:$D$2000,W$1,Sets!$J$2:$J$2000,"N")=0,"",_xlfn.MAXIFS(Sets!$H$2:$H$2000,Sets!$A$2:$A$2000,$A12,Sets!$D$2:$D$2000,W$1,Sets!$J$2:$J$2000,"N"))</f>
        <v/>
      </c>
      <c r="X12" s="26">
        <f>IF(_xlfn.MAXIFS(Sets!$H$2:$H$2000,Sets!$A$2:$A$2000,$A12,Sets!$D$2:$D$2000,X$1,Sets!$J$2:$J$2000,"N")=0,"",_xlfn.MAXIFS(Sets!$H$2:$H$2000,Sets!$A$2:$A$2000,$A12,Sets!$D$2:$D$2000,X$1,Sets!$J$2:$J$2000,"N"))</f>
        <v/>
      </c>
      <c r="Y12" s="26">
        <f>IF(_xlfn.MAXIFS(Sets!$H$2:$H$2000,Sets!$A$2:$A$2000,$A12,Sets!$D$2:$D$2000,Y$1,Sets!$J$2:$J$2000,"N")=0,"",_xlfn.MAXIFS(Sets!$H$2:$H$2000,Sets!$A$2:$A$2000,$A12,Sets!$D$2:$D$2000,Y$1,Sets!$J$2:$J$2000,"N"))</f>
        <v/>
      </c>
      <c r="Z12" s="26">
        <f>IF(_xlfn.MAXIFS(Sets!$H$2:$H$2000,Sets!$A$2:$A$2000,$A12,Sets!$D$2:$D$2000,Z$1,Sets!$J$2:$J$2000,"N")=0,"",_xlfn.MAXIFS(Sets!$H$2:$H$2000,Sets!$A$2:$A$2000,$A12,Sets!$D$2:$D$2000,Z$1,Sets!$J$2:$J$2000,"N"))</f>
        <v/>
      </c>
      <c r="AA12" s="26">
        <f>IF(_xlfn.MAXIFS(Sets!$H$2:$H$2000,Sets!$A$2:$A$2000,$A12,Sets!$D$2:$D$2000,AA$1,Sets!$J$2:$J$2000,"N")=0,"",_xlfn.MAXIFS(Sets!$H$2:$H$2000,Sets!$A$2:$A$2000,$A12,Sets!$D$2:$D$2000,AA$1,Sets!$J$2:$J$2000,"N"))</f>
        <v/>
      </c>
      <c r="AB12" s="26">
        <f>IF(_xlfn.MAXIFS(Sets!$H$2:$H$2000,Sets!$A$2:$A$2000,$A12,Sets!$D$2:$D$2000,AB$1,Sets!$J$2:$J$2000,"N")=0,"",_xlfn.MAXIFS(Sets!$H$2:$H$2000,Sets!$A$2:$A$2000,$A12,Sets!$D$2:$D$2000,AB$1,Sets!$J$2:$J$2000,"N"))</f>
        <v/>
      </c>
      <c r="AC12" s="26">
        <f>IF(_xlfn.MAXIFS(Sets!$H$2:$H$2000,Sets!$A$2:$A$2000,$A12,Sets!$D$2:$D$2000,AC$1,Sets!$J$2:$J$2000,"N")=0,"",_xlfn.MAXIFS(Sets!$H$2:$H$2000,Sets!$A$2:$A$2000,$A12,Sets!$D$2:$D$2000,AC$1,Sets!$J$2:$J$2000,"N"))</f>
        <v/>
      </c>
      <c r="AD12" s="26">
        <f>IF(_xlfn.MAXIFS(Sets!$H$2:$H$2000,Sets!$A$2:$A$2000,$A12,Sets!$D$2:$D$2000,AD$1,Sets!$J$2:$J$2000,"N")=0,"",_xlfn.MAXIFS(Sets!$H$2:$H$2000,Sets!$A$2:$A$2000,$A12,Sets!$D$2:$D$2000,AD$1,Sets!$J$2:$J$2000,"N"))</f>
        <v/>
      </c>
      <c r="AE12" s="26">
        <f>IF(_xlfn.MAXIFS(Sets!$H$2:$H$2000,Sets!$A$2:$A$2000,$A12,Sets!$D$2:$D$2000,AE$1,Sets!$J$2:$J$2000,"N")=0,"",_xlfn.MAXIFS(Sets!$H$2:$H$2000,Sets!$A$2:$A$2000,$A12,Sets!$D$2:$D$2000,AE$1,Sets!$J$2:$J$2000,"N"))</f>
        <v/>
      </c>
      <c r="AF12" s="26">
        <f>IF(_xlfn.MAXIFS(Sets!$H$2:$H$2000,Sets!$A$2:$A$2000,$A12,Sets!$D$2:$D$2000,AF$1,Sets!$J$2:$J$2000,"N")=0,"",_xlfn.MAXIFS(Sets!$H$2:$H$2000,Sets!$A$2:$A$2000,$A12,Sets!$D$2:$D$2000,AF$1,Sets!$J$2:$J$2000,"N"))</f>
        <v/>
      </c>
      <c r="AG12" s="26">
        <f>IF(_xlfn.MAXIFS(Sets!$H$2:$H$2000,Sets!$A$2:$A$2000,$A12,Sets!$D$2:$D$2000,AG$1,Sets!$J$2:$J$2000,"N")=0,"",_xlfn.MAXIFS(Sets!$H$2:$H$2000,Sets!$A$2:$A$2000,$A12,Sets!$D$2:$D$2000,AG$1,Sets!$J$2:$J$2000,"N"))</f>
        <v/>
      </c>
      <c r="AH12" s="26">
        <f>IF(_xlfn.MAXIFS(Sets!$H$2:$H$2000,Sets!$A$2:$A$2000,$A12,Sets!$D$2:$D$2000,AH$1,Sets!$J$2:$J$2000,"N")=0,"",_xlfn.MAXIFS(Sets!$H$2:$H$2000,Sets!$A$2:$A$2000,$A12,Sets!$D$2:$D$2000,AH$1,Sets!$J$2:$J$2000,"N"))</f>
        <v/>
      </c>
      <c r="AI12">
        <f>IF(_xlfn.MAXIFS(Sets!$H$2:$H$2000,Sets!$A$2:$A$2000,$A12,Sets!$D$2:$D$2000,AI$1,Sets!$J$2:$J$2000,"N")=0,"",_xlfn.MAXIFS(Sets!$H$2:$H$2000,Sets!$A$2:$A$2000,$A12,Sets!$D$2:$D$2000,AI$1,Sets!$J$2:$J$2000,"N"))</f>
        <v/>
      </c>
      <c r="AJ12">
        <f>IF(_xlfn.MAXIFS(Sets!$H$2:$H$2000,Sets!$A$2:$A$2000,$A12,Sets!$D$2:$D$2000,AJ$1,Sets!$J$2:$J$2000,"N")=0,"",_xlfn.MAXIFS(Sets!$H$2:$H$2000,Sets!$A$2:$A$2000,$A12,Sets!$D$2:$D$2000,AJ$1,Sets!$J$2:$J$2000,"N"))</f>
        <v/>
      </c>
      <c r="AK12">
        <f>IF(_xlfn.MAXIFS(Sets!$H$2:$H$2000,Sets!$A$2:$A$2000,$A12,Sets!$D$2:$D$2000,AK$1,Sets!$J$2:$J$2000,"N")=0,"",_xlfn.MAXIFS(Sets!$H$2:$H$2000,Sets!$A$2:$A$2000,$A12,Sets!$D$2:$D$2000,AK$1,Sets!$J$2:$J$2000,"N"))</f>
        <v/>
      </c>
      <c r="AL12">
        <f>IF(_xlfn.MAXIFS(Sets!$H$2:$H$2000,Sets!$A$2:$A$2000,$A12,Sets!$D$2:$D$2000,AL$1,Sets!$J$2:$J$2000,"N")=0,"",_xlfn.MAXIFS(Sets!$H$2:$H$2000,Sets!$A$2:$A$2000,$A12,Sets!$D$2:$D$2000,AL$1,Sets!$J$2:$J$2000,"N"))</f>
        <v/>
      </c>
      <c r="AM12">
        <f>IF(_xlfn.MAXIFS(Sets!$H$2:$H$2000,Sets!$A$2:$A$2000,$A12,Sets!$D$2:$D$2000,AM$1,Sets!$J$2:$J$2000,"N")=0,"",_xlfn.MAXIFS(Sets!$H$2:$H$2000,Sets!$A$2:$A$2000,$A12,Sets!$D$2:$D$2000,AM$1,Sets!$J$2:$J$2000,"N"))</f>
        <v/>
      </c>
      <c r="AN12">
        <f>IF(_xlfn.MAXIFS(Sets!$H$2:$H$2000,Sets!$A$2:$A$2000,$A12,Sets!$D$2:$D$2000,AN$1,Sets!$J$2:$J$2000,"N")=0,"",_xlfn.MAXIFS(Sets!$H$2:$H$2000,Sets!$A$2:$A$2000,$A12,Sets!$D$2:$D$2000,AN$1,Sets!$J$2:$J$2000,"N"))</f>
        <v/>
      </c>
      <c r="AO12">
        <f>IF(_xlfn.MAXIFS(Sets!$H$2:$H$2000,Sets!$A$2:$A$2000,$A12,Sets!$D$2:$D$2000,AO$1,Sets!$J$2:$J$2000,"N")=0,"",_xlfn.MAXIFS(Sets!$H$2:$H$2000,Sets!$A$2:$A$2000,$A12,Sets!$D$2:$D$2000,AO$1,Sets!$J$2:$J$2000,"N"))</f>
        <v/>
      </c>
      <c r="AP12">
        <f>IF(_xlfn.MAXIFS(Sets!$H$2:$H$2000,Sets!$A$2:$A$2000,$A12,Sets!$D$2:$D$2000,AP$1,Sets!$J$2:$J$2000,"N")=0,"",_xlfn.MAXIFS(Sets!$H$2:$H$2000,Sets!$A$2:$A$2000,$A12,Sets!$D$2:$D$2000,AP$1,Sets!$J$2:$J$2000,"N"))</f>
        <v/>
      </c>
    </row>
    <row r="13" ht="15" customHeight="1" s="22">
      <c r="A13" s="39" t="n">
        <v>46068</v>
      </c>
      <c r="B13" s="26">
        <f>IF(_xlfn.MAXIFS(Sets!$H$2:$H$2000,Sets!$A$2:$A$2000,$A13,Sets!$D$2:$D$2000,B$1,Sets!$J$2:$J$2000,"N")=0,"",_xlfn.MAXIFS(Sets!$H$2:$H$2000,Sets!$A$2:$A$2000,$A13,Sets!$D$2:$D$2000,B$1,Sets!$J$2:$J$2000,"N"))</f>
        <v/>
      </c>
      <c r="C13" s="26">
        <f>IF(_xlfn.MAXIFS(Sets!$H$2:$H$2000,Sets!$A$2:$A$2000,$A13,Sets!$D$2:$D$2000,C$1,Sets!$J$2:$J$2000,"N")=0,"",_xlfn.MAXIFS(Sets!$H$2:$H$2000,Sets!$A$2:$A$2000,$A13,Sets!$D$2:$D$2000,C$1,Sets!$J$2:$J$2000,"N"))</f>
        <v/>
      </c>
      <c r="D13" s="26">
        <f>IF(_xlfn.MAXIFS(Sets!$H$2:$H$2000,Sets!$A$2:$A$2000,$A13,Sets!$D$2:$D$2000,D$1,Sets!$J$2:$J$2000,"N")=0,"",_xlfn.MAXIFS(Sets!$H$2:$H$2000,Sets!$A$2:$A$2000,$A13,Sets!$D$2:$D$2000,D$1,Sets!$J$2:$J$2000,"N"))</f>
        <v/>
      </c>
      <c r="E13" s="26">
        <f>IF(_xlfn.MAXIFS(Sets!$H$2:$H$2000,Sets!$A$2:$A$2000,$A13,Sets!$D$2:$D$2000,E$1,Sets!$J$2:$J$2000,"N")=0,"",_xlfn.MAXIFS(Sets!$H$2:$H$2000,Sets!$A$2:$A$2000,$A13,Sets!$D$2:$D$2000,E$1,Sets!$J$2:$J$2000,"N"))</f>
        <v/>
      </c>
      <c r="F13" s="26">
        <f>IF(_xlfn.MAXIFS(Sets!$H$2:$H$2000,Sets!$A$2:$A$2000,$A13,Sets!$D$2:$D$2000,F$1,Sets!$J$2:$J$2000,"N")=0,"",_xlfn.MAXIFS(Sets!$H$2:$H$2000,Sets!$A$2:$A$2000,$A13,Sets!$D$2:$D$2000,F$1,Sets!$J$2:$J$2000,"N"))</f>
        <v/>
      </c>
      <c r="G13" s="26">
        <f>IF(_xlfn.MAXIFS(Sets!$H$2:$H$2000,Sets!$A$2:$A$2000,$A13,Sets!$D$2:$D$2000,G$1,Sets!$J$2:$J$2000,"N")=0,"",_xlfn.MAXIFS(Sets!$H$2:$H$2000,Sets!$A$2:$A$2000,$A13,Sets!$D$2:$D$2000,G$1,Sets!$J$2:$J$2000,"N"))</f>
        <v/>
      </c>
      <c r="H13" s="26">
        <f>IF(_xlfn.MAXIFS(Sets!$H$2:$H$2000,Sets!$A$2:$A$2000,$A13,Sets!$D$2:$D$2000,H$1,Sets!$J$2:$J$2000,"N")=0,"",_xlfn.MAXIFS(Sets!$H$2:$H$2000,Sets!$A$2:$A$2000,$A13,Sets!$D$2:$D$2000,H$1,Sets!$J$2:$J$2000,"N"))</f>
        <v/>
      </c>
      <c r="I13" s="26">
        <f>IF(_xlfn.MAXIFS(Sets!$H$2:$H$2000,Sets!$A$2:$A$2000,$A13,Sets!$D$2:$D$2000,I$1,Sets!$J$2:$J$2000,"N")=0,"",_xlfn.MAXIFS(Sets!$H$2:$H$2000,Sets!$A$2:$A$2000,$A13,Sets!$D$2:$D$2000,I$1,Sets!$J$2:$J$2000,"N"))</f>
        <v/>
      </c>
      <c r="J13" s="26">
        <f>IF(_xlfn.MAXIFS(Sets!$H$2:$H$2000,Sets!$A$2:$A$2000,$A13,Sets!$D$2:$D$2000,J$1,Sets!$J$2:$J$2000,"N")=0,"",_xlfn.MAXIFS(Sets!$H$2:$H$2000,Sets!$A$2:$A$2000,$A13,Sets!$D$2:$D$2000,J$1,Sets!$J$2:$J$2000,"N"))</f>
        <v/>
      </c>
      <c r="K13" s="26">
        <f>IF(_xlfn.MAXIFS(Sets!$H$2:$H$2000,Sets!$A$2:$A$2000,$A13,Sets!$D$2:$D$2000,K$1,Sets!$J$2:$J$2000,"N")=0,"",_xlfn.MAXIFS(Sets!$H$2:$H$2000,Sets!$A$2:$A$2000,$A13,Sets!$D$2:$D$2000,K$1,Sets!$J$2:$J$2000,"N"))</f>
        <v/>
      </c>
      <c r="L13" s="26">
        <f>IF(_xlfn.MAXIFS(Sets!$H$2:$H$2000,Sets!$A$2:$A$2000,$A13,Sets!$D$2:$D$2000,L$1,Sets!$J$2:$J$2000,"N")=0,"",_xlfn.MAXIFS(Sets!$H$2:$H$2000,Sets!$A$2:$A$2000,$A13,Sets!$D$2:$D$2000,L$1,Sets!$J$2:$J$2000,"N"))</f>
        <v/>
      </c>
      <c r="M13" s="26">
        <f>IF(_xlfn.MAXIFS(Sets!$H$2:$H$2000,Sets!$A$2:$A$2000,$A13,Sets!$D$2:$D$2000,M$1,Sets!$J$2:$J$2000,"N")=0,"",_xlfn.MAXIFS(Sets!$H$2:$H$2000,Sets!$A$2:$A$2000,$A13,Sets!$D$2:$D$2000,M$1,Sets!$J$2:$J$2000,"N"))</f>
        <v/>
      </c>
      <c r="N13" s="26">
        <f>IF(_xlfn.MAXIFS(Sets!$H$2:$H$2000,Sets!$A$2:$A$2000,$A13,Sets!$D$2:$D$2000,N$1,Sets!$J$2:$J$2000,"N")=0,"",_xlfn.MAXIFS(Sets!$H$2:$H$2000,Sets!$A$2:$A$2000,$A13,Sets!$D$2:$D$2000,N$1,Sets!$J$2:$J$2000,"N"))</f>
        <v/>
      </c>
      <c r="O13" s="26">
        <f>IF(_xlfn.MAXIFS(Sets!$H$2:$H$2000,Sets!$A$2:$A$2000,$A13,Sets!$D$2:$D$2000,O$1,Sets!$J$2:$J$2000,"N")=0,"",_xlfn.MAXIFS(Sets!$H$2:$H$2000,Sets!$A$2:$A$2000,$A13,Sets!$D$2:$D$2000,O$1,Sets!$J$2:$J$2000,"N"))</f>
        <v/>
      </c>
      <c r="P13" s="26">
        <f>IF(_xlfn.MAXIFS(Sets!$H$2:$H$2000,Sets!$A$2:$A$2000,$A13,Sets!$D$2:$D$2000,P$1,Sets!$J$2:$J$2000,"N")=0,"",_xlfn.MAXIFS(Sets!$H$2:$H$2000,Sets!$A$2:$A$2000,$A13,Sets!$D$2:$D$2000,P$1,Sets!$J$2:$J$2000,"N"))</f>
        <v/>
      </c>
      <c r="Q13" s="26">
        <f>IF(_xlfn.MAXIFS(Sets!$H$2:$H$2000,Sets!$A$2:$A$2000,$A13,Sets!$D$2:$D$2000,Q$1,Sets!$J$2:$J$2000,"N")=0,"",_xlfn.MAXIFS(Sets!$H$2:$H$2000,Sets!$A$2:$A$2000,$A13,Sets!$D$2:$D$2000,Q$1,Sets!$J$2:$J$2000,"N"))</f>
        <v/>
      </c>
      <c r="R13" s="26">
        <f>IF(_xlfn.MAXIFS(Sets!$H$2:$H$2000,Sets!$A$2:$A$2000,$A13,Sets!$D$2:$D$2000,R$1,Sets!$J$2:$J$2000,"N")=0,"",_xlfn.MAXIFS(Sets!$H$2:$H$2000,Sets!$A$2:$A$2000,$A13,Sets!$D$2:$D$2000,R$1,Sets!$J$2:$J$2000,"N"))</f>
        <v/>
      </c>
      <c r="S13" s="26">
        <f>IF(_xlfn.MAXIFS(Sets!$H$2:$H$2000,Sets!$A$2:$A$2000,$A13,Sets!$D$2:$D$2000,S$1,Sets!$J$2:$J$2000,"N")=0,"",_xlfn.MAXIFS(Sets!$H$2:$H$2000,Sets!$A$2:$A$2000,$A13,Sets!$D$2:$D$2000,S$1,Sets!$J$2:$J$2000,"N"))</f>
        <v/>
      </c>
      <c r="T13" s="26">
        <f>IF(_xlfn.MAXIFS(Sets!$H$2:$H$2000,Sets!$A$2:$A$2000,$A13,Sets!$D$2:$D$2000,T$1,Sets!$J$2:$J$2000,"N")=0,"",_xlfn.MAXIFS(Sets!$H$2:$H$2000,Sets!$A$2:$A$2000,$A13,Sets!$D$2:$D$2000,T$1,Sets!$J$2:$J$2000,"N"))</f>
        <v/>
      </c>
      <c r="U13" s="26">
        <f>IF(_xlfn.MAXIFS(Sets!$H$2:$H$2000,Sets!$A$2:$A$2000,$A13,Sets!$D$2:$D$2000,U$1,Sets!$J$2:$J$2000,"N")=0,"",_xlfn.MAXIFS(Sets!$H$2:$H$2000,Sets!$A$2:$A$2000,$A13,Sets!$D$2:$D$2000,U$1,Sets!$J$2:$J$2000,"N"))</f>
        <v/>
      </c>
      <c r="V13" s="26">
        <f>IF(_xlfn.MAXIFS(Sets!$H$2:$H$2000,Sets!$A$2:$A$2000,$A13,Sets!$D$2:$D$2000,V$1,Sets!$J$2:$J$2000,"N")=0,"",_xlfn.MAXIFS(Sets!$H$2:$H$2000,Sets!$A$2:$A$2000,$A13,Sets!$D$2:$D$2000,V$1,Sets!$J$2:$J$2000,"N"))</f>
        <v/>
      </c>
      <c r="W13" s="26">
        <f>IF(_xlfn.MAXIFS(Sets!$H$2:$H$2000,Sets!$A$2:$A$2000,$A13,Sets!$D$2:$D$2000,W$1,Sets!$J$2:$J$2000,"N")=0,"",_xlfn.MAXIFS(Sets!$H$2:$H$2000,Sets!$A$2:$A$2000,$A13,Sets!$D$2:$D$2000,W$1,Sets!$J$2:$J$2000,"N"))</f>
        <v/>
      </c>
      <c r="X13" s="26">
        <f>IF(_xlfn.MAXIFS(Sets!$H$2:$H$2000,Sets!$A$2:$A$2000,$A13,Sets!$D$2:$D$2000,X$1,Sets!$J$2:$J$2000,"N")=0,"",_xlfn.MAXIFS(Sets!$H$2:$H$2000,Sets!$A$2:$A$2000,$A13,Sets!$D$2:$D$2000,X$1,Sets!$J$2:$J$2000,"N"))</f>
        <v/>
      </c>
      <c r="Y13" s="26">
        <f>IF(_xlfn.MAXIFS(Sets!$H$2:$H$2000,Sets!$A$2:$A$2000,$A13,Sets!$D$2:$D$2000,Y$1,Sets!$J$2:$J$2000,"N")=0,"",_xlfn.MAXIFS(Sets!$H$2:$H$2000,Sets!$A$2:$A$2000,$A13,Sets!$D$2:$D$2000,Y$1,Sets!$J$2:$J$2000,"N"))</f>
        <v/>
      </c>
      <c r="Z13" s="26">
        <f>IF(_xlfn.MAXIFS(Sets!$H$2:$H$2000,Sets!$A$2:$A$2000,$A13,Sets!$D$2:$D$2000,Z$1,Sets!$J$2:$J$2000,"N")=0,"",_xlfn.MAXIFS(Sets!$H$2:$H$2000,Sets!$A$2:$A$2000,$A13,Sets!$D$2:$D$2000,Z$1,Sets!$J$2:$J$2000,"N"))</f>
        <v/>
      </c>
      <c r="AA13" s="26">
        <f>IF(_xlfn.MAXIFS(Sets!$H$2:$H$2000,Sets!$A$2:$A$2000,$A13,Sets!$D$2:$D$2000,AA$1,Sets!$J$2:$J$2000,"N")=0,"",_xlfn.MAXIFS(Sets!$H$2:$H$2000,Sets!$A$2:$A$2000,$A13,Sets!$D$2:$D$2000,AA$1,Sets!$J$2:$J$2000,"N"))</f>
        <v/>
      </c>
      <c r="AB13" s="26">
        <f>IF(_xlfn.MAXIFS(Sets!$H$2:$H$2000,Sets!$A$2:$A$2000,$A13,Sets!$D$2:$D$2000,AB$1,Sets!$J$2:$J$2000,"N")=0,"",_xlfn.MAXIFS(Sets!$H$2:$H$2000,Sets!$A$2:$A$2000,$A13,Sets!$D$2:$D$2000,AB$1,Sets!$J$2:$J$2000,"N"))</f>
        <v/>
      </c>
      <c r="AC13" s="26">
        <f>IF(_xlfn.MAXIFS(Sets!$H$2:$H$2000,Sets!$A$2:$A$2000,$A13,Sets!$D$2:$D$2000,AC$1,Sets!$J$2:$J$2000,"N")=0,"",_xlfn.MAXIFS(Sets!$H$2:$H$2000,Sets!$A$2:$A$2000,$A13,Sets!$D$2:$D$2000,AC$1,Sets!$J$2:$J$2000,"N"))</f>
        <v/>
      </c>
      <c r="AD13" s="26">
        <f>IF(_xlfn.MAXIFS(Sets!$H$2:$H$2000,Sets!$A$2:$A$2000,$A13,Sets!$D$2:$D$2000,AD$1,Sets!$J$2:$J$2000,"N")=0,"",_xlfn.MAXIFS(Sets!$H$2:$H$2000,Sets!$A$2:$A$2000,$A13,Sets!$D$2:$D$2000,AD$1,Sets!$J$2:$J$2000,"N"))</f>
        <v/>
      </c>
      <c r="AE13" s="26">
        <f>IF(_xlfn.MAXIFS(Sets!$H$2:$H$2000,Sets!$A$2:$A$2000,$A13,Sets!$D$2:$D$2000,AE$1,Sets!$J$2:$J$2000,"N")=0,"",_xlfn.MAXIFS(Sets!$H$2:$H$2000,Sets!$A$2:$A$2000,$A13,Sets!$D$2:$D$2000,AE$1,Sets!$J$2:$J$2000,"N"))</f>
        <v/>
      </c>
      <c r="AF13" s="26">
        <f>IF(_xlfn.MAXIFS(Sets!$H$2:$H$2000,Sets!$A$2:$A$2000,$A13,Sets!$D$2:$D$2000,AF$1,Sets!$J$2:$J$2000,"N")=0,"",_xlfn.MAXIFS(Sets!$H$2:$H$2000,Sets!$A$2:$A$2000,$A13,Sets!$D$2:$D$2000,AF$1,Sets!$J$2:$J$2000,"N"))</f>
        <v/>
      </c>
      <c r="AG13" s="26">
        <f>IF(_xlfn.MAXIFS(Sets!$H$2:$H$2000,Sets!$A$2:$A$2000,$A13,Sets!$D$2:$D$2000,AG$1,Sets!$J$2:$J$2000,"N")=0,"",_xlfn.MAXIFS(Sets!$H$2:$H$2000,Sets!$A$2:$A$2000,$A13,Sets!$D$2:$D$2000,AG$1,Sets!$J$2:$J$2000,"N"))</f>
        <v/>
      </c>
      <c r="AH13" s="26">
        <f>IF(_xlfn.MAXIFS(Sets!$H$2:$H$2000,Sets!$A$2:$A$2000,$A13,Sets!$D$2:$D$2000,AH$1,Sets!$J$2:$J$2000,"N")=0,"",_xlfn.MAXIFS(Sets!$H$2:$H$2000,Sets!$A$2:$A$2000,$A13,Sets!$D$2:$D$2000,AH$1,Sets!$J$2:$J$2000,"N"))</f>
        <v/>
      </c>
      <c r="AI13">
        <f>IF(_xlfn.MAXIFS(Sets!$H$2:$H$2000,Sets!$A$2:$A$2000,$A13,Sets!$D$2:$D$2000,AI$1,Sets!$J$2:$J$2000,"N")=0,"",_xlfn.MAXIFS(Sets!$H$2:$H$2000,Sets!$A$2:$A$2000,$A13,Sets!$D$2:$D$2000,AI$1,Sets!$J$2:$J$2000,"N"))</f>
        <v/>
      </c>
      <c r="AJ13">
        <f>IF(_xlfn.MAXIFS(Sets!$H$2:$H$2000,Sets!$A$2:$A$2000,$A13,Sets!$D$2:$D$2000,AJ$1,Sets!$J$2:$J$2000,"N")=0,"",_xlfn.MAXIFS(Sets!$H$2:$H$2000,Sets!$A$2:$A$2000,$A13,Sets!$D$2:$D$2000,AJ$1,Sets!$J$2:$J$2000,"N"))</f>
        <v/>
      </c>
      <c r="AK13">
        <f>IF(_xlfn.MAXIFS(Sets!$H$2:$H$2000,Sets!$A$2:$A$2000,$A13,Sets!$D$2:$D$2000,AK$1,Sets!$J$2:$J$2000,"N")=0,"",_xlfn.MAXIFS(Sets!$H$2:$H$2000,Sets!$A$2:$A$2000,$A13,Sets!$D$2:$D$2000,AK$1,Sets!$J$2:$J$2000,"N"))</f>
        <v/>
      </c>
      <c r="AL13">
        <f>IF(_xlfn.MAXIFS(Sets!$H$2:$H$2000,Sets!$A$2:$A$2000,$A13,Sets!$D$2:$D$2000,AL$1,Sets!$J$2:$J$2000,"N")=0,"",_xlfn.MAXIFS(Sets!$H$2:$H$2000,Sets!$A$2:$A$2000,$A13,Sets!$D$2:$D$2000,AL$1,Sets!$J$2:$J$2000,"N"))</f>
        <v/>
      </c>
      <c r="AM13">
        <f>IF(_xlfn.MAXIFS(Sets!$H$2:$H$2000,Sets!$A$2:$A$2000,$A13,Sets!$D$2:$D$2000,AM$1,Sets!$J$2:$J$2000,"N")=0,"",_xlfn.MAXIFS(Sets!$H$2:$H$2000,Sets!$A$2:$A$2000,$A13,Sets!$D$2:$D$2000,AM$1,Sets!$J$2:$J$2000,"N"))</f>
        <v/>
      </c>
      <c r="AN13">
        <f>IF(_xlfn.MAXIFS(Sets!$H$2:$H$2000,Sets!$A$2:$A$2000,$A13,Sets!$D$2:$D$2000,AN$1,Sets!$J$2:$J$2000,"N")=0,"",_xlfn.MAXIFS(Sets!$H$2:$H$2000,Sets!$A$2:$A$2000,$A13,Sets!$D$2:$D$2000,AN$1,Sets!$J$2:$J$2000,"N"))</f>
        <v/>
      </c>
      <c r="AO13">
        <f>IF(_xlfn.MAXIFS(Sets!$H$2:$H$2000,Sets!$A$2:$A$2000,$A13,Sets!$D$2:$D$2000,AO$1,Sets!$J$2:$J$2000,"N")=0,"",_xlfn.MAXIFS(Sets!$H$2:$H$2000,Sets!$A$2:$A$2000,$A13,Sets!$D$2:$D$2000,AO$1,Sets!$J$2:$J$2000,"N"))</f>
        <v/>
      </c>
      <c r="AP13">
        <f>IF(_xlfn.MAXIFS(Sets!$H$2:$H$2000,Sets!$A$2:$A$2000,$A13,Sets!$D$2:$D$2000,AP$1,Sets!$J$2:$J$2000,"N")=0,"",_xlfn.MAXIFS(Sets!$H$2:$H$2000,Sets!$A$2:$A$2000,$A13,Sets!$D$2:$D$2000,AP$1,Sets!$J$2:$J$2000,"N"))</f>
        <v/>
      </c>
    </row>
    <row r="14" ht="15" customHeight="1" s="22">
      <c r="A14" s="39" t="n">
        <v>46070</v>
      </c>
      <c r="B14" s="26">
        <f>IF(_xlfn.MAXIFS(Sets!$H$2:$H$2000,Sets!$A$2:$A$2000,$A14,Sets!$D$2:$D$2000,B$1,Sets!$J$2:$J$2000,"N")=0,"",_xlfn.MAXIFS(Sets!$H$2:$H$2000,Sets!$A$2:$A$2000,$A14,Sets!$D$2:$D$2000,B$1,Sets!$J$2:$J$2000,"N"))</f>
        <v/>
      </c>
      <c r="C14" s="26">
        <f>IF(_xlfn.MAXIFS(Sets!$H$2:$H$2000,Sets!$A$2:$A$2000,$A14,Sets!$D$2:$D$2000,C$1,Sets!$J$2:$J$2000,"N")=0,"",_xlfn.MAXIFS(Sets!$H$2:$H$2000,Sets!$A$2:$A$2000,$A14,Sets!$D$2:$D$2000,C$1,Sets!$J$2:$J$2000,"N"))</f>
        <v/>
      </c>
      <c r="D14" s="26">
        <f>IF(_xlfn.MAXIFS(Sets!$H$2:$H$2000,Sets!$A$2:$A$2000,$A14,Sets!$D$2:$D$2000,D$1,Sets!$J$2:$J$2000,"N")=0,"",_xlfn.MAXIFS(Sets!$H$2:$H$2000,Sets!$A$2:$A$2000,$A14,Sets!$D$2:$D$2000,D$1,Sets!$J$2:$J$2000,"N"))</f>
        <v/>
      </c>
      <c r="E14" s="26">
        <f>IF(_xlfn.MAXIFS(Sets!$H$2:$H$2000,Sets!$A$2:$A$2000,$A14,Sets!$D$2:$D$2000,E$1,Sets!$J$2:$J$2000,"N")=0,"",_xlfn.MAXIFS(Sets!$H$2:$H$2000,Sets!$A$2:$A$2000,$A14,Sets!$D$2:$D$2000,E$1,Sets!$J$2:$J$2000,"N"))</f>
        <v/>
      </c>
      <c r="F14" s="26">
        <f>IF(_xlfn.MAXIFS(Sets!$H$2:$H$2000,Sets!$A$2:$A$2000,$A14,Sets!$D$2:$D$2000,F$1,Sets!$J$2:$J$2000,"N")=0,"",_xlfn.MAXIFS(Sets!$H$2:$H$2000,Sets!$A$2:$A$2000,$A14,Sets!$D$2:$D$2000,F$1,Sets!$J$2:$J$2000,"N"))</f>
        <v/>
      </c>
      <c r="G14" s="26">
        <f>IF(_xlfn.MAXIFS(Sets!$H$2:$H$2000,Sets!$A$2:$A$2000,$A14,Sets!$D$2:$D$2000,G$1,Sets!$J$2:$J$2000,"N")=0,"",_xlfn.MAXIFS(Sets!$H$2:$H$2000,Sets!$A$2:$A$2000,$A14,Sets!$D$2:$D$2000,G$1,Sets!$J$2:$J$2000,"N"))</f>
        <v/>
      </c>
      <c r="H14" s="26">
        <f>IF(_xlfn.MAXIFS(Sets!$H$2:$H$2000,Sets!$A$2:$A$2000,$A14,Sets!$D$2:$D$2000,H$1,Sets!$J$2:$J$2000,"N")=0,"",_xlfn.MAXIFS(Sets!$H$2:$H$2000,Sets!$A$2:$A$2000,$A14,Sets!$D$2:$D$2000,H$1,Sets!$J$2:$J$2000,"N"))</f>
        <v/>
      </c>
      <c r="I14" s="26">
        <f>IF(_xlfn.MAXIFS(Sets!$H$2:$H$2000,Sets!$A$2:$A$2000,$A14,Sets!$D$2:$D$2000,I$1,Sets!$J$2:$J$2000,"N")=0,"",_xlfn.MAXIFS(Sets!$H$2:$H$2000,Sets!$A$2:$A$2000,$A14,Sets!$D$2:$D$2000,I$1,Sets!$J$2:$J$2000,"N"))</f>
        <v/>
      </c>
      <c r="J14" s="26">
        <f>IF(_xlfn.MAXIFS(Sets!$H$2:$H$2000,Sets!$A$2:$A$2000,$A14,Sets!$D$2:$D$2000,J$1,Sets!$J$2:$J$2000,"N")=0,"",_xlfn.MAXIFS(Sets!$H$2:$H$2000,Sets!$A$2:$A$2000,$A14,Sets!$D$2:$D$2000,J$1,Sets!$J$2:$J$2000,"N"))</f>
        <v/>
      </c>
      <c r="K14" s="26">
        <f>IF(_xlfn.MAXIFS(Sets!$H$2:$H$2000,Sets!$A$2:$A$2000,$A14,Sets!$D$2:$D$2000,K$1,Sets!$J$2:$J$2000,"N")=0,"",_xlfn.MAXIFS(Sets!$H$2:$H$2000,Sets!$A$2:$A$2000,$A14,Sets!$D$2:$D$2000,K$1,Sets!$J$2:$J$2000,"N"))</f>
        <v/>
      </c>
      <c r="L14" s="26">
        <f>IF(_xlfn.MAXIFS(Sets!$H$2:$H$2000,Sets!$A$2:$A$2000,$A14,Sets!$D$2:$D$2000,L$1,Sets!$J$2:$J$2000,"N")=0,"",_xlfn.MAXIFS(Sets!$H$2:$H$2000,Sets!$A$2:$A$2000,$A14,Sets!$D$2:$D$2000,L$1,Sets!$J$2:$J$2000,"N"))</f>
        <v/>
      </c>
      <c r="M14" s="26">
        <f>IF(_xlfn.MAXIFS(Sets!$H$2:$H$2000,Sets!$A$2:$A$2000,$A14,Sets!$D$2:$D$2000,M$1,Sets!$J$2:$J$2000,"N")=0,"",_xlfn.MAXIFS(Sets!$H$2:$H$2000,Sets!$A$2:$A$2000,$A14,Sets!$D$2:$D$2000,M$1,Sets!$J$2:$J$2000,"N"))</f>
        <v/>
      </c>
      <c r="N14" s="26">
        <f>IF(_xlfn.MAXIFS(Sets!$H$2:$H$2000,Sets!$A$2:$A$2000,$A14,Sets!$D$2:$D$2000,N$1,Sets!$J$2:$J$2000,"N")=0,"",_xlfn.MAXIFS(Sets!$H$2:$H$2000,Sets!$A$2:$A$2000,$A14,Sets!$D$2:$D$2000,N$1,Sets!$J$2:$J$2000,"N"))</f>
        <v/>
      </c>
      <c r="O14" s="26">
        <f>IF(_xlfn.MAXIFS(Sets!$H$2:$H$2000,Sets!$A$2:$A$2000,$A14,Sets!$D$2:$D$2000,O$1,Sets!$J$2:$J$2000,"N")=0,"",_xlfn.MAXIFS(Sets!$H$2:$H$2000,Sets!$A$2:$A$2000,$A14,Sets!$D$2:$D$2000,O$1,Sets!$J$2:$J$2000,"N"))</f>
        <v/>
      </c>
      <c r="P14" s="26">
        <f>IF(_xlfn.MAXIFS(Sets!$H$2:$H$2000,Sets!$A$2:$A$2000,$A14,Sets!$D$2:$D$2000,P$1,Sets!$J$2:$J$2000,"N")=0,"",_xlfn.MAXIFS(Sets!$H$2:$H$2000,Sets!$A$2:$A$2000,$A14,Sets!$D$2:$D$2000,P$1,Sets!$J$2:$J$2000,"N"))</f>
        <v/>
      </c>
      <c r="Q14" s="26">
        <f>IF(_xlfn.MAXIFS(Sets!$H$2:$H$2000,Sets!$A$2:$A$2000,$A14,Sets!$D$2:$D$2000,Q$1,Sets!$J$2:$J$2000,"N")=0,"",_xlfn.MAXIFS(Sets!$H$2:$H$2000,Sets!$A$2:$A$2000,$A14,Sets!$D$2:$D$2000,Q$1,Sets!$J$2:$J$2000,"N"))</f>
        <v/>
      </c>
      <c r="R14" s="26">
        <f>IF(_xlfn.MAXIFS(Sets!$H$2:$H$2000,Sets!$A$2:$A$2000,$A14,Sets!$D$2:$D$2000,R$1,Sets!$J$2:$J$2000,"N")=0,"",_xlfn.MAXIFS(Sets!$H$2:$H$2000,Sets!$A$2:$A$2000,$A14,Sets!$D$2:$D$2000,R$1,Sets!$J$2:$J$2000,"N"))</f>
        <v/>
      </c>
      <c r="S14" s="26">
        <f>IF(_xlfn.MAXIFS(Sets!$H$2:$H$2000,Sets!$A$2:$A$2000,$A14,Sets!$D$2:$D$2000,S$1,Sets!$J$2:$J$2000,"N")=0,"",_xlfn.MAXIFS(Sets!$H$2:$H$2000,Sets!$A$2:$A$2000,$A14,Sets!$D$2:$D$2000,S$1,Sets!$J$2:$J$2000,"N"))</f>
        <v/>
      </c>
      <c r="T14" s="26">
        <f>IF(_xlfn.MAXIFS(Sets!$H$2:$H$2000,Sets!$A$2:$A$2000,$A14,Sets!$D$2:$D$2000,T$1,Sets!$J$2:$J$2000,"N")=0,"",_xlfn.MAXIFS(Sets!$H$2:$H$2000,Sets!$A$2:$A$2000,$A14,Sets!$D$2:$D$2000,T$1,Sets!$J$2:$J$2000,"N"))</f>
        <v/>
      </c>
      <c r="U14" s="26">
        <f>IF(_xlfn.MAXIFS(Sets!$H$2:$H$2000,Sets!$A$2:$A$2000,$A14,Sets!$D$2:$D$2000,U$1,Sets!$J$2:$J$2000,"N")=0,"",_xlfn.MAXIFS(Sets!$H$2:$H$2000,Sets!$A$2:$A$2000,$A14,Sets!$D$2:$D$2000,U$1,Sets!$J$2:$J$2000,"N"))</f>
        <v/>
      </c>
      <c r="V14" s="26">
        <f>IF(_xlfn.MAXIFS(Sets!$H$2:$H$2000,Sets!$A$2:$A$2000,$A14,Sets!$D$2:$D$2000,V$1,Sets!$J$2:$J$2000,"N")=0,"",_xlfn.MAXIFS(Sets!$H$2:$H$2000,Sets!$A$2:$A$2000,$A14,Sets!$D$2:$D$2000,V$1,Sets!$J$2:$J$2000,"N"))</f>
        <v/>
      </c>
      <c r="W14" s="26">
        <f>IF(_xlfn.MAXIFS(Sets!$H$2:$H$2000,Sets!$A$2:$A$2000,$A14,Sets!$D$2:$D$2000,W$1,Sets!$J$2:$J$2000,"N")=0,"",_xlfn.MAXIFS(Sets!$H$2:$H$2000,Sets!$A$2:$A$2000,$A14,Sets!$D$2:$D$2000,W$1,Sets!$J$2:$J$2000,"N"))</f>
        <v/>
      </c>
      <c r="X14" s="26">
        <f>IF(_xlfn.MAXIFS(Sets!$H$2:$H$2000,Sets!$A$2:$A$2000,$A14,Sets!$D$2:$D$2000,X$1,Sets!$J$2:$J$2000,"N")=0,"",_xlfn.MAXIFS(Sets!$H$2:$H$2000,Sets!$A$2:$A$2000,$A14,Sets!$D$2:$D$2000,X$1,Sets!$J$2:$J$2000,"N"))</f>
        <v/>
      </c>
      <c r="Y14" s="26">
        <f>IF(_xlfn.MAXIFS(Sets!$H$2:$H$2000,Sets!$A$2:$A$2000,$A14,Sets!$D$2:$D$2000,Y$1,Sets!$J$2:$J$2000,"N")=0,"",_xlfn.MAXIFS(Sets!$H$2:$H$2000,Sets!$A$2:$A$2000,$A14,Sets!$D$2:$D$2000,Y$1,Sets!$J$2:$J$2000,"N"))</f>
        <v/>
      </c>
      <c r="Z14" s="26">
        <f>IF(_xlfn.MAXIFS(Sets!$H$2:$H$2000,Sets!$A$2:$A$2000,$A14,Sets!$D$2:$D$2000,Z$1,Sets!$J$2:$J$2000,"N")=0,"",_xlfn.MAXIFS(Sets!$H$2:$H$2000,Sets!$A$2:$A$2000,$A14,Sets!$D$2:$D$2000,Z$1,Sets!$J$2:$J$2000,"N"))</f>
        <v/>
      </c>
      <c r="AA14" s="26">
        <f>IF(_xlfn.MAXIFS(Sets!$H$2:$H$2000,Sets!$A$2:$A$2000,$A14,Sets!$D$2:$D$2000,AA$1,Sets!$J$2:$J$2000,"N")=0,"",_xlfn.MAXIFS(Sets!$H$2:$H$2000,Sets!$A$2:$A$2000,$A14,Sets!$D$2:$D$2000,AA$1,Sets!$J$2:$J$2000,"N"))</f>
        <v/>
      </c>
      <c r="AB14" s="26">
        <f>IF(_xlfn.MAXIFS(Sets!$H$2:$H$2000,Sets!$A$2:$A$2000,$A14,Sets!$D$2:$D$2000,AB$1,Sets!$J$2:$J$2000,"N")=0,"",_xlfn.MAXIFS(Sets!$H$2:$H$2000,Sets!$A$2:$A$2000,$A14,Sets!$D$2:$D$2000,AB$1,Sets!$J$2:$J$2000,"N"))</f>
        <v/>
      </c>
      <c r="AC14" s="26">
        <f>IF(_xlfn.MAXIFS(Sets!$H$2:$H$2000,Sets!$A$2:$A$2000,$A14,Sets!$D$2:$D$2000,AC$1,Sets!$J$2:$J$2000,"N")=0,"",_xlfn.MAXIFS(Sets!$H$2:$H$2000,Sets!$A$2:$A$2000,$A14,Sets!$D$2:$D$2000,AC$1,Sets!$J$2:$J$2000,"N"))</f>
        <v/>
      </c>
      <c r="AD14" s="26">
        <f>IF(_xlfn.MAXIFS(Sets!$H$2:$H$2000,Sets!$A$2:$A$2000,$A14,Sets!$D$2:$D$2000,AD$1,Sets!$J$2:$J$2000,"N")=0,"",_xlfn.MAXIFS(Sets!$H$2:$H$2000,Sets!$A$2:$A$2000,$A14,Sets!$D$2:$D$2000,AD$1,Sets!$J$2:$J$2000,"N"))</f>
        <v/>
      </c>
      <c r="AE14" s="26">
        <f>IF(_xlfn.MAXIFS(Sets!$H$2:$H$2000,Sets!$A$2:$A$2000,$A14,Sets!$D$2:$D$2000,AE$1,Sets!$J$2:$J$2000,"N")=0,"",_xlfn.MAXIFS(Sets!$H$2:$H$2000,Sets!$A$2:$A$2000,$A14,Sets!$D$2:$D$2000,AE$1,Sets!$J$2:$J$2000,"N"))</f>
        <v/>
      </c>
      <c r="AF14" s="26">
        <f>IF(_xlfn.MAXIFS(Sets!$H$2:$H$2000,Sets!$A$2:$A$2000,$A14,Sets!$D$2:$D$2000,AF$1,Sets!$J$2:$J$2000,"N")=0,"",_xlfn.MAXIFS(Sets!$H$2:$H$2000,Sets!$A$2:$A$2000,$A14,Sets!$D$2:$D$2000,AF$1,Sets!$J$2:$J$2000,"N"))</f>
        <v/>
      </c>
      <c r="AG14" s="26">
        <f>IF(_xlfn.MAXIFS(Sets!$H$2:$H$2000,Sets!$A$2:$A$2000,$A14,Sets!$D$2:$D$2000,AG$1,Sets!$J$2:$J$2000,"N")=0,"",_xlfn.MAXIFS(Sets!$H$2:$H$2000,Sets!$A$2:$A$2000,$A14,Sets!$D$2:$D$2000,AG$1,Sets!$J$2:$J$2000,"N"))</f>
        <v/>
      </c>
      <c r="AH14" s="26">
        <f>IF(_xlfn.MAXIFS(Sets!$H$2:$H$2000,Sets!$A$2:$A$2000,$A14,Sets!$D$2:$D$2000,AH$1,Sets!$J$2:$J$2000,"N")=0,"",_xlfn.MAXIFS(Sets!$H$2:$H$2000,Sets!$A$2:$A$2000,$A14,Sets!$D$2:$D$2000,AH$1,Sets!$J$2:$J$2000,"N"))</f>
        <v/>
      </c>
      <c r="AI14">
        <f>IF(_xlfn.MAXIFS(Sets!$H$2:$H$2000,Sets!$A$2:$A$2000,$A14,Sets!$D$2:$D$2000,AI$1,Sets!$J$2:$J$2000,"N")=0,"",_xlfn.MAXIFS(Sets!$H$2:$H$2000,Sets!$A$2:$A$2000,$A14,Sets!$D$2:$D$2000,AI$1,Sets!$J$2:$J$2000,"N"))</f>
        <v/>
      </c>
      <c r="AJ14">
        <f>IF(_xlfn.MAXIFS(Sets!$H$2:$H$2000,Sets!$A$2:$A$2000,$A14,Sets!$D$2:$D$2000,AJ$1,Sets!$J$2:$J$2000,"N")=0,"",_xlfn.MAXIFS(Sets!$H$2:$H$2000,Sets!$A$2:$A$2000,$A14,Sets!$D$2:$D$2000,AJ$1,Sets!$J$2:$J$2000,"N"))</f>
        <v/>
      </c>
      <c r="AK14">
        <f>IF(_xlfn.MAXIFS(Sets!$H$2:$H$2000,Sets!$A$2:$A$2000,$A14,Sets!$D$2:$D$2000,AK$1,Sets!$J$2:$J$2000,"N")=0,"",_xlfn.MAXIFS(Sets!$H$2:$H$2000,Sets!$A$2:$A$2000,$A14,Sets!$D$2:$D$2000,AK$1,Sets!$J$2:$J$2000,"N"))</f>
        <v/>
      </c>
      <c r="AL14">
        <f>IF(_xlfn.MAXIFS(Sets!$H$2:$H$2000,Sets!$A$2:$A$2000,$A14,Sets!$D$2:$D$2000,AL$1,Sets!$J$2:$J$2000,"N")=0,"",_xlfn.MAXIFS(Sets!$H$2:$H$2000,Sets!$A$2:$A$2000,$A14,Sets!$D$2:$D$2000,AL$1,Sets!$J$2:$J$2000,"N"))</f>
        <v/>
      </c>
      <c r="AM14">
        <f>IF(_xlfn.MAXIFS(Sets!$H$2:$H$2000,Sets!$A$2:$A$2000,$A14,Sets!$D$2:$D$2000,AM$1,Sets!$J$2:$J$2000,"N")=0,"",_xlfn.MAXIFS(Sets!$H$2:$H$2000,Sets!$A$2:$A$2000,$A14,Sets!$D$2:$D$2000,AM$1,Sets!$J$2:$J$2000,"N"))</f>
        <v/>
      </c>
      <c r="AN14">
        <f>IF(_xlfn.MAXIFS(Sets!$H$2:$H$2000,Sets!$A$2:$A$2000,$A14,Sets!$D$2:$D$2000,AN$1,Sets!$J$2:$J$2000,"N")=0,"",_xlfn.MAXIFS(Sets!$H$2:$H$2000,Sets!$A$2:$A$2000,$A14,Sets!$D$2:$D$2000,AN$1,Sets!$J$2:$J$2000,"N"))</f>
        <v/>
      </c>
      <c r="AO14">
        <f>IF(_xlfn.MAXIFS(Sets!$H$2:$H$2000,Sets!$A$2:$A$2000,$A14,Sets!$D$2:$D$2000,AO$1,Sets!$J$2:$J$2000,"N")=0,"",_xlfn.MAXIFS(Sets!$H$2:$H$2000,Sets!$A$2:$A$2000,$A14,Sets!$D$2:$D$2000,AO$1,Sets!$J$2:$J$2000,"N"))</f>
        <v/>
      </c>
      <c r="AP14">
        <f>IF(_xlfn.MAXIFS(Sets!$H$2:$H$2000,Sets!$A$2:$A$2000,$A14,Sets!$D$2:$D$2000,AP$1,Sets!$J$2:$J$2000,"N")=0,"",_xlfn.MAXIFS(Sets!$H$2:$H$2000,Sets!$A$2:$A$2000,$A14,Sets!$D$2:$D$2000,AP$1,Sets!$J$2:$J$2000,"N"))</f>
        <v/>
      </c>
    </row>
    <row r="15" ht="15" customHeight="1" s="22">
      <c r="A15" s="39" t="n">
        <v>46073</v>
      </c>
      <c r="B15" s="26">
        <f>IF(_xlfn.MAXIFS(Sets!$H$2:$H$2000,Sets!$A$2:$A$2000,$A15,Sets!$D$2:$D$2000,B$1,Sets!$J$2:$J$2000,"N")=0,"",_xlfn.MAXIFS(Sets!$H$2:$H$2000,Sets!$A$2:$A$2000,$A15,Sets!$D$2:$D$2000,B$1,Sets!$J$2:$J$2000,"N"))</f>
        <v/>
      </c>
      <c r="C15" s="26">
        <f>IF(_xlfn.MAXIFS(Sets!$H$2:$H$2000,Sets!$A$2:$A$2000,$A15,Sets!$D$2:$D$2000,C$1,Sets!$J$2:$J$2000,"N")=0,"",_xlfn.MAXIFS(Sets!$H$2:$H$2000,Sets!$A$2:$A$2000,$A15,Sets!$D$2:$D$2000,C$1,Sets!$J$2:$J$2000,"N"))</f>
        <v/>
      </c>
      <c r="D15" s="26">
        <f>IF(_xlfn.MAXIFS(Sets!$H$2:$H$2000,Sets!$A$2:$A$2000,$A15,Sets!$D$2:$D$2000,D$1,Sets!$J$2:$J$2000,"N")=0,"",_xlfn.MAXIFS(Sets!$H$2:$H$2000,Sets!$A$2:$A$2000,$A15,Sets!$D$2:$D$2000,D$1,Sets!$J$2:$J$2000,"N"))</f>
        <v/>
      </c>
      <c r="E15" s="26">
        <f>IF(_xlfn.MAXIFS(Sets!$H$2:$H$2000,Sets!$A$2:$A$2000,$A15,Sets!$D$2:$D$2000,E$1,Sets!$J$2:$J$2000,"N")=0,"",_xlfn.MAXIFS(Sets!$H$2:$H$2000,Sets!$A$2:$A$2000,$A15,Sets!$D$2:$D$2000,E$1,Sets!$J$2:$J$2000,"N"))</f>
        <v/>
      </c>
      <c r="F15" s="26">
        <f>IF(_xlfn.MAXIFS(Sets!$H$2:$H$2000,Sets!$A$2:$A$2000,$A15,Sets!$D$2:$D$2000,F$1,Sets!$J$2:$J$2000,"N")=0,"",_xlfn.MAXIFS(Sets!$H$2:$H$2000,Sets!$A$2:$A$2000,$A15,Sets!$D$2:$D$2000,F$1,Sets!$J$2:$J$2000,"N"))</f>
        <v/>
      </c>
      <c r="G15" s="26">
        <f>IF(_xlfn.MAXIFS(Sets!$H$2:$H$2000,Sets!$A$2:$A$2000,$A15,Sets!$D$2:$D$2000,G$1,Sets!$J$2:$J$2000,"N")=0,"",_xlfn.MAXIFS(Sets!$H$2:$H$2000,Sets!$A$2:$A$2000,$A15,Sets!$D$2:$D$2000,G$1,Sets!$J$2:$J$2000,"N"))</f>
        <v/>
      </c>
      <c r="H15" s="26">
        <f>IF(_xlfn.MAXIFS(Sets!$H$2:$H$2000,Sets!$A$2:$A$2000,$A15,Sets!$D$2:$D$2000,H$1,Sets!$J$2:$J$2000,"N")=0,"",_xlfn.MAXIFS(Sets!$H$2:$H$2000,Sets!$A$2:$A$2000,$A15,Sets!$D$2:$D$2000,H$1,Sets!$J$2:$J$2000,"N"))</f>
        <v/>
      </c>
      <c r="I15" s="26">
        <f>IF(_xlfn.MAXIFS(Sets!$H$2:$H$2000,Sets!$A$2:$A$2000,$A15,Sets!$D$2:$D$2000,I$1,Sets!$J$2:$J$2000,"N")=0,"",_xlfn.MAXIFS(Sets!$H$2:$H$2000,Sets!$A$2:$A$2000,$A15,Sets!$D$2:$D$2000,I$1,Sets!$J$2:$J$2000,"N"))</f>
        <v/>
      </c>
      <c r="J15" s="26">
        <f>IF(_xlfn.MAXIFS(Sets!$H$2:$H$2000,Sets!$A$2:$A$2000,$A15,Sets!$D$2:$D$2000,J$1,Sets!$J$2:$J$2000,"N")=0,"",_xlfn.MAXIFS(Sets!$H$2:$H$2000,Sets!$A$2:$A$2000,$A15,Sets!$D$2:$D$2000,J$1,Sets!$J$2:$J$2000,"N"))</f>
        <v/>
      </c>
      <c r="K15" s="26">
        <f>IF(_xlfn.MAXIFS(Sets!$H$2:$H$2000,Sets!$A$2:$A$2000,$A15,Sets!$D$2:$D$2000,K$1,Sets!$J$2:$J$2000,"N")=0,"",_xlfn.MAXIFS(Sets!$H$2:$H$2000,Sets!$A$2:$A$2000,$A15,Sets!$D$2:$D$2000,K$1,Sets!$J$2:$J$2000,"N"))</f>
        <v/>
      </c>
      <c r="L15" s="26">
        <f>IF(_xlfn.MAXIFS(Sets!$H$2:$H$2000,Sets!$A$2:$A$2000,$A15,Sets!$D$2:$D$2000,L$1,Sets!$J$2:$J$2000,"N")=0,"",_xlfn.MAXIFS(Sets!$H$2:$H$2000,Sets!$A$2:$A$2000,$A15,Sets!$D$2:$D$2000,L$1,Sets!$J$2:$J$2000,"N"))</f>
        <v/>
      </c>
      <c r="M15" s="26">
        <f>IF(_xlfn.MAXIFS(Sets!$H$2:$H$2000,Sets!$A$2:$A$2000,$A15,Sets!$D$2:$D$2000,M$1,Sets!$J$2:$J$2000,"N")=0,"",_xlfn.MAXIFS(Sets!$H$2:$H$2000,Sets!$A$2:$A$2000,$A15,Sets!$D$2:$D$2000,M$1,Sets!$J$2:$J$2000,"N"))</f>
        <v/>
      </c>
      <c r="N15" s="26">
        <f>IF(_xlfn.MAXIFS(Sets!$H$2:$H$2000,Sets!$A$2:$A$2000,$A15,Sets!$D$2:$D$2000,N$1,Sets!$J$2:$J$2000,"N")=0,"",_xlfn.MAXIFS(Sets!$H$2:$H$2000,Sets!$A$2:$A$2000,$A15,Sets!$D$2:$D$2000,N$1,Sets!$J$2:$J$2000,"N"))</f>
        <v/>
      </c>
      <c r="O15" s="26">
        <f>IF(_xlfn.MAXIFS(Sets!$H$2:$H$2000,Sets!$A$2:$A$2000,$A15,Sets!$D$2:$D$2000,O$1,Sets!$J$2:$J$2000,"N")=0,"",_xlfn.MAXIFS(Sets!$H$2:$H$2000,Sets!$A$2:$A$2000,$A15,Sets!$D$2:$D$2000,O$1,Sets!$J$2:$J$2000,"N"))</f>
        <v/>
      </c>
      <c r="P15" s="26">
        <f>IF(_xlfn.MAXIFS(Sets!$H$2:$H$2000,Sets!$A$2:$A$2000,$A15,Sets!$D$2:$D$2000,P$1,Sets!$J$2:$J$2000,"N")=0,"",_xlfn.MAXIFS(Sets!$H$2:$H$2000,Sets!$A$2:$A$2000,$A15,Sets!$D$2:$D$2000,P$1,Sets!$J$2:$J$2000,"N"))</f>
        <v/>
      </c>
      <c r="Q15" s="26">
        <f>IF(_xlfn.MAXIFS(Sets!$H$2:$H$2000,Sets!$A$2:$A$2000,$A15,Sets!$D$2:$D$2000,Q$1,Sets!$J$2:$J$2000,"N")=0,"",_xlfn.MAXIFS(Sets!$H$2:$H$2000,Sets!$A$2:$A$2000,$A15,Sets!$D$2:$D$2000,Q$1,Sets!$J$2:$J$2000,"N"))</f>
        <v/>
      </c>
      <c r="R15" s="26">
        <f>IF(_xlfn.MAXIFS(Sets!$H$2:$H$2000,Sets!$A$2:$A$2000,$A15,Sets!$D$2:$D$2000,R$1,Sets!$J$2:$J$2000,"N")=0,"",_xlfn.MAXIFS(Sets!$H$2:$H$2000,Sets!$A$2:$A$2000,$A15,Sets!$D$2:$D$2000,R$1,Sets!$J$2:$J$2000,"N"))</f>
        <v/>
      </c>
      <c r="S15" s="26">
        <f>IF(_xlfn.MAXIFS(Sets!$H$2:$H$2000,Sets!$A$2:$A$2000,$A15,Sets!$D$2:$D$2000,S$1,Sets!$J$2:$J$2000,"N")=0,"",_xlfn.MAXIFS(Sets!$H$2:$H$2000,Sets!$A$2:$A$2000,$A15,Sets!$D$2:$D$2000,S$1,Sets!$J$2:$J$2000,"N"))</f>
        <v/>
      </c>
      <c r="T15" s="26">
        <f>IF(_xlfn.MAXIFS(Sets!$H$2:$H$2000,Sets!$A$2:$A$2000,$A15,Sets!$D$2:$D$2000,T$1,Sets!$J$2:$J$2000,"N")=0,"",_xlfn.MAXIFS(Sets!$H$2:$H$2000,Sets!$A$2:$A$2000,$A15,Sets!$D$2:$D$2000,T$1,Sets!$J$2:$J$2000,"N"))</f>
        <v/>
      </c>
      <c r="U15" s="26">
        <f>IF(_xlfn.MAXIFS(Sets!$H$2:$H$2000,Sets!$A$2:$A$2000,$A15,Sets!$D$2:$D$2000,U$1,Sets!$J$2:$J$2000,"N")=0,"",_xlfn.MAXIFS(Sets!$H$2:$H$2000,Sets!$A$2:$A$2000,$A15,Sets!$D$2:$D$2000,U$1,Sets!$J$2:$J$2000,"N"))</f>
        <v/>
      </c>
      <c r="V15" s="26">
        <f>IF(_xlfn.MAXIFS(Sets!$H$2:$H$2000,Sets!$A$2:$A$2000,$A15,Sets!$D$2:$D$2000,V$1,Sets!$J$2:$J$2000,"N")=0,"",_xlfn.MAXIFS(Sets!$H$2:$H$2000,Sets!$A$2:$A$2000,$A15,Sets!$D$2:$D$2000,V$1,Sets!$J$2:$J$2000,"N"))</f>
        <v/>
      </c>
      <c r="W15" s="26">
        <f>IF(_xlfn.MAXIFS(Sets!$H$2:$H$2000,Sets!$A$2:$A$2000,$A15,Sets!$D$2:$D$2000,W$1,Sets!$J$2:$J$2000,"N")=0,"",_xlfn.MAXIFS(Sets!$H$2:$H$2000,Sets!$A$2:$A$2000,$A15,Sets!$D$2:$D$2000,W$1,Sets!$J$2:$J$2000,"N"))</f>
        <v/>
      </c>
      <c r="X15" s="26">
        <f>IF(_xlfn.MAXIFS(Sets!$H$2:$H$2000,Sets!$A$2:$A$2000,$A15,Sets!$D$2:$D$2000,X$1,Sets!$J$2:$J$2000,"N")=0,"",_xlfn.MAXIFS(Sets!$H$2:$H$2000,Sets!$A$2:$A$2000,$A15,Sets!$D$2:$D$2000,X$1,Sets!$J$2:$J$2000,"N"))</f>
        <v/>
      </c>
      <c r="Y15" s="26">
        <f>IF(_xlfn.MAXIFS(Sets!$H$2:$H$2000,Sets!$A$2:$A$2000,$A15,Sets!$D$2:$D$2000,Y$1,Sets!$J$2:$J$2000,"N")=0,"",_xlfn.MAXIFS(Sets!$H$2:$H$2000,Sets!$A$2:$A$2000,$A15,Sets!$D$2:$D$2000,Y$1,Sets!$J$2:$J$2000,"N"))</f>
        <v/>
      </c>
      <c r="Z15" s="26">
        <f>IF(_xlfn.MAXIFS(Sets!$H$2:$H$2000,Sets!$A$2:$A$2000,$A15,Sets!$D$2:$D$2000,Z$1,Sets!$J$2:$J$2000,"N")=0,"",_xlfn.MAXIFS(Sets!$H$2:$H$2000,Sets!$A$2:$A$2000,$A15,Sets!$D$2:$D$2000,Z$1,Sets!$J$2:$J$2000,"N"))</f>
        <v/>
      </c>
      <c r="AA15" s="26">
        <f>IF(_xlfn.MAXIFS(Sets!$H$2:$H$2000,Sets!$A$2:$A$2000,$A15,Sets!$D$2:$D$2000,AA$1,Sets!$J$2:$J$2000,"N")=0,"",_xlfn.MAXIFS(Sets!$H$2:$H$2000,Sets!$A$2:$A$2000,$A15,Sets!$D$2:$D$2000,AA$1,Sets!$J$2:$J$2000,"N"))</f>
        <v/>
      </c>
      <c r="AB15" s="26">
        <f>IF(_xlfn.MAXIFS(Sets!$H$2:$H$2000,Sets!$A$2:$A$2000,$A15,Sets!$D$2:$D$2000,AB$1,Sets!$J$2:$J$2000,"N")=0,"",_xlfn.MAXIFS(Sets!$H$2:$H$2000,Sets!$A$2:$A$2000,$A15,Sets!$D$2:$D$2000,AB$1,Sets!$J$2:$J$2000,"N"))</f>
        <v/>
      </c>
      <c r="AC15" s="26">
        <f>IF(_xlfn.MAXIFS(Sets!$H$2:$H$2000,Sets!$A$2:$A$2000,$A15,Sets!$D$2:$D$2000,AC$1,Sets!$J$2:$J$2000,"N")=0,"",_xlfn.MAXIFS(Sets!$H$2:$H$2000,Sets!$A$2:$A$2000,$A15,Sets!$D$2:$D$2000,AC$1,Sets!$J$2:$J$2000,"N"))</f>
        <v/>
      </c>
      <c r="AD15" s="26">
        <f>IF(_xlfn.MAXIFS(Sets!$H$2:$H$2000,Sets!$A$2:$A$2000,$A15,Sets!$D$2:$D$2000,AD$1,Sets!$J$2:$J$2000,"N")=0,"",_xlfn.MAXIFS(Sets!$H$2:$H$2000,Sets!$A$2:$A$2000,$A15,Sets!$D$2:$D$2000,AD$1,Sets!$J$2:$J$2000,"N"))</f>
        <v/>
      </c>
      <c r="AE15" s="26">
        <f>IF(_xlfn.MAXIFS(Sets!$H$2:$H$2000,Sets!$A$2:$A$2000,$A15,Sets!$D$2:$D$2000,AE$1,Sets!$J$2:$J$2000,"N")=0,"",_xlfn.MAXIFS(Sets!$H$2:$H$2000,Sets!$A$2:$A$2000,$A15,Sets!$D$2:$D$2000,AE$1,Sets!$J$2:$J$2000,"N"))</f>
        <v/>
      </c>
      <c r="AF15" s="26">
        <f>IF(_xlfn.MAXIFS(Sets!$H$2:$H$2000,Sets!$A$2:$A$2000,$A15,Sets!$D$2:$D$2000,AF$1,Sets!$J$2:$J$2000,"N")=0,"",_xlfn.MAXIFS(Sets!$H$2:$H$2000,Sets!$A$2:$A$2000,$A15,Sets!$D$2:$D$2000,AF$1,Sets!$J$2:$J$2000,"N"))</f>
        <v/>
      </c>
      <c r="AG15" s="26">
        <f>IF(_xlfn.MAXIFS(Sets!$H$2:$H$2000,Sets!$A$2:$A$2000,$A15,Sets!$D$2:$D$2000,AG$1,Sets!$J$2:$J$2000,"N")=0,"",_xlfn.MAXIFS(Sets!$H$2:$H$2000,Sets!$A$2:$A$2000,$A15,Sets!$D$2:$D$2000,AG$1,Sets!$J$2:$J$2000,"N"))</f>
        <v/>
      </c>
      <c r="AH15" s="26">
        <f>IF(_xlfn.MAXIFS(Sets!$H$2:$H$2000,Sets!$A$2:$A$2000,$A15,Sets!$D$2:$D$2000,AH$1,Sets!$J$2:$J$2000,"N")=0,"",_xlfn.MAXIFS(Sets!$H$2:$H$2000,Sets!$A$2:$A$2000,$A15,Sets!$D$2:$D$2000,AH$1,Sets!$J$2:$J$2000,"N"))</f>
        <v/>
      </c>
      <c r="AI15">
        <f>IF(_xlfn.MAXIFS(Sets!$H$2:$H$2000,Sets!$A$2:$A$2000,$A15,Sets!$D$2:$D$2000,AI$1,Sets!$J$2:$J$2000,"N")=0,"",_xlfn.MAXIFS(Sets!$H$2:$H$2000,Sets!$A$2:$A$2000,$A15,Sets!$D$2:$D$2000,AI$1,Sets!$J$2:$J$2000,"N"))</f>
        <v/>
      </c>
      <c r="AJ15">
        <f>IF(_xlfn.MAXIFS(Sets!$H$2:$H$2000,Sets!$A$2:$A$2000,$A15,Sets!$D$2:$D$2000,AJ$1,Sets!$J$2:$J$2000,"N")=0,"",_xlfn.MAXIFS(Sets!$H$2:$H$2000,Sets!$A$2:$A$2000,$A15,Sets!$D$2:$D$2000,AJ$1,Sets!$J$2:$J$2000,"N"))</f>
        <v/>
      </c>
      <c r="AK15">
        <f>IF(_xlfn.MAXIFS(Sets!$H$2:$H$2000,Sets!$A$2:$A$2000,$A15,Sets!$D$2:$D$2000,AK$1,Sets!$J$2:$J$2000,"N")=0,"",_xlfn.MAXIFS(Sets!$H$2:$H$2000,Sets!$A$2:$A$2000,$A15,Sets!$D$2:$D$2000,AK$1,Sets!$J$2:$J$2000,"N"))</f>
        <v/>
      </c>
      <c r="AL15">
        <f>IF(_xlfn.MAXIFS(Sets!$H$2:$H$2000,Sets!$A$2:$A$2000,$A15,Sets!$D$2:$D$2000,AL$1,Sets!$J$2:$J$2000,"N")=0,"",_xlfn.MAXIFS(Sets!$H$2:$H$2000,Sets!$A$2:$A$2000,$A15,Sets!$D$2:$D$2000,AL$1,Sets!$J$2:$J$2000,"N"))</f>
        <v/>
      </c>
      <c r="AM15">
        <f>IF(_xlfn.MAXIFS(Sets!$H$2:$H$2000,Sets!$A$2:$A$2000,$A15,Sets!$D$2:$D$2000,AM$1,Sets!$J$2:$J$2000,"N")=0,"",_xlfn.MAXIFS(Sets!$H$2:$H$2000,Sets!$A$2:$A$2000,$A15,Sets!$D$2:$D$2000,AM$1,Sets!$J$2:$J$2000,"N"))</f>
        <v/>
      </c>
      <c r="AN15">
        <f>IF(_xlfn.MAXIFS(Sets!$H$2:$H$2000,Sets!$A$2:$A$2000,$A15,Sets!$D$2:$D$2000,AN$1,Sets!$J$2:$J$2000,"N")=0,"",_xlfn.MAXIFS(Sets!$H$2:$H$2000,Sets!$A$2:$A$2000,$A15,Sets!$D$2:$D$2000,AN$1,Sets!$J$2:$J$2000,"N"))</f>
        <v/>
      </c>
      <c r="AO15">
        <f>IF(_xlfn.MAXIFS(Sets!$H$2:$H$2000,Sets!$A$2:$A$2000,$A15,Sets!$D$2:$D$2000,AO$1,Sets!$J$2:$J$2000,"N")=0,"",_xlfn.MAXIFS(Sets!$H$2:$H$2000,Sets!$A$2:$A$2000,$A15,Sets!$D$2:$D$2000,AO$1,Sets!$J$2:$J$2000,"N"))</f>
        <v/>
      </c>
      <c r="AP15">
        <f>IF(_xlfn.MAXIFS(Sets!$H$2:$H$2000,Sets!$A$2:$A$2000,$A15,Sets!$D$2:$D$2000,AP$1,Sets!$J$2:$J$2000,"N")=0,"",_xlfn.MAXIFS(Sets!$H$2:$H$2000,Sets!$A$2:$A$2000,$A15,Sets!$D$2:$D$2000,AP$1,Sets!$J$2:$J$2000,"N"))</f>
        <v/>
      </c>
    </row>
    <row r="16" ht="15" customHeight="1" s="22">
      <c r="A16" s="39" t="n">
        <v>46074</v>
      </c>
      <c r="B16" s="26">
        <f>IF(_xlfn.MAXIFS(Sets!$H$2:$H$2000,Sets!$A$2:$A$2000,$A16,Sets!$D$2:$D$2000,B$1,Sets!$J$2:$J$2000,"N")=0,"",_xlfn.MAXIFS(Sets!$H$2:$H$2000,Sets!$A$2:$A$2000,$A16,Sets!$D$2:$D$2000,B$1,Sets!$J$2:$J$2000,"N"))</f>
        <v/>
      </c>
      <c r="C16" s="26">
        <f>IF(_xlfn.MAXIFS(Sets!$H$2:$H$2000,Sets!$A$2:$A$2000,$A16,Sets!$D$2:$D$2000,C$1,Sets!$J$2:$J$2000,"N")=0,"",_xlfn.MAXIFS(Sets!$H$2:$H$2000,Sets!$A$2:$A$2000,$A16,Sets!$D$2:$D$2000,C$1,Sets!$J$2:$J$2000,"N"))</f>
        <v/>
      </c>
      <c r="D16" s="26">
        <f>IF(_xlfn.MAXIFS(Sets!$H$2:$H$2000,Sets!$A$2:$A$2000,$A16,Sets!$D$2:$D$2000,D$1,Sets!$J$2:$J$2000,"N")=0,"",_xlfn.MAXIFS(Sets!$H$2:$H$2000,Sets!$A$2:$A$2000,$A16,Sets!$D$2:$D$2000,D$1,Sets!$J$2:$J$2000,"N"))</f>
        <v/>
      </c>
      <c r="E16" s="26">
        <f>IF(_xlfn.MAXIFS(Sets!$H$2:$H$2000,Sets!$A$2:$A$2000,$A16,Sets!$D$2:$D$2000,E$1,Sets!$J$2:$J$2000,"N")=0,"",_xlfn.MAXIFS(Sets!$H$2:$H$2000,Sets!$A$2:$A$2000,$A16,Sets!$D$2:$D$2000,E$1,Sets!$J$2:$J$2000,"N"))</f>
        <v/>
      </c>
      <c r="F16" s="26">
        <f>IF(_xlfn.MAXIFS(Sets!$H$2:$H$2000,Sets!$A$2:$A$2000,$A16,Sets!$D$2:$D$2000,F$1,Sets!$J$2:$J$2000,"N")=0,"",_xlfn.MAXIFS(Sets!$H$2:$H$2000,Sets!$A$2:$A$2000,$A16,Sets!$D$2:$D$2000,F$1,Sets!$J$2:$J$2000,"N"))</f>
        <v/>
      </c>
      <c r="G16" s="26">
        <f>IF(_xlfn.MAXIFS(Sets!$H$2:$H$2000,Sets!$A$2:$A$2000,$A16,Sets!$D$2:$D$2000,G$1,Sets!$J$2:$J$2000,"N")=0,"",_xlfn.MAXIFS(Sets!$H$2:$H$2000,Sets!$A$2:$A$2000,$A16,Sets!$D$2:$D$2000,G$1,Sets!$J$2:$J$2000,"N"))</f>
        <v/>
      </c>
      <c r="H16" s="26">
        <f>IF(_xlfn.MAXIFS(Sets!$H$2:$H$2000,Sets!$A$2:$A$2000,$A16,Sets!$D$2:$D$2000,H$1,Sets!$J$2:$J$2000,"N")=0,"",_xlfn.MAXIFS(Sets!$H$2:$H$2000,Sets!$A$2:$A$2000,$A16,Sets!$D$2:$D$2000,H$1,Sets!$J$2:$J$2000,"N"))</f>
        <v/>
      </c>
      <c r="I16" s="26">
        <f>IF(_xlfn.MAXIFS(Sets!$H$2:$H$2000,Sets!$A$2:$A$2000,$A16,Sets!$D$2:$D$2000,I$1,Sets!$J$2:$J$2000,"N")=0,"",_xlfn.MAXIFS(Sets!$H$2:$H$2000,Sets!$A$2:$A$2000,$A16,Sets!$D$2:$D$2000,I$1,Sets!$J$2:$J$2000,"N"))</f>
        <v/>
      </c>
      <c r="J16" s="26">
        <f>IF(_xlfn.MAXIFS(Sets!$H$2:$H$2000,Sets!$A$2:$A$2000,$A16,Sets!$D$2:$D$2000,J$1,Sets!$J$2:$J$2000,"N")=0,"",_xlfn.MAXIFS(Sets!$H$2:$H$2000,Sets!$A$2:$A$2000,$A16,Sets!$D$2:$D$2000,J$1,Sets!$J$2:$J$2000,"N"))</f>
        <v/>
      </c>
      <c r="K16" s="26">
        <f>IF(_xlfn.MAXIFS(Sets!$H$2:$H$2000,Sets!$A$2:$A$2000,$A16,Sets!$D$2:$D$2000,K$1,Sets!$J$2:$J$2000,"N")=0,"",_xlfn.MAXIFS(Sets!$H$2:$H$2000,Sets!$A$2:$A$2000,$A16,Sets!$D$2:$D$2000,K$1,Sets!$J$2:$J$2000,"N"))</f>
        <v/>
      </c>
      <c r="L16" s="26">
        <f>IF(_xlfn.MAXIFS(Sets!$H$2:$H$2000,Sets!$A$2:$A$2000,$A16,Sets!$D$2:$D$2000,L$1,Sets!$J$2:$J$2000,"N")=0,"",_xlfn.MAXIFS(Sets!$H$2:$H$2000,Sets!$A$2:$A$2000,$A16,Sets!$D$2:$D$2000,L$1,Sets!$J$2:$J$2000,"N"))</f>
        <v/>
      </c>
      <c r="M16" s="26">
        <f>IF(_xlfn.MAXIFS(Sets!$H$2:$H$2000,Sets!$A$2:$A$2000,$A16,Sets!$D$2:$D$2000,M$1,Sets!$J$2:$J$2000,"N")=0,"",_xlfn.MAXIFS(Sets!$H$2:$H$2000,Sets!$A$2:$A$2000,$A16,Sets!$D$2:$D$2000,M$1,Sets!$J$2:$J$2000,"N"))</f>
        <v/>
      </c>
      <c r="N16" s="26">
        <f>IF(_xlfn.MAXIFS(Sets!$H$2:$H$2000,Sets!$A$2:$A$2000,$A16,Sets!$D$2:$D$2000,N$1,Sets!$J$2:$J$2000,"N")=0,"",_xlfn.MAXIFS(Sets!$H$2:$H$2000,Sets!$A$2:$A$2000,$A16,Sets!$D$2:$D$2000,N$1,Sets!$J$2:$J$2000,"N"))</f>
        <v/>
      </c>
      <c r="O16" s="26">
        <f>IF(_xlfn.MAXIFS(Sets!$H$2:$H$2000,Sets!$A$2:$A$2000,$A16,Sets!$D$2:$D$2000,O$1,Sets!$J$2:$J$2000,"N")=0,"",_xlfn.MAXIFS(Sets!$H$2:$H$2000,Sets!$A$2:$A$2000,$A16,Sets!$D$2:$D$2000,O$1,Sets!$J$2:$J$2000,"N"))</f>
        <v/>
      </c>
      <c r="P16" s="26">
        <f>IF(_xlfn.MAXIFS(Sets!$H$2:$H$2000,Sets!$A$2:$A$2000,$A16,Sets!$D$2:$D$2000,P$1,Sets!$J$2:$J$2000,"N")=0,"",_xlfn.MAXIFS(Sets!$H$2:$H$2000,Sets!$A$2:$A$2000,$A16,Sets!$D$2:$D$2000,P$1,Sets!$J$2:$J$2000,"N"))</f>
        <v/>
      </c>
      <c r="Q16" s="26">
        <f>IF(_xlfn.MAXIFS(Sets!$H$2:$H$2000,Sets!$A$2:$A$2000,$A16,Sets!$D$2:$D$2000,Q$1,Sets!$J$2:$J$2000,"N")=0,"",_xlfn.MAXIFS(Sets!$H$2:$H$2000,Sets!$A$2:$A$2000,$A16,Sets!$D$2:$D$2000,Q$1,Sets!$J$2:$J$2000,"N"))</f>
        <v/>
      </c>
      <c r="R16" s="26">
        <f>IF(_xlfn.MAXIFS(Sets!$H$2:$H$2000,Sets!$A$2:$A$2000,$A16,Sets!$D$2:$D$2000,R$1,Sets!$J$2:$J$2000,"N")=0,"",_xlfn.MAXIFS(Sets!$H$2:$H$2000,Sets!$A$2:$A$2000,$A16,Sets!$D$2:$D$2000,R$1,Sets!$J$2:$J$2000,"N"))</f>
        <v/>
      </c>
      <c r="S16" s="26">
        <f>IF(_xlfn.MAXIFS(Sets!$H$2:$H$2000,Sets!$A$2:$A$2000,$A16,Sets!$D$2:$D$2000,S$1,Sets!$J$2:$J$2000,"N")=0,"",_xlfn.MAXIFS(Sets!$H$2:$H$2000,Sets!$A$2:$A$2000,$A16,Sets!$D$2:$D$2000,S$1,Sets!$J$2:$J$2000,"N"))</f>
        <v/>
      </c>
      <c r="T16" s="26">
        <f>IF(_xlfn.MAXIFS(Sets!$H$2:$H$2000,Sets!$A$2:$A$2000,$A16,Sets!$D$2:$D$2000,T$1,Sets!$J$2:$J$2000,"N")=0,"",_xlfn.MAXIFS(Sets!$H$2:$H$2000,Sets!$A$2:$A$2000,$A16,Sets!$D$2:$D$2000,T$1,Sets!$J$2:$J$2000,"N"))</f>
        <v/>
      </c>
      <c r="U16" s="26">
        <f>IF(_xlfn.MAXIFS(Sets!$H$2:$H$2000,Sets!$A$2:$A$2000,$A16,Sets!$D$2:$D$2000,U$1,Sets!$J$2:$J$2000,"N")=0,"",_xlfn.MAXIFS(Sets!$H$2:$H$2000,Sets!$A$2:$A$2000,$A16,Sets!$D$2:$D$2000,U$1,Sets!$J$2:$J$2000,"N"))</f>
        <v/>
      </c>
      <c r="V16" s="26">
        <f>IF(_xlfn.MAXIFS(Sets!$H$2:$H$2000,Sets!$A$2:$A$2000,$A16,Sets!$D$2:$D$2000,V$1,Sets!$J$2:$J$2000,"N")=0,"",_xlfn.MAXIFS(Sets!$H$2:$H$2000,Sets!$A$2:$A$2000,$A16,Sets!$D$2:$D$2000,V$1,Sets!$J$2:$J$2000,"N"))</f>
        <v/>
      </c>
      <c r="W16" s="26">
        <f>IF(_xlfn.MAXIFS(Sets!$H$2:$H$2000,Sets!$A$2:$A$2000,$A16,Sets!$D$2:$D$2000,W$1,Sets!$J$2:$J$2000,"N")=0,"",_xlfn.MAXIFS(Sets!$H$2:$H$2000,Sets!$A$2:$A$2000,$A16,Sets!$D$2:$D$2000,W$1,Sets!$J$2:$J$2000,"N"))</f>
        <v/>
      </c>
      <c r="X16" s="26">
        <f>IF(_xlfn.MAXIFS(Sets!$H$2:$H$2000,Sets!$A$2:$A$2000,$A16,Sets!$D$2:$D$2000,X$1,Sets!$J$2:$J$2000,"N")=0,"",_xlfn.MAXIFS(Sets!$H$2:$H$2000,Sets!$A$2:$A$2000,$A16,Sets!$D$2:$D$2000,X$1,Sets!$J$2:$J$2000,"N"))</f>
        <v/>
      </c>
      <c r="Y16" s="26">
        <f>IF(_xlfn.MAXIFS(Sets!$H$2:$H$2000,Sets!$A$2:$A$2000,$A16,Sets!$D$2:$D$2000,Y$1,Sets!$J$2:$J$2000,"N")=0,"",_xlfn.MAXIFS(Sets!$H$2:$H$2000,Sets!$A$2:$A$2000,$A16,Sets!$D$2:$D$2000,Y$1,Sets!$J$2:$J$2000,"N"))</f>
        <v/>
      </c>
      <c r="Z16" s="26">
        <f>IF(_xlfn.MAXIFS(Sets!$H$2:$H$2000,Sets!$A$2:$A$2000,$A16,Sets!$D$2:$D$2000,Z$1,Sets!$J$2:$J$2000,"N")=0,"",_xlfn.MAXIFS(Sets!$H$2:$H$2000,Sets!$A$2:$A$2000,$A16,Sets!$D$2:$D$2000,Z$1,Sets!$J$2:$J$2000,"N"))</f>
        <v/>
      </c>
      <c r="AA16" s="26">
        <f>IF(_xlfn.MAXIFS(Sets!$H$2:$H$2000,Sets!$A$2:$A$2000,$A16,Sets!$D$2:$D$2000,AA$1,Sets!$J$2:$J$2000,"N")=0,"",_xlfn.MAXIFS(Sets!$H$2:$H$2000,Sets!$A$2:$A$2000,$A16,Sets!$D$2:$D$2000,AA$1,Sets!$J$2:$J$2000,"N"))</f>
        <v/>
      </c>
      <c r="AB16" s="26">
        <f>IF(_xlfn.MAXIFS(Sets!$H$2:$H$2000,Sets!$A$2:$A$2000,$A16,Sets!$D$2:$D$2000,AB$1,Sets!$J$2:$J$2000,"N")=0,"",_xlfn.MAXIFS(Sets!$H$2:$H$2000,Sets!$A$2:$A$2000,$A16,Sets!$D$2:$D$2000,AB$1,Sets!$J$2:$J$2000,"N"))</f>
        <v/>
      </c>
      <c r="AC16" s="26">
        <f>IF(_xlfn.MAXIFS(Sets!$H$2:$H$2000,Sets!$A$2:$A$2000,$A16,Sets!$D$2:$D$2000,AC$1,Sets!$J$2:$J$2000,"N")=0,"",_xlfn.MAXIFS(Sets!$H$2:$H$2000,Sets!$A$2:$A$2000,$A16,Sets!$D$2:$D$2000,AC$1,Sets!$J$2:$J$2000,"N"))</f>
        <v/>
      </c>
      <c r="AD16" s="26">
        <f>IF(_xlfn.MAXIFS(Sets!$H$2:$H$2000,Sets!$A$2:$A$2000,$A16,Sets!$D$2:$D$2000,AD$1,Sets!$J$2:$J$2000,"N")=0,"",_xlfn.MAXIFS(Sets!$H$2:$H$2000,Sets!$A$2:$A$2000,$A16,Sets!$D$2:$D$2000,AD$1,Sets!$J$2:$J$2000,"N"))</f>
        <v/>
      </c>
      <c r="AE16" s="26">
        <f>IF(_xlfn.MAXIFS(Sets!$H$2:$H$2000,Sets!$A$2:$A$2000,$A16,Sets!$D$2:$D$2000,AE$1,Sets!$J$2:$J$2000,"N")=0,"",_xlfn.MAXIFS(Sets!$H$2:$H$2000,Sets!$A$2:$A$2000,$A16,Sets!$D$2:$D$2000,AE$1,Sets!$J$2:$J$2000,"N"))</f>
        <v/>
      </c>
      <c r="AF16" s="26">
        <f>IF(_xlfn.MAXIFS(Sets!$H$2:$H$2000,Sets!$A$2:$A$2000,$A16,Sets!$D$2:$D$2000,AF$1,Sets!$J$2:$J$2000,"N")=0,"",_xlfn.MAXIFS(Sets!$H$2:$H$2000,Sets!$A$2:$A$2000,$A16,Sets!$D$2:$D$2000,AF$1,Sets!$J$2:$J$2000,"N"))</f>
        <v/>
      </c>
      <c r="AG16" s="26">
        <f>IF(_xlfn.MAXIFS(Sets!$H$2:$H$2000,Sets!$A$2:$A$2000,$A16,Sets!$D$2:$D$2000,AG$1,Sets!$J$2:$J$2000,"N")=0,"",_xlfn.MAXIFS(Sets!$H$2:$H$2000,Sets!$A$2:$A$2000,$A16,Sets!$D$2:$D$2000,AG$1,Sets!$J$2:$J$2000,"N"))</f>
        <v/>
      </c>
      <c r="AH16" s="26">
        <f>IF(_xlfn.MAXIFS(Sets!$H$2:$H$2000,Sets!$A$2:$A$2000,$A16,Sets!$D$2:$D$2000,AH$1,Sets!$J$2:$J$2000,"N")=0,"",_xlfn.MAXIFS(Sets!$H$2:$H$2000,Sets!$A$2:$A$2000,$A16,Sets!$D$2:$D$2000,AH$1,Sets!$J$2:$J$2000,"N"))</f>
        <v/>
      </c>
      <c r="AI16">
        <f>IF(_xlfn.MAXIFS(Sets!$H$2:$H$2000,Sets!$A$2:$A$2000,$A16,Sets!$D$2:$D$2000,AI$1,Sets!$J$2:$J$2000,"N")=0,"",_xlfn.MAXIFS(Sets!$H$2:$H$2000,Sets!$A$2:$A$2000,$A16,Sets!$D$2:$D$2000,AI$1,Sets!$J$2:$J$2000,"N"))</f>
        <v/>
      </c>
      <c r="AJ16">
        <f>IF(_xlfn.MAXIFS(Sets!$H$2:$H$2000,Sets!$A$2:$A$2000,$A16,Sets!$D$2:$D$2000,AJ$1,Sets!$J$2:$J$2000,"N")=0,"",_xlfn.MAXIFS(Sets!$H$2:$H$2000,Sets!$A$2:$A$2000,$A16,Sets!$D$2:$D$2000,AJ$1,Sets!$J$2:$J$2000,"N"))</f>
        <v/>
      </c>
      <c r="AK16">
        <f>IF(_xlfn.MAXIFS(Sets!$H$2:$H$2000,Sets!$A$2:$A$2000,$A16,Sets!$D$2:$D$2000,AK$1,Sets!$J$2:$J$2000,"N")=0,"",_xlfn.MAXIFS(Sets!$H$2:$H$2000,Sets!$A$2:$A$2000,$A16,Sets!$D$2:$D$2000,AK$1,Sets!$J$2:$J$2000,"N"))</f>
        <v/>
      </c>
      <c r="AL16">
        <f>IF(_xlfn.MAXIFS(Sets!$H$2:$H$2000,Sets!$A$2:$A$2000,$A16,Sets!$D$2:$D$2000,AL$1,Sets!$J$2:$J$2000,"N")=0,"",_xlfn.MAXIFS(Sets!$H$2:$H$2000,Sets!$A$2:$A$2000,$A16,Sets!$D$2:$D$2000,AL$1,Sets!$J$2:$J$2000,"N"))</f>
        <v/>
      </c>
      <c r="AM16">
        <f>IF(_xlfn.MAXIFS(Sets!$H$2:$H$2000,Sets!$A$2:$A$2000,$A16,Sets!$D$2:$D$2000,AM$1,Sets!$J$2:$J$2000,"N")=0,"",_xlfn.MAXIFS(Sets!$H$2:$H$2000,Sets!$A$2:$A$2000,$A16,Sets!$D$2:$D$2000,AM$1,Sets!$J$2:$J$2000,"N"))</f>
        <v/>
      </c>
      <c r="AN16">
        <f>IF(_xlfn.MAXIFS(Sets!$H$2:$H$2000,Sets!$A$2:$A$2000,$A16,Sets!$D$2:$D$2000,AN$1,Sets!$J$2:$J$2000,"N")=0,"",_xlfn.MAXIFS(Sets!$H$2:$H$2000,Sets!$A$2:$A$2000,$A16,Sets!$D$2:$D$2000,AN$1,Sets!$J$2:$J$2000,"N"))</f>
        <v/>
      </c>
      <c r="AO16">
        <f>IF(_xlfn.MAXIFS(Sets!$H$2:$H$2000,Sets!$A$2:$A$2000,$A16,Sets!$D$2:$D$2000,AO$1,Sets!$J$2:$J$2000,"N")=0,"",_xlfn.MAXIFS(Sets!$H$2:$H$2000,Sets!$A$2:$A$2000,$A16,Sets!$D$2:$D$2000,AO$1,Sets!$J$2:$J$2000,"N"))</f>
        <v/>
      </c>
      <c r="AP16">
        <f>IF(_xlfn.MAXIFS(Sets!$H$2:$H$2000,Sets!$A$2:$A$2000,$A16,Sets!$D$2:$D$2000,AP$1,Sets!$J$2:$J$2000,"N")=0,"",_xlfn.MAXIFS(Sets!$H$2:$H$2000,Sets!$A$2:$A$2000,$A16,Sets!$D$2:$D$2000,AP$1,Sets!$J$2:$J$2000,"N"))</f>
        <v/>
      </c>
    </row>
    <row r="17" ht="15" customHeight="1" s="22">
      <c r="A17" s="39" t="n">
        <v>46075</v>
      </c>
      <c r="B17" s="26">
        <f>IF(_xlfn.MAXIFS(Sets!$H$2:$H$2000,Sets!$A$2:$A$2000,$A17,Sets!$D$2:$D$2000,B$1,Sets!$J$2:$J$2000,"N")=0,"",_xlfn.MAXIFS(Sets!$H$2:$H$2000,Sets!$A$2:$A$2000,$A17,Sets!$D$2:$D$2000,B$1,Sets!$J$2:$J$2000,"N"))</f>
        <v/>
      </c>
      <c r="C17" s="26">
        <f>IF(_xlfn.MAXIFS(Sets!$H$2:$H$2000,Sets!$A$2:$A$2000,$A17,Sets!$D$2:$D$2000,C$1,Sets!$J$2:$J$2000,"N")=0,"",_xlfn.MAXIFS(Sets!$H$2:$H$2000,Sets!$A$2:$A$2000,$A17,Sets!$D$2:$D$2000,C$1,Sets!$J$2:$J$2000,"N"))</f>
        <v/>
      </c>
      <c r="D17" s="26">
        <f>IF(_xlfn.MAXIFS(Sets!$H$2:$H$2000,Sets!$A$2:$A$2000,$A17,Sets!$D$2:$D$2000,D$1,Sets!$J$2:$J$2000,"N")=0,"",_xlfn.MAXIFS(Sets!$H$2:$H$2000,Sets!$A$2:$A$2000,$A17,Sets!$D$2:$D$2000,D$1,Sets!$J$2:$J$2000,"N"))</f>
        <v/>
      </c>
      <c r="E17" s="26">
        <f>IF(_xlfn.MAXIFS(Sets!$H$2:$H$2000,Sets!$A$2:$A$2000,$A17,Sets!$D$2:$D$2000,E$1,Sets!$J$2:$J$2000,"N")=0,"",_xlfn.MAXIFS(Sets!$H$2:$H$2000,Sets!$A$2:$A$2000,$A17,Sets!$D$2:$D$2000,E$1,Sets!$J$2:$J$2000,"N"))</f>
        <v/>
      </c>
      <c r="F17" s="26">
        <f>IF(_xlfn.MAXIFS(Sets!$H$2:$H$2000,Sets!$A$2:$A$2000,$A17,Sets!$D$2:$D$2000,F$1,Sets!$J$2:$J$2000,"N")=0,"",_xlfn.MAXIFS(Sets!$H$2:$H$2000,Sets!$A$2:$A$2000,$A17,Sets!$D$2:$D$2000,F$1,Sets!$J$2:$J$2000,"N"))</f>
        <v/>
      </c>
      <c r="G17" s="26">
        <f>IF(_xlfn.MAXIFS(Sets!$H$2:$H$2000,Sets!$A$2:$A$2000,$A17,Sets!$D$2:$D$2000,G$1,Sets!$J$2:$J$2000,"N")=0,"",_xlfn.MAXIFS(Sets!$H$2:$H$2000,Sets!$A$2:$A$2000,$A17,Sets!$D$2:$D$2000,G$1,Sets!$J$2:$J$2000,"N"))</f>
        <v/>
      </c>
      <c r="H17" s="26">
        <f>IF(_xlfn.MAXIFS(Sets!$H$2:$H$2000,Sets!$A$2:$A$2000,$A17,Sets!$D$2:$D$2000,H$1,Sets!$J$2:$J$2000,"N")=0,"",_xlfn.MAXIFS(Sets!$H$2:$H$2000,Sets!$A$2:$A$2000,$A17,Sets!$D$2:$D$2000,H$1,Sets!$J$2:$J$2000,"N"))</f>
        <v/>
      </c>
      <c r="I17" s="26">
        <f>IF(_xlfn.MAXIFS(Sets!$H$2:$H$2000,Sets!$A$2:$A$2000,$A17,Sets!$D$2:$D$2000,I$1,Sets!$J$2:$J$2000,"N")=0,"",_xlfn.MAXIFS(Sets!$H$2:$H$2000,Sets!$A$2:$A$2000,$A17,Sets!$D$2:$D$2000,I$1,Sets!$J$2:$J$2000,"N"))</f>
        <v/>
      </c>
      <c r="J17" s="26">
        <f>IF(_xlfn.MAXIFS(Sets!$H$2:$H$2000,Sets!$A$2:$A$2000,$A17,Sets!$D$2:$D$2000,J$1,Sets!$J$2:$J$2000,"N")=0,"",_xlfn.MAXIFS(Sets!$H$2:$H$2000,Sets!$A$2:$A$2000,$A17,Sets!$D$2:$D$2000,J$1,Sets!$J$2:$J$2000,"N"))</f>
        <v/>
      </c>
      <c r="K17" s="26">
        <f>IF(_xlfn.MAXIFS(Sets!$H$2:$H$2000,Sets!$A$2:$A$2000,$A17,Sets!$D$2:$D$2000,K$1,Sets!$J$2:$J$2000,"N")=0,"",_xlfn.MAXIFS(Sets!$H$2:$H$2000,Sets!$A$2:$A$2000,$A17,Sets!$D$2:$D$2000,K$1,Sets!$J$2:$J$2000,"N"))</f>
        <v/>
      </c>
      <c r="L17" s="26">
        <f>IF(_xlfn.MAXIFS(Sets!$H$2:$H$2000,Sets!$A$2:$A$2000,$A17,Sets!$D$2:$D$2000,L$1,Sets!$J$2:$J$2000,"N")=0,"",_xlfn.MAXIFS(Sets!$H$2:$H$2000,Sets!$A$2:$A$2000,$A17,Sets!$D$2:$D$2000,L$1,Sets!$J$2:$J$2000,"N"))</f>
        <v/>
      </c>
      <c r="M17" s="26">
        <f>IF(_xlfn.MAXIFS(Sets!$H$2:$H$2000,Sets!$A$2:$A$2000,$A17,Sets!$D$2:$D$2000,M$1,Sets!$J$2:$J$2000,"N")=0,"",_xlfn.MAXIFS(Sets!$H$2:$H$2000,Sets!$A$2:$A$2000,$A17,Sets!$D$2:$D$2000,M$1,Sets!$J$2:$J$2000,"N"))</f>
        <v/>
      </c>
      <c r="N17" s="26">
        <f>IF(_xlfn.MAXIFS(Sets!$H$2:$H$2000,Sets!$A$2:$A$2000,$A17,Sets!$D$2:$D$2000,N$1,Sets!$J$2:$J$2000,"N")=0,"",_xlfn.MAXIFS(Sets!$H$2:$H$2000,Sets!$A$2:$A$2000,$A17,Sets!$D$2:$D$2000,N$1,Sets!$J$2:$J$2000,"N"))</f>
        <v/>
      </c>
      <c r="O17" s="26">
        <f>IF(_xlfn.MAXIFS(Sets!$H$2:$H$2000,Sets!$A$2:$A$2000,$A17,Sets!$D$2:$D$2000,O$1,Sets!$J$2:$J$2000,"N")=0,"",_xlfn.MAXIFS(Sets!$H$2:$H$2000,Sets!$A$2:$A$2000,$A17,Sets!$D$2:$D$2000,O$1,Sets!$J$2:$J$2000,"N"))</f>
        <v/>
      </c>
      <c r="P17" s="26">
        <f>IF(_xlfn.MAXIFS(Sets!$H$2:$H$2000,Sets!$A$2:$A$2000,$A17,Sets!$D$2:$D$2000,P$1,Sets!$J$2:$J$2000,"N")=0,"",_xlfn.MAXIFS(Sets!$H$2:$H$2000,Sets!$A$2:$A$2000,$A17,Sets!$D$2:$D$2000,P$1,Sets!$J$2:$J$2000,"N"))</f>
        <v/>
      </c>
      <c r="Q17" s="26">
        <f>IF(_xlfn.MAXIFS(Sets!$H$2:$H$2000,Sets!$A$2:$A$2000,$A17,Sets!$D$2:$D$2000,Q$1,Sets!$J$2:$J$2000,"N")=0,"",_xlfn.MAXIFS(Sets!$H$2:$H$2000,Sets!$A$2:$A$2000,$A17,Sets!$D$2:$D$2000,Q$1,Sets!$J$2:$J$2000,"N"))</f>
        <v/>
      </c>
      <c r="R17" s="26">
        <f>IF(_xlfn.MAXIFS(Sets!$H$2:$H$2000,Sets!$A$2:$A$2000,$A17,Sets!$D$2:$D$2000,R$1,Sets!$J$2:$J$2000,"N")=0,"",_xlfn.MAXIFS(Sets!$H$2:$H$2000,Sets!$A$2:$A$2000,$A17,Sets!$D$2:$D$2000,R$1,Sets!$J$2:$J$2000,"N"))</f>
        <v/>
      </c>
      <c r="S17" s="26">
        <f>IF(_xlfn.MAXIFS(Sets!$H$2:$H$2000,Sets!$A$2:$A$2000,$A17,Sets!$D$2:$D$2000,S$1,Sets!$J$2:$J$2000,"N")=0,"",_xlfn.MAXIFS(Sets!$H$2:$H$2000,Sets!$A$2:$A$2000,$A17,Sets!$D$2:$D$2000,S$1,Sets!$J$2:$J$2000,"N"))</f>
        <v/>
      </c>
      <c r="T17" s="26">
        <f>IF(_xlfn.MAXIFS(Sets!$H$2:$H$2000,Sets!$A$2:$A$2000,$A17,Sets!$D$2:$D$2000,T$1,Sets!$J$2:$J$2000,"N")=0,"",_xlfn.MAXIFS(Sets!$H$2:$H$2000,Sets!$A$2:$A$2000,$A17,Sets!$D$2:$D$2000,T$1,Sets!$J$2:$J$2000,"N"))</f>
        <v/>
      </c>
      <c r="U17" s="26">
        <f>IF(_xlfn.MAXIFS(Sets!$H$2:$H$2000,Sets!$A$2:$A$2000,$A17,Sets!$D$2:$D$2000,U$1,Sets!$J$2:$J$2000,"N")=0,"",_xlfn.MAXIFS(Sets!$H$2:$H$2000,Sets!$A$2:$A$2000,$A17,Sets!$D$2:$D$2000,U$1,Sets!$J$2:$J$2000,"N"))</f>
        <v/>
      </c>
      <c r="V17" s="26">
        <f>IF(_xlfn.MAXIFS(Sets!$H$2:$H$2000,Sets!$A$2:$A$2000,$A17,Sets!$D$2:$D$2000,V$1,Sets!$J$2:$J$2000,"N")=0,"",_xlfn.MAXIFS(Sets!$H$2:$H$2000,Sets!$A$2:$A$2000,$A17,Sets!$D$2:$D$2000,V$1,Sets!$J$2:$J$2000,"N"))</f>
        <v/>
      </c>
      <c r="W17" s="26">
        <f>IF(_xlfn.MAXIFS(Sets!$H$2:$H$2000,Sets!$A$2:$A$2000,$A17,Sets!$D$2:$D$2000,W$1,Sets!$J$2:$J$2000,"N")=0,"",_xlfn.MAXIFS(Sets!$H$2:$H$2000,Sets!$A$2:$A$2000,$A17,Sets!$D$2:$D$2000,W$1,Sets!$J$2:$J$2000,"N"))</f>
        <v/>
      </c>
      <c r="X17" s="26">
        <f>IF(_xlfn.MAXIFS(Sets!$H$2:$H$2000,Sets!$A$2:$A$2000,$A17,Sets!$D$2:$D$2000,X$1,Sets!$J$2:$J$2000,"N")=0,"",_xlfn.MAXIFS(Sets!$H$2:$H$2000,Sets!$A$2:$A$2000,$A17,Sets!$D$2:$D$2000,X$1,Sets!$J$2:$J$2000,"N"))</f>
        <v/>
      </c>
      <c r="Y17" s="26">
        <f>IF(_xlfn.MAXIFS(Sets!$H$2:$H$2000,Sets!$A$2:$A$2000,$A17,Sets!$D$2:$D$2000,Y$1,Sets!$J$2:$J$2000,"N")=0,"",_xlfn.MAXIFS(Sets!$H$2:$H$2000,Sets!$A$2:$A$2000,$A17,Sets!$D$2:$D$2000,Y$1,Sets!$J$2:$J$2000,"N"))</f>
        <v/>
      </c>
      <c r="Z17" s="26">
        <f>IF(_xlfn.MAXIFS(Sets!$H$2:$H$2000,Sets!$A$2:$A$2000,$A17,Sets!$D$2:$D$2000,Z$1,Sets!$J$2:$J$2000,"N")=0,"",_xlfn.MAXIFS(Sets!$H$2:$H$2000,Sets!$A$2:$A$2000,$A17,Sets!$D$2:$D$2000,Z$1,Sets!$J$2:$J$2000,"N"))</f>
        <v/>
      </c>
      <c r="AA17" s="26">
        <f>IF(_xlfn.MAXIFS(Sets!$H$2:$H$2000,Sets!$A$2:$A$2000,$A17,Sets!$D$2:$D$2000,AA$1,Sets!$J$2:$J$2000,"N")=0,"",_xlfn.MAXIFS(Sets!$H$2:$H$2000,Sets!$A$2:$A$2000,$A17,Sets!$D$2:$D$2000,AA$1,Sets!$J$2:$J$2000,"N"))</f>
        <v/>
      </c>
      <c r="AB17" s="26">
        <f>IF(_xlfn.MAXIFS(Sets!$H$2:$H$2000,Sets!$A$2:$A$2000,$A17,Sets!$D$2:$D$2000,AB$1,Sets!$J$2:$J$2000,"N")=0,"",_xlfn.MAXIFS(Sets!$H$2:$H$2000,Sets!$A$2:$A$2000,$A17,Sets!$D$2:$D$2000,AB$1,Sets!$J$2:$J$2000,"N"))</f>
        <v/>
      </c>
      <c r="AC17" s="26">
        <f>IF(_xlfn.MAXIFS(Sets!$H$2:$H$2000,Sets!$A$2:$A$2000,$A17,Sets!$D$2:$D$2000,AC$1,Sets!$J$2:$J$2000,"N")=0,"",_xlfn.MAXIFS(Sets!$H$2:$H$2000,Sets!$A$2:$A$2000,$A17,Sets!$D$2:$D$2000,AC$1,Sets!$J$2:$J$2000,"N"))</f>
        <v/>
      </c>
      <c r="AD17" s="26">
        <f>IF(_xlfn.MAXIFS(Sets!$H$2:$H$2000,Sets!$A$2:$A$2000,$A17,Sets!$D$2:$D$2000,AD$1,Sets!$J$2:$J$2000,"N")=0,"",_xlfn.MAXIFS(Sets!$H$2:$H$2000,Sets!$A$2:$A$2000,$A17,Sets!$D$2:$D$2000,AD$1,Sets!$J$2:$J$2000,"N"))</f>
        <v/>
      </c>
      <c r="AE17" s="26">
        <f>IF(_xlfn.MAXIFS(Sets!$H$2:$H$2000,Sets!$A$2:$A$2000,$A17,Sets!$D$2:$D$2000,AE$1,Sets!$J$2:$J$2000,"N")=0,"",_xlfn.MAXIFS(Sets!$H$2:$H$2000,Sets!$A$2:$A$2000,$A17,Sets!$D$2:$D$2000,AE$1,Sets!$J$2:$J$2000,"N"))</f>
        <v/>
      </c>
      <c r="AF17" s="26">
        <f>IF(_xlfn.MAXIFS(Sets!$H$2:$H$2000,Sets!$A$2:$A$2000,$A17,Sets!$D$2:$D$2000,AF$1,Sets!$J$2:$J$2000,"N")=0,"",_xlfn.MAXIFS(Sets!$H$2:$H$2000,Sets!$A$2:$A$2000,$A17,Sets!$D$2:$D$2000,AF$1,Sets!$J$2:$J$2000,"N"))</f>
        <v/>
      </c>
      <c r="AG17" s="26">
        <f>IF(_xlfn.MAXIFS(Sets!$H$2:$H$2000,Sets!$A$2:$A$2000,$A17,Sets!$D$2:$D$2000,AG$1,Sets!$J$2:$J$2000,"N")=0,"",_xlfn.MAXIFS(Sets!$H$2:$H$2000,Sets!$A$2:$A$2000,$A17,Sets!$D$2:$D$2000,AG$1,Sets!$J$2:$J$2000,"N"))</f>
        <v/>
      </c>
      <c r="AH17" s="26">
        <f>IF(_xlfn.MAXIFS(Sets!$H$2:$H$2000,Sets!$A$2:$A$2000,$A17,Sets!$D$2:$D$2000,AH$1,Sets!$J$2:$J$2000,"N")=0,"",_xlfn.MAXIFS(Sets!$H$2:$H$2000,Sets!$A$2:$A$2000,$A17,Sets!$D$2:$D$2000,AH$1,Sets!$J$2:$J$2000,"N"))</f>
        <v/>
      </c>
      <c r="AI17">
        <f>IF(_xlfn.MAXIFS(Sets!$H$2:$H$2000,Sets!$A$2:$A$2000,$A17,Sets!$D$2:$D$2000,AI$1,Sets!$J$2:$J$2000,"N")=0,"",_xlfn.MAXIFS(Sets!$H$2:$H$2000,Sets!$A$2:$A$2000,$A17,Sets!$D$2:$D$2000,AI$1,Sets!$J$2:$J$2000,"N"))</f>
        <v/>
      </c>
      <c r="AJ17">
        <f>IF(_xlfn.MAXIFS(Sets!$H$2:$H$2000,Sets!$A$2:$A$2000,$A17,Sets!$D$2:$D$2000,AJ$1,Sets!$J$2:$J$2000,"N")=0,"",_xlfn.MAXIFS(Sets!$H$2:$H$2000,Sets!$A$2:$A$2000,$A17,Sets!$D$2:$D$2000,AJ$1,Sets!$J$2:$J$2000,"N"))</f>
        <v/>
      </c>
      <c r="AK17">
        <f>IF(_xlfn.MAXIFS(Sets!$H$2:$H$2000,Sets!$A$2:$A$2000,$A17,Sets!$D$2:$D$2000,AK$1,Sets!$J$2:$J$2000,"N")=0,"",_xlfn.MAXIFS(Sets!$H$2:$H$2000,Sets!$A$2:$A$2000,$A17,Sets!$D$2:$D$2000,AK$1,Sets!$J$2:$J$2000,"N"))</f>
        <v/>
      </c>
      <c r="AL17">
        <f>IF(_xlfn.MAXIFS(Sets!$H$2:$H$2000,Sets!$A$2:$A$2000,$A17,Sets!$D$2:$D$2000,AL$1,Sets!$J$2:$J$2000,"N")=0,"",_xlfn.MAXIFS(Sets!$H$2:$H$2000,Sets!$A$2:$A$2000,$A17,Sets!$D$2:$D$2000,AL$1,Sets!$J$2:$J$2000,"N"))</f>
        <v/>
      </c>
      <c r="AM17">
        <f>IF(_xlfn.MAXIFS(Sets!$H$2:$H$2000,Sets!$A$2:$A$2000,$A17,Sets!$D$2:$D$2000,AM$1,Sets!$J$2:$J$2000,"N")=0,"",_xlfn.MAXIFS(Sets!$H$2:$H$2000,Sets!$A$2:$A$2000,$A17,Sets!$D$2:$D$2000,AM$1,Sets!$J$2:$J$2000,"N"))</f>
        <v/>
      </c>
      <c r="AN17">
        <f>IF(_xlfn.MAXIFS(Sets!$H$2:$H$2000,Sets!$A$2:$A$2000,$A17,Sets!$D$2:$D$2000,AN$1,Sets!$J$2:$J$2000,"N")=0,"",_xlfn.MAXIFS(Sets!$H$2:$H$2000,Sets!$A$2:$A$2000,$A17,Sets!$D$2:$D$2000,AN$1,Sets!$J$2:$J$2000,"N"))</f>
        <v/>
      </c>
      <c r="AO17">
        <f>IF(_xlfn.MAXIFS(Sets!$H$2:$H$2000,Sets!$A$2:$A$2000,$A17,Sets!$D$2:$D$2000,AO$1,Sets!$J$2:$J$2000,"N")=0,"",_xlfn.MAXIFS(Sets!$H$2:$H$2000,Sets!$A$2:$A$2000,$A17,Sets!$D$2:$D$2000,AO$1,Sets!$J$2:$J$2000,"N"))</f>
        <v/>
      </c>
      <c r="AP17">
        <f>IF(_xlfn.MAXIFS(Sets!$H$2:$H$2000,Sets!$A$2:$A$2000,$A17,Sets!$D$2:$D$2000,AP$1,Sets!$J$2:$J$2000,"N")=0,"",_xlfn.MAXIFS(Sets!$H$2:$H$2000,Sets!$A$2:$A$2000,$A17,Sets!$D$2:$D$2000,AP$1,Sets!$J$2:$J$2000,"N"))</f>
        <v/>
      </c>
    </row>
    <row r="18" ht="15" customHeight="1" s="22">
      <c r="A18" s="39" t="n">
        <v>46080</v>
      </c>
      <c r="B18" s="26">
        <f>IF(_xlfn.MAXIFS(Sets!$H$2:$H$2000,Sets!$A$2:$A$2000,$A18,Sets!$D$2:$D$2000,B$1,Sets!$J$2:$J$2000,"N")=0,"",_xlfn.MAXIFS(Sets!$H$2:$H$2000,Sets!$A$2:$A$2000,$A18,Sets!$D$2:$D$2000,B$1,Sets!$J$2:$J$2000,"N"))</f>
        <v/>
      </c>
      <c r="C18" s="26">
        <f>IF(_xlfn.MAXIFS(Sets!$H$2:$H$2000,Sets!$A$2:$A$2000,$A18,Sets!$D$2:$D$2000,C$1,Sets!$J$2:$J$2000,"N")=0,"",_xlfn.MAXIFS(Sets!$H$2:$H$2000,Sets!$A$2:$A$2000,$A18,Sets!$D$2:$D$2000,C$1,Sets!$J$2:$J$2000,"N"))</f>
        <v/>
      </c>
      <c r="D18" s="26">
        <f>IF(_xlfn.MAXIFS(Sets!$H$2:$H$2000,Sets!$A$2:$A$2000,$A18,Sets!$D$2:$D$2000,D$1,Sets!$J$2:$J$2000,"N")=0,"",_xlfn.MAXIFS(Sets!$H$2:$H$2000,Sets!$A$2:$A$2000,$A18,Sets!$D$2:$D$2000,D$1,Sets!$J$2:$J$2000,"N"))</f>
        <v/>
      </c>
      <c r="E18" s="26">
        <f>IF(_xlfn.MAXIFS(Sets!$H$2:$H$2000,Sets!$A$2:$A$2000,$A18,Sets!$D$2:$D$2000,E$1,Sets!$J$2:$J$2000,"N")=0,"",_xlfn.MAXIFS(Sets!$H$2:$H$2000,Sets!$A$2:$A$2000,$A18,Sets!$D$2:$D$2000,E$1,Sets!$J$2:$J$2000,"N"))</f>
        <v/>
      </c>
      <c r="F18" s="26">
        <f>IF(_xlfn.MAXIFS(Sets!$H$2:$H$2000,Sets!$A$2:$A$2000,$A18,Sets!$D$2:$D$2000,F$1,Sets!$J$2:$J$2000,"N")=0,"",_xlfn.MAXIFS(Sets!$H$2:$H$2000,Sets!$A$2:$A$2000,$A18,Sets!$D$2:$D$2000,F$1,Sets!$J$2:$J$2000,"N"))</f>
        <v/>
      </c>
      <c r="G18" s="26">
        <f>IF(_xlfn.MAXIFS(Sets!$H$2:$H$2000,Sets!$A$2:$A$2000,$A18,Sets!$D$2:$D$2000,G$1,Sets!$J$2:$J$2000,"N")=0,"",_xlfn.MAXIFS(Sets!$H$2:$H$2000,Sets!$A$2:$A$2000,$A18,Sets!$D$2:$D$2000,G$1,Sets!$J$2:$J$2000,"N"))</f>
        <v/>
      </c>
      <c r="H18" s="26">
        <f>IF(_xlfn.MAXIFS(Sets!$H$2:$H$2000,Sets!$A$2:$A$2000,$A18,Sets!$D$2:$D$2000,H$1,Sets!$J$2:$J$2000,"N")=0,"",_xlfn.MAXIFS(Sets!$H$2:$H$2000,Sets!$A$2:$A$2000,$A18,Sets!$D$2:$D$2000,H$1,Sets!$J$2:$J$2000,"N"))</f>
        <v/>
      </c>
      <c r="I18" s="26">
        <f>IF(_xlfn.MAXIFS(Sets!$H$2:$H$2000,Sets!$A$2:$A$2000,$A18,Sets!$D$2:$D$2000,I$1,Sets!$J$2:$J$2000,"N")=0,"",_xlfn.MAXIFS(Sets!$H$2:$H$2000,Sets!$A$2:$A$2000,$A18,Sets!$D$2:$D$2000,I$1,Sets!$J$2:$J$2000,"N"))</f>
        <v/>
      </c>
      <c r="J18" s="26">
        <f>IF(_xlfn.MAXIFS(Sets!$H$2:$H$2000,Sets!$A$2:$A$2000,$A18,Sets!$D$2:$D$2000,J$1,Sets!$J$2:$J$2000,"N")=0,"",_xlfn.MAXIFS(Sets!$H$2:$H$2000,Sets!$A$2:$A$2000,$A18,Sets!$D$2:$D$2000,J$1,Sets!$J$2:$J$2000,"N"))</f>
        <v/>
      </c>
      <c r="K18" s="26">
        <f>IF(_xlfn.MAXIFS(Sets!$H$2:$H$2000,Sets!$A$2:$A$2000,$A18,Sets!$D$2:$D$2000,K$1,Sets!$J$2:$J$2000,"N")=0,"",_xlfn.MAXIFS(Sets!$H$2:$H$2000,Sets!$A$2:$A$2000,$A18,Sets!$D$2:$D$2000,K$1,Sets!$J$2:$J$2000,"N"))</f>
        <v/>
      </c>
      <c r="L18" s="26">
        <f>IF(_xlfn.MAXIFS(Sets!$H$2:$H$2000,Sets!$A$2:$A$2000,$A18,Sets!$D$2:$D$2000,L$1,Sets!$J$2:$J$2000,"N")=0,"",_xlfn.MAXIFS(Sets!$H$2:$H$2000,Sets!$A$2:$A$2000,$A18,Sets!$D$2:$D$2000,L$1,Sets!$J$2:$J$2000,"N"))</f>
        <v/>
      </c>
      <c r="M18" s="26">
        <f>IF(_xlfn.MAXIFS(Sets!$H$2:$H$2000,Sets!$A$2:$A$2000,$A18,Sets!$D$2:$D$2000,M$1,Sets!$J$2:$J$2000,"N")=0,"",_xlfn.MAXIFS(Sets!$H$2:$H$2000,Sets!$A$2:$A$2000,$A18,Sets!$D$2:$D$2000,M$1,Sets!$J$2:$J$2000,"N"))</f>
        <v/>
      </c>
      <c r="N18" s="26">
        <f>IF(_xlfn.MAXIFS(Sets!$H$2:$H$2000,Sets!$A$2:$A$2000,$A18,Sets!$D$2:$D$2000,N$1,Sets!$J$2:$J$2000,"N")=0,"",_xlfn.MAXIFS(Sets!$H$2:$H$2000,Sets!$A$2:$A$2000,$A18,Sets!$D$2:$D$2000,N$1,Sets!$J$2:$J$2000,"N"))</f>
        <v/>
      </c>
      <c r="O18" s="26">
        <f>IF(_xlfn.MAXIFS(Sets!$H$2:$H$2000,Sets!$A$2:$A$2000,$A18,Sets!$D$2:$D$2000,O$1,Sets!$J$2:$J$2000,"N")=0,"",_xlfn.MAXIFS(Sets!$H$2:$H$2000,Sets!$A$2:$A$2000,$A18,Sets!$D$2:$D$2000,O$1,Sets!$J$2:$J$2000,"N"))</f>
        <v/>
      </c>
      <c r="P18" s="26">
        <f>IF(_xlfn.MAXIFS(Sets!$H$2:$H$2000,Sets!$A$2:$A$2000,$A18,Sets!$D$2:$D$2000,P$1,Sets!$J$2:$J$2000,"N")=0,"",_xlfn.MAXIFS(Sets!$H$2:$H$2000,Sets!$A$2:$A$2000,$A18,Sets!$D$2:$D$2000,P$1,Sets!$J$2:$J$2000,"N"))</f>
        <v/>
      </c>
      <c r="Q18" s="26">
        <f>IF(_xlfn.MAXIFS(Sets!$H$2:$H$2000,Sets!$A$2:$A$2000,$A18,Sets!$D$2:$D$2000,Q$1,Sets!$J$2:$J$2000,"N")=0,"",_xlfn.MAXIFS(Sets!$H$2:$H$2000,Sets!$A$2:$A$2000,$A18,Sets!$D$2:$D$2000,Q$1,Sets!$J$2:$J$2000,"N"))</f>
        <v/>
      </c>
      <c r="R18" s="26">
        <f>IF(_xlfn.MAXIFS(Sets!$H$2:$H$2000,Sets!$A$2:$A$2000,$A18,Sets!$D$2:$D$2000,R$1,Sets!$J$2:$J$2000,"N")=0,"",_xlfn.MAXIFS(Sets!$H$2:$H$2000,Sets!$A$2:$A$2000,$A18,Sets!$D$2:$D$2000,R$1,Sets!$J$2:$J$2000,"N"))</f>
        <v/>
      </c>
      <c r="S18" s="26">
        <f>IF(_xlfn.MAXIFS(Sets!$H$2:$H$2000,Sets!$A$2:$A$2000,$A18,Sets!$D$2:$D$2000,S$1,Sets!$J$2:$J$2000,"N")=0,"",_xlfn.MAXIFS(Sets!$H$2:$H$2000,Sets!$A$2:$A$2000,$A18,Sets!$D$2:$D$2000,S$1,Sets!$J$2:$J$2000,"N"))</f>
        <v/>
      </c>
      <c r="T18" s="26">
        <f>IF(_xlfn.MAXIFS(Sets!$H$2:$H$2000,Sets!$A$2:$A$2000,$A18,Sets!$D$2:$D$2000,T$1,Sets!$J$2:$J$2000,"N")=0,"",_xlfn.MAXIFS(Sets!$H$2:$H$2000,Sets!$A$2:$A$2000,$A18,Sets!$D$2:$D$2000,T$1,Sets!$J$2:$J$2000,"N"))</f>
        <v/>
      </c>
      <c r="U18" s="26">
        <f>IF(_xlfn.MAXIFS(Sets!$H$2:$H$2000,Sets!$A$2:$A$2000,$A18,Sets!$D$2:$D$2000,U$1,Sets!$J$2:$J$2000,"N")=0,"",_xlfn.MAXIFS(Sets!$H$2:$H$2000,Sets!$A$2:$A$2000,$A18,Sets!$D$2:$D$2000,U$1,Sets!$J$2:$J$2000,"N"))</f>
        <v/>
      </c>
      <c r="V18" s="26">
        <f>IF(_xlfn.MAXIFS(Sets!$H$2:$H$2000,Sets!$A$2:$A$2000,$A18,Sets!$D$2:$D$2000,V$1,Sets!$J$2:$J$2000,"N")=0,"",_xlfn.MAXIFS(Sets!$H$2:$H$2000,Sets!$A$2:$A$2000,$A18,Sets!$D$2:$D$2000,V$1,Sets!$J$2:$J$2000,"N"))</f>
        <v/>
      </c>
      <c r="W18" s="26">
        <f>IF(_xlfn.MAXIFS(Sets!$H$2:$H$2000,Sets!$A$2:$A$2000,$A18,Sets!$D$2:$D$2000,W$1,Sets!$J$2:$J$2000,"N")=0,"",_xlfn.MAXIFS(Sets!$H$2:$H$2000,Sets!$A$2:$A$2000,$A18,Sets!$D$2:$D$2000,W$1,Sets!$J$2:$J$2000,"N"))</f>
        <v/>
      </c>
      <c r="X18" s="26">
        <f>IF(_xlfn.MAXIFS(Sets!$H$2:$H$2000,Sets!$A$2:$A$2000,$A18,Sets!$D$2:$D$2000,X$1,Sets!$J$2:$J$2000,"N")=0,"",_xlfn.MAXIFS(Sets!$H$2:$H$2000,Sets!$A$2:$A$2000,$A18,Sets!$D$2:$D$2000,X$1,Sets!$J$2:$J$2000,"N"))</f>
        <v/>
      </c>
      <c r="Y18" s="26">
        <f>IF(_xlfn.MAXIFS(Sets!$H$2:$H$2000,Sets!$A$2:$A$2000,$A18,Sets!$D$2:$D$2000,Y$1,Sets!$J$2:$J$2000,"N")=0,"",_xlfn.MAXIFS(Sets!$H$2:$H$2000,Sets!$A$2:$A$2000,$A18,Sets!$D$2:$D$2000,Y$1,Sets!$J$2:$J$2000,"N"))</f>
        <v/>
      </c>
      <c r="Z18" s="26">
        <f>IF(_xlfn.MAXIFS(Sets!$H$2:$H$2000,Sets!$A$2:$A$2000,$A18,Sets!$D$2:$D$2000,Z$1,Sets!$J$2:$J$2000,"N")=0,"",_xlfn.MAXIFS(Sets!$H$2:$H$2000,Sets!$A$2:$A$2000,$A18,Sets!$D$2:$D$2000,Z$1,Sets!$J$2:$J$2000,"N"))</f>
        <v/>
      </c>
      <c r="AA18" s="26">
        <f>IF(_xlfn.MAXIFS(Sets!$H$2:$H$2000,Sets!$A$2:$A$2000,$A18,Sets!$D$2:$D$2000,AA$1,Sets!$J$2:$J$2000,"N")=0,"",_xlfn.MAXIFS(Sets!$H$2:$H$2000,Sets!$A$2:$A$2000,$A18,Sets!$D$2:$D$2000,AA$1,Sets!$J$2:$J$2000,"N"))</f>
        <v/>
      </c>
      <c r="AB18" s="26">
        <f>IF(_xlfn.MAXIFS(Sets!$H$2:$H$2000,Sets!$A$2:$A$2000,$A18,Sets!$D$2:$D$2000,AB$1,Sets!$J$2:$J$2000,"N")=0,"",_xlfn.MAXIFS(Sets!$H$2:$H$2000,Sets!$A$2:$A$2000,$A18,Sets!$D$2:$D$2000,AB$1,Sets!$J$2:$J$2000,"N"))</f>
        <v/>
      </c>
      <c r="AC18" s="26">
        <f>IF(_xlfn.MAXIFS(Sets!$H$2:$H$2000,Sets!$A$2:$A$2000,$A18,Sets!$D$2:$D$2000,AC$1,Sets!$J$2:$J$2000,"N")=0,"",_xlfn.MAXIFS(Sets!$H$2:$H$2000,Sets!$A$2:$A$2000,$A18,Sets!$D$2:$D$2000,AC$1,Sets!$J$2:$J$2000,"N"))</f>
        <v/>
      </c>
      <c r="AD18" s="26">
        <f>IF(_xlfn.MAXIFS(Sets!$H$2:$H$2000,Sets!$A$2:$A$2000,$A18,Sets!$D$2:$D$2000,AD$1,Sets!$J$2:$J$2000,"N")=0,"",_xlfn.MAXIFS(Sets!$H$2:$H$2000,Sets!$A$2:$A$2000,$A18,Sets!$D$2:$D$2000,AD$1,Sets!$J$2:$J$2000,"N"))</f>
        <v/>
      </c>
      <c r="AE18" s="26">
        <f>IF(_xlfn.MAXIFS(Sets!$H$2:$H$2000,Sets!$A$2:$A$2000,$A18,Sets!$D$2:$D$2000,AE$1,Sets!$J$2:$J$2000,"N")=0,"",_xlfn.MAXIFS(Sets!$H$2:$H$2000,Sets!$A$2:$A$2000,$A18,Sets!$D$2:$D$2000,AE$1,Sets!$J$2:$J$2000,"N"))</f>
        <v/>
      </c>
      <c r="AF18" s="26">
        <f>IF(_xlfn.MAXIFS(Sets!$H$2:$H$2000,Sets!$A$2:$A$2000,$A18,Sets!$D$2:$D$2000,AF$1,Sets!$J$2:$J$2000,"N")=0,"",_xlfn.MAXIFS(Sets!$H$2:$H$2000,Sets!$A$2:$A$2000,$A18,Sets!$D$2:$D$2000,AF$1,Sets!$J$2:$J$2000,"N"))</f>
        <v/>
      </c>
      <c r="AG18" s="26">
        <f>IF(_xlfn.MAXIFS(Sets!$H$2:$H$2000,Sets!$A$2:$A$2000,$A18,Sets!$D$2:$D$2000,AG$1,Sets!$J$2:$J$2000,"N")=0,"",_xlfn.MAXIFS(Sets!$H$2:$H$2000,Sets!$A$2:$A$2000,$A18,Sets!$D$2:$D$2000,AG$1,Sets!$J$2:$J$2000,"N"))</f>
        <v/>
      </c>
      <c r="AH18" s="26">
        <f>IF(_xlfn.MAXIFS(Sets!$H$2:$H$2000,Sets!$A$2:$A$2000,$A18,Sets!$D$2:$D$2000,AH$1,Sets!$J$2:$J$2000,"N")=0,"",_xlfn.MAXIFS(Sets!$H$2:$H$2000,Sets!$A$2:$A$2000,$A18,Sets!$D$2:$D$2000,AH$1,Sets!$J$2:$J$2000,"N"))</f>
        <v/>
      </c>
      <c r="AI18">
        <f>IF(_xlfn.MAXIFS(Sets!$H$2:$H$2000,Sets!$A$2:$A$2000,$A18,Sets!$D$2:$D$2000,AI$1,Sets!$J$2:$J$2000,"N")=0,"",_xlfn.MAXIFS(Sets!$H$2:$H$2000,Sets!$A$2:$A$2000,$A18,Sets!$D$2:$D$2000,AI$1,Sets!$J$2:$J$2000,"N"))</f>
        <v/>
      </c>
      <c r="AJ18">
        <f>IF(_xlfn.MAXIFS(Sets!$H$2:$H$2000,Sets!$A$2:$A$2000,$A18,Sets!$D$2:$D$2000,AJ$1,Sets!$J$2:$J$2000,"N")=0,"",_xlfn.MAXIFS(Sets!$H$2:$H$2000,Sets!$A$2:$A$2000,$A18,Sets!$D$2:$D$2000,AJ$1,Sets!$J$2:$J$2000,"N"))</f>
        <v/>
      </c>
      <c r="AK18">
        <f>IF(_xlfn.MAXIFS(Sets!$H$2:$H$2000,Sets!$A$2:$A$2000,$A18,Sets!$D$2:$D$2000,AK$1,Sets!$J$2:$J$2000,"N")=0,"",_xlfn.MAXIFS(Sets!$H$2:$H$2000,Sets!$A$2:$A$2000,$A18,Sets!$D$2:$D$2000,AK$1,Sets!$J$2:$J$2000,"N"))</f>
        <v/>
      </c>
      <c r="AL18">
        <f>IF(_xlfn.MAXIFS(Sets!$H$2:$H$2000,Sets!$A$2:$A$2000,$A18,Sets!$D$2:$D$2000,AL$1,Sets!$J$2:$J$2000,"N")=0,"",_xlfn.MAXIFS(Sets!$H$2:$H$2000,Sets!$A$2:$A$2000,$A18,Sets!$D$2:$D$2000,AL$1,Sets!$J$2:$J$2000,"N"))</f>
        <v/>
      </c>
      <c r="AM18">
        <f>IF(_xlfn.MAXIFS(Sets!$H$2:$H$2000,Sets!$A$2:$A$2000,$A18,Sets!$D$2:$D$2000,AM$1,Sets!$J$2:$J$2000,"N")=0,"",_xlfn.MAXIFS(Sets!$H$2:$H$2000,Sets!$A$2:$A$2000,$A18,Sets!$D$2:$D$2000,AM$1,Sets!$J$2:$J$2000,"N"))</f>
        <v/>
      </c>
      <c r="AN18">
        <f>IF(_xlfn.MAXIFS(Sets!$H$2:$H$2000,Sets!$A$2:$A$2000,$A18,Sets!$D$2:$D$2000,AN$1,Sets!$J$2:$J$2000,"N")=0,"",_xlfn.MAXIFS(Sets!$H$2:$H$2000,Sets!$A$2:$A$2000,$A18,Sets!$D$2:$D$2000,AN$1,Sets!$J$2:$J$2000,"N"))</f>
        <v/>
      </c>
      <c r="AO18">
        <f>IF(_xlfn.MAXIFS(Sets!$H$2:$H$2000,Sets!$A$2:$A$2000,$A18,Sets!$D$2:$D$2000,AO$1,Sets!$J$2:$J$2000,"N")=0,"",_xlfn.MAXIFS(Sets!$H$2:$H$2000,Sets!$A$2:$A$2000,$A18,Sets!$D$2:$D$2000,AO$1,Sets!$J$2:$J$2000,"N"))</f>
        <v/>
      </c>
      <c r="AP18">
        <f>IF(_xlfn.MAXIFS(Sets!$H$2:$H$2000,Sets!$A$2:$A$2000,$A18,Sets!$D$2:$D$2000,AP$1,Sets!$J$2:$J$2000,"N")=0,"",_xlfn.MAXIFS(Sets!$H$2:$H$2000,Sets!$A$2:$A$2000,$A18,Sets!$D$2:$D$2000,AP$1,Sets!$J$2:$J$2000,"N"))</f>
        <v/>
      </c>
    </row>
    <row r="19" ht="15" customHeight="1" s="22">
      <c r="A19" s="39" t="n">
        <v>46117</v>
      </c>
      <c r="B19" s="26">
        <f>IF(_xlfn.MAXIFS(Sets!$H$2:$H$2000,Sets!$A$2:$A$2000,$A19,Sets!$D$2:$D$2000,B$1,Sets!$J$2:$J$2000,"N")=0,"",_xlfn.MAXIFS(Sets!$H$2:$H$2000,Sets!$A$2:$A$2000,$A19,Sets!$D$2:$D$2000,B$1,Sets!$J$2:$J$2000,"N"))</f>
        <v/>
      </c>
      <c r="C19" s="26">
        <f>IF(_xlfn.MAXIFS(Sets!$H$2:$H$2000,Sets!$A$2:$A$2000,$A19,Sets!$D$2:$D$2000,C$1,Sets!$J$2:$J$2000,"N")=0,"",_xlfn.MAXIFS(Sets!$H$2:$H$2000,Sets!$A$2:$A$2000,$A19,Sets!$D$2:$D$2000,C$1,Sets!$J$2:$J$2000,"N"))</f>
        <v/>
      </c>
      <c r="D19" s="26">
        <f>IF(_xlfn.MAXIFS(Sets!$H$2:$H$2000,Sets!$A$2:$A$2000,$A19,Sets!$D$2:$D$2000,D$1,Sets!$J$2:$J$2000,"N")=0,"",_xlfn.MAXIFS(Sets!$H$2:$H$2000,Sets!$A$2:$A$2000,$A19,Sets!$D$2:$D$2000,D$1,Sets!$J$2:$J$2000,"N"))</f>
        <v/>
      </c>
      <c r="E19" s="26">
        <f>IF(_xlfn.MAXIFS(Sets!$H$2:$H$2000,Sets!$A$2:$A$2000,$A19,Sets!$D$2:$D$2000,E$1,Sets!$J$2:$J$2000,"N")=0,"",_xlfn.MAXIFS(Sets!$H$2:$H$2000,Sets!$A$2:$A$2000,$A19,Sets!$D$2:$D$2000,E$1,Sets!$J$2:$J$2000,"N"))</f>
        <v/>
      </c>
      <c r="F19" s="26">
        <f>IF(_xlfn.MAXIFS(Sets!$H$2:$H$2000,Sets!$A$2:$A$2000,$A19,Sets!$D$2:$D$2000,F$1,Sets!$J$2:$J$2000,"N")=0,"",_xlfn.MAXIFS(Sets!$H$2:$H$2000,Sets!$A$2:$A$2000,$A19,Sets!$D$2:$D$2000,F$1,Sets!$J$2:$J$2000,"N"))</f>
        <v/>
      </c>
      <c r="G19" s="26">
        <f>IF(_xlfn.MAXIFS(Sets!$H$2:$H$2000,Sets!$A$2:$A$2000,$A19,Sets!$D$2:$D$2000,G$1,Sets!$J$2:$J$2000,"N")=0,"",_xlfn.MAXIFS(Sets!$H$2:$H$2000,Sets!$A$2:$A$2000,$A19,Sets!$D$2:$D$2000,G$1,Sets!$J$2:$J$2000,"N"))</f>
        <v/>
      </c>
      <c r="H19" s="26">
        <f>IF(_xlfn.MAXIFS(Sets!$H$2:$H$2000,Sets!$A$2:$A$2000,$A19,Sets!$D$2:$D$2000,H$1,Sets!$J$2:$J$2000,"N")=0,"",_xlfn.MAXIFS(Sets!$H$2:$H$2000,Sets!$A$2:$A$2000,$A19,Sets!$D$2:$D$2000,H$1,Sets!$J$2:$J$2000,"N"))</f>
        <v/>
      </c>
      <c r="I19" s="26">
        <f>IF(_xlfn.MAXIFS(Sets!$H$2:$H$2000,Sets!$A$2:$A$2000,$A19,Sets!$D$2:$D$2000,I$1,Sets!$J$2:$J$2000,"N")=0,"",_xlfn.MAXIFS(Sets!$H$2:$H$2000,Sets!$A$2:$A$2000,$A19,Sets!$D$2:$D$2000,I$1,Sets!$J$2:$J$2000,"N"))</f>
        <v/>
      </c>
      <c r="J19" s="26">
        <f>IF(_xlfn.MAXIFS(Sets!$H$2:$H$2000,Sets!$A$2:$A$2000,$A19,Sets!$D$2:$D$2000,J$1,Sets!$J$2:$J$2000,"N")=0,"",_xlfn.MAXIFS(Sets!$H$2:$H$2000,Sets!$A$2:$A$2000,$A19,Sets!$D$2:$D$2000,J$1,Sets!$J$2:$J$2000,"N"))</f>
        <v/>
      </c>
      <c r="K19" s="26">
        <f>IF(_xlfn.MAXIFS(Sets!$H$2:$H$2000,Sets!$A$2:$A$2000,$A19,Sets!$D$2:$D$2000,K$1,Sets!$J$2:$J$2000,"N")=0,"",_xlfn.MAXIFS(Sets!$H$2:$H$2000,Sets!$A$2:$A$2000,$A19,Sets!$D$2:$D$2000,K$1,Sets!$J$2:$J$2000,"N"))</f>
        <v/>
      </c>
      <c r="L19" s="26">
        <f>IF(_xlfn.MAXIFS(Sets!$H$2:$H$2000,Sets!$A$2:$A$2000,$A19,Sets!$D$2:$D$2000,L$1,Sets!$J$2:$J$2000,"N")=0,"",_xlfn.MAXIFS(Sets!$H$2:$H$2000,Sets!$A$2:$A$2000,$A19,Sets!$D$2:$D$2000,L$1,Sets!$J$2:$J$2000,"N"))</f>
        <v/>
      </c>
      <c r="M19" s="26">
        <f>IF(_xlfn.MAXIFS(Sets!$H$2:$H$2000,Sets!$A$2:$A$2000,$A19,Sets!$D$2:$D$2000,M$1,Sets!$J$2:$J$2000,"N")=0,"",_xlfn.MAXIFS(Sets!$H$2:$H$2000,Sets!$A$2:$A$2000,$A19,Sets!$D$2:$D$2000,M$1,Sets!$J$2:$J$2000,"N"))</f>
        <v/>
      </c>
      <c r="N19" s="26">
        <f>IF(_xlfn.MAXIFS(Sets!$H$2:$H$2000,Sets!$A$2:$A$2000,$A19,Sets!$D$2:$D$2000,N$1,Sets!$J$2:$J$2000,"N")=0,"",_xlfn.MAXIFS(Sets!$H$2:$H$2000,Sets!$A$2:$A$2000,$A19,Sets!$D$2:$D$2000,N$1,Sets!$J$2:$J$2000,"N"))</f>
        <v/>
      </c>
      <c r="O19" s="26">
        <f>IF(_xlfn.MAXIFS(Sets!$H$2:$H$2000,Sets!$A$2:$A$2000,$A19,Sets!$D$2:$D$2000,O$1,Sets!$J$2:$J$2000,"N")=0,"",_xlfn.MAXIFS(Sets!$H$2:$H$2000,Sets!$A$2:$A$2000,$A19,Sets!$D$2:$D$2000,O$1,Sets!$J$2:$J$2000,"N"))</f>
        <v/>
      </c>
      <c r="P19" s="26">
        <f>IF(_xlfn.MAXIFS(Sets!$H$2:$H$2000,Sets!$A$2:$A$2000,$A19,Sets!$D$2:$D$2000,P$1,Sets!$J$2:$J$2000,"N")=0,"",_xlfn.MAXIFS(Sets!$H$2:$H$2000,Sets!$A$2:$A$2000,$A19,Sets!$D$2:$D$2000,P$1,Sets!$J$2:$J$2000,"N"))</f>
        <v/>
      </c>
      <c r="Q19" s="26">
        <f>IF(_xlfn.MAXIFS(Sets!$H$2:$H$2000,Sets!$A$2:$A$2000,$A19,Sets!$D$2:$D$2000,Q$1,Sets!$J$2:$J$2000,"N")=0,"",_xlfn.MAXIFS(Sets!$H$2:$H$2000,Sets!$A$2:$A$2000,$A19,Sets!$D$2:$D$2000,Q$1,Sets!$J$2:$J$2000,"N"))</f>
        <v/>
      </c>
      <c r="R19" s="26">
        <f>IF(_xlfn.MAXIFS(Sets!$H$2:$H$2000,Sets!$A$2:$A$2000,$A19,Sets!$D$2:$D$2000,R$1,Sets!$J$2:$J$2000,"N")=0,"",_xlfn.MAXIFS(Sets!$H$2:$H$2000,Sets!$A$2:$A$2000,$A19,Sets!$D$2:$D$2000,R$1,Sets!$J$2:$J$2000,"N"))</f>
        <v/>
      </c>
      <c r="S19" s="26">
        <f>IF(_xlfn.MAXIFS(Sets!$H$2:$H$2000,Sets!$A$2:$A$2000,$A19,Sets!$D$2:$D$2000,S$1,Sets!$J$2:$J$2000,"N")=0,"",_xlfn.MAXIFS(Sets!$H$2:$H$2000,Sets!$A$2:$A$2000,$A19,Sets!$D$2:$D$2000,S$1,Sets!$J$2:$J$2000,"N"))</f>
        <v/>
      </c>
      <c r="T19" s="26">
        <f>IF(_xlfn.MAXIFS(Sets!$H$2:$H$2000,Sets!$A$2:$A$2000,$A19,Sets!$D$2:$D$2000,T$1,Sets!$J$2:$J$2000,"N")=0,"",_xlfn.MAXIFS(Sets!$H$2:$H$2000,Sets!$A$2:$A$2000,$A19,Sets!$D$2:$D$2000,T$1,Sets!$J$2:$J$2000,"N"))</f>
        <v/>
      </c>
      <c r="U19" s="26">
        <f>IF(_xlfn.MAXIFS(Sets!$H$2:$H$2000,Sets!$A$2:$A$2000,$A19,Sets!$D$2:$D$2000,U$1,Sets!$J$2:$J$2000,"N")=0,"",_xlfn.MAXIFS(Sets!$H$2:$H$2000,Sets!$A$2:$A$2000,$A19,Sets!$D$2:$D$2000,U$1,Sets!$J$2:$J$2000,"N"))</f>
        <v/>
      </c>
      <c r="V19" s="26">
        <f>IF(_xlfn.MAXIFS(Sets!$H$2:$H$2000,Sets!$A$2:$A$2000,$A19,Sets!$D$2:$D$2000,V$1,Sets!$J$2:$J$2000,"N")=0,"",_xlfn.MAXIFS(Sets!$H$2:$H$2000,Sets!$A$2:$A$2000,$A19,Sets!$D$2:$D$2000,V$1,Sets!$J$2:$J$2000,"N"))</f>
        <v/>
      </c>
      <c r="W19" s="26">
        <f>IF(_xlfn.MAXIFS(Sets!$H$2:$H$2000,Sets!$A$2:$A$2000,$A19,Sets!$D$2:$D$2000,W$1,Sets!$J$2:$J$2000,"N")=0,"",_xlfn.MAXIFS(Sets!$H$2:$H$2000,Sets!$A$2:$A$2000,$A19,Sets!$D$2:$D$2000,W$1,Sets!$J$2:$J$2000,"N"))</f>
        <v/>
      </c>
      <c r="X19" s="26">
        <f>IF(_xlfn.MAXIFS(Sets!$H$2:$H$2000,Sets!$A$2:$A$2000,$A19,Sets!$D$2:$D$2000,X$1,Sets!$J$2:$J$2000,"N")=0,"",_xlfn.MAXIFS(Sets!$H$2:$H$2000,Sets!$A$2:$A$2000,$A19,Sets!$D$2:$D$2000,X$1,Sets!$J$2:$J$2000,"N"))</f>
        <v/>
      </c>
      <c r="Y19" s="26">
        <f>IF(_xlfn.MAXIFS(Sets!$H$2:$H$2000,Sets!$A$2:$A$2000,$A19,Sets!$D$2:$D$2000,Y$1,Sets!$J$2:$J$2000,"N")=0,"",_xlfn.MAXIFS(Sets!$H$2:$H$2000,Sets!$A$2:$A$2000,$A19,Sets!$D$2:$D$2000,Y$1,Sets!$J$2:$J$2000,"N"))</f>
        <v/>
      </c>
      <c r="Z19" s="26">
        <f>IF(_xlfn.MAXIFS(Sets!$H$2:$H$2000,Sets!$A$2:$A$2000,$A19,Sets!$D$2:$D$2000,Z$1,Sets!$J$2:$J$2000,"N")=0,"",_xlfn.MAXIFS(Sets!$H$2:$H$2000,Sets!$A$2:$A$2000,$A19,Sets!$D$2:$D$2000,Z$1,Sets!$J$2:$J$2000,"N"))</f>
        <v/>
      </c>
      <c r="AA19" s="26">
        <f>IF(_xlfn.MAXIFS(Sets!$H$2:$H$2000,Sets!$A$2:$A$2000,$A19,Sets!$D$2:$D$2000,AA$1,Sets!$J$2:$J$2000,"N")=0,"",_xlfn.MAXIFS(Sets!$H$2:$H$2000,Sets!$A$2:$A$2000,$A19,Sets!$D$2:$D$2000,AA$1,Sets!$J$2:$J$2000,"N"))</f>
        <v/>
      </c>
      <c r="AB19" s="26">
        <f>IF(_xlfn.MAXIFS(Sets!$H$2:$H$2000,Sets!$A$2:$A$2000,$A19,Sets!$D$2:$D$2000,AB$1,Sets!$J$2:$J$2000,"N")=0,"",_xlfn.MAXIFS(Sets!$H$2:$H$2000,Sets!$A$2:$A$2000,$A19,Sets!$D$2:$D$2000,AB$1,Sets!$J$2:$J$2000,"N"))</f>
        <v/>
      </c>
      <c r="AC19" s="26">
        <f>IF(_xlfn.MAXIFS(Sets!$H$2:$H$2000,Sets!$A$2:$A$2000,$A19,Sets!$D$2:$D$2000,AC$1,Sets!$J$2:$J$2000,"N")=0,"",_xlfn.MAXIFS(Sets!$H$2:$H$2000,Sets!$A$2:$A$2000,$A19,Sets!$D$2:$D$2000,AC$1,Sets!$J$2:$J$2000,"N"))</f>
        <v/>
      </c>
      <c r="AD19" s="26">
        <f>IF(_xlfn.MAXIFS(Sets!$H$2:$H$2000,Sets!$A$2:$A$2000,$A19,Sets!$D$2:$D$2000,AD$1,Sets!$J$2:$J$2000,"N")=0,"",_xlfn.MAXIFS(Sets!$H$2:$H$2000,Sets!$A$2:$A$2000,$A19,Sets!$D$2:$D$2000,AD$1,Sets!$J$2:$J$2000,"N"))</f>
        <v/>
      </c>
      <c r="AE19" s="26">
        <f>IF(_xlfn.MAXIFS(Sets!$H$2:$H$2000,Sets!$A$2:$A$2000,$A19,Sets!$D$2:$D$2000,AE$1,Sets!$J$2:$J$2000,"N")=0,"",_xlfn.MAXIFS(Sets!$H$2:$H$2000,Sets!$A$2:$A$2000,$A19,Sets!$D$2:$D$2000,AE$1,Sets!$J$2:$J$2000,"N"))</f>
        <v/>
      </c>
      <c r="AF19" s="26">
        <f>IF(_xlfn.MAXIFS(Sets!$H$2:$H$2000,Sets!$A$2:$A$2000,$A19,Sets!$D$2:$D$2000,AF$1,Sets!$J$2:$J$2000,"N")=0,"",_xlfn.MAXIFS(Sets!$H$2:$H$2000,Sets!$A$2:$A$2000,$A19,Sets!$D$2:$D$2000,AF$1,Sets!$J$2:$J$2000,"N"))</f>
        <v/>
      </c>
      <c r="AG19" s="26">
        <f>IF(_xlfn.MAXIFS(Sets!$H$2:$H$2000,Sets!$A$2:$A$2000,$A19,Sets!$D$2:$D$2000,AG$1,Sets!$J$2:$J$2000,"N")=0,"",_xlfn.MAXIFS(Sets!$H$2:$H$2000,Sets!$A$2:$A$2000,$A19,Sets!$D$2:$D$2000,AG$1,Sets!$J$2:$J$2000,"N"))</f>
        <v/>
      </c>
      <c r="AH19" s="26">
        <f>IF(_xlfn.MAXIFS(Sets!$H$2:$H$2000,Sets!$A$2:$A$2000,$A19,Sets!$D$2:$D$2000,AH$1,Sets!$J$2:$J$2000,"N")=0,"",_xlfn.MAXIFS(Sets!$H$2:$H$2000,Sets!$A$2:$A$2000,$A19,Sets!$D$2:$D$2000,AH$1,Sets!$J$2:$J$2000,"N"))</f>
        <v/>
      </c>
      <c r="AI19">
        <f>IF(_xlfn.MAXIFS(Sets!$H$2:$H$2000,Sets!$A$2:$A$2000,$A19,Sets!$D$2:$D$2000,AI$1,Sets!$J$2:$J$2000,"N")=0,"",_xlfn.MAXIFS(Sets!$H$2:$H$2000,Sets!$A$2:$A$2000,$A19,Sets!$D$2:$D$2000,AI$1,Sets!$J$2:$J$2000,"N"))</f>
        <v/>
      </c>
      <c r="AJ19">
        <f>IF(_xlfn.MAXIFS(Sets!$H$2:$H$2000,Sets!$A$2:$A$2000,$A19,Sets!$D$2:$D$2000,AJ$1,Sets!$J$2:$J$2000,"N")=0,"",_xlfn.MAXIFS(Sets!$H$2:$H$2000,Sets!$A$2:$A$2000,$A19,Sets!$D$2:$D$2000,AJ$1,Sets!$J$2:$J$2000,"N"))</f>
        <v/>
      </c>
      <c r="AK19">
        <f>IF(_xlfn.MAXIFS(Sets!$H$2:$H$2000,Sets!$A$2:$A$2000,$A19,Sets!$D$2:$D$2000,AK$1,Sets!$J$2:$J$2000,"N")=0,"",_xlfn.MAXIFS(Sets!$H$2:$H$2000,Sets!$A$2:$A$2000,$A19,Sets!$D$2:$D$2000,AK$1,Sets!$J$2:$J$2000,"N"))</f>
        <v/>
      </c>
      <c r="AL19">
        <f>IF(_xlfn.MAXIFS(Sets!$H$2:$H$2000,Sets!$A$2:$A$2000,$A19,Sets!$D$2:$D$2000,AL$1,Sets!$J$2:$J$2000,"N")=0,"",_xlfn.MAXIFS(Sets!$H$2:$H$2000,Sets!$A$2:$A$2000,$A19,Sets!$D$2:$D$2000,AL$1,Sets!$J$2:$J$2000,"N"))</f>
        <v/>
      </c>
      <c r="AM19">
        <f>IF(_xlfn.MAXIFS(Sets!$H$2:$H$2000,Sets!$A$2:$A$2000,$A19,Sets!$D$2:$D$2000,AM$1,Sets!$J$2:$J$2000,"N")=0,"",_xlfn.MAXIFS(Sets!$H$2:$H$2000,Sets!$A$2:$A$2000,$A19,Sets!$D$2:$D$2000,AM$1,Sets!$J$2:$J$2000,"N"))</f>
        <v/>
      </c>
      <c r="AN19">
        <f>IF(_xlfn.MAXIFS(Sets!$H$2:$H$2000,Sets!$A$2:$A$2000,$A19,Sets!$D$2:$D$2000,AN$1,Sets!$J$2:$J$2000,"N")=0,"",_xlfn.MAXIFS(Sets!$H$2:$H$2000,Sets!$A$2:$A$2000,$A19,Sets!$D$2:$D$2000,AN$1,Sets!$J$2:$J$2000,"N"))</f>
        <v/>
      </c>
      <c r="AO19">
        <f>IF(_xlfn.MAXIFS(Sets!$H$2:$H$2000,Sets!$A$2:$A$2000,$A19,Sets!$D$2:$D$2000,AO$1,Sets!$J$2:$J$2000,"N")=0,"",_xlfn.MAXIFS(Sets!$H$2:$H$2000,Sets!$A$2:$A$2000,$A19,Sets!$D$2:$D$2000,AO$1,Sets!$J$2:$J$2000,"N"))</f>
        <v/>
      </c>
      <c r="AP19">
        <f>IF(_xlfn.MAXIFS(Sets!$H$2:$H$2000,Sets!$A$2:$A$2000,$A19,Sets!$D$2:$D$2000,AP$1,Sets!$J$2:$J$2000,"N")=0,"",_xlfn.MAXIFS(Sets!$H$2:$H$2000,Sets!$A$2:$A$2000,$A19,Sets!$D$2:$D$2000,AP$1,Sets!$J$2:$J$2000,"N"))</f>
        <v/>
      </c>
    </row>
    <row r="20" ht="15" customHeight="1" s="22">
      <c r="A20" s="39" t="n">
        <v>46125</v>
      </c>
      <c r="B20" s="26">
        <f>IF(_xlfn.MAXIFS(Sets!$H$2:$H$2000,Sets!$A$2:$A$2000,$A20,Sets!$D$2:$D$2000,B$1,Sets!$J$2:$J$2000,"N")=0,"",_xlfn.MAXIFS(Sets!$H$2:$H$2000,Sets!$A$2:$A$2000,$A20,Sets!$D$2:$D$2000,B$1,Sets!$J$2:$J$2000,"N"))</f>
        <v/>
      </c>
      <c r="C20" s="26">
        <f>IF(_xlfn.MAXIFS(Sets!$H$2:$H$2000,Sets!$A$2:$A$2000,$A20,Sets!$D$2:$D$2000,C$1,Sets!$J$2:$J$2000,"N")=0,"",_xlfn.MAXIFS(Sets!$H$2:$H$2000,Sets!$A$2:$A$2000,$A20,Sets!$D$2:$D$2000,C$1,Sets!$J$2:$J$2000,"N"))</f>
        <v/>
      </c>
      <c r="D20" s="26">
        <f>IF(_xlfn.MAXIFS(Sets!$H$2:$H$2000,Sets!$A$2:$A$2000,$A20,Sets!$D$2:$D$2000,D$1,Sets!$J$2:$J$2000,"N")=0,"",_xlfn.MAXIFS(Sets!$H$2:$H$2000,Sets!$A$2:$A$2000,$A20,Sets!$D$2:$D$2000,D$1,Sets!$J$2:$J$2000,"N"))</f>
        <v/>
      </c>
      <c r="E20" s="26">
        <f>IF(_xlfn.MAXIFS(Sets!$H$2:$H$2000,Sets!$A$2:$A$2000,$A20,Sets!$D$2:$D$2000,E$1,Sets!$J$2:$J$2000,"N")=0,"",_xlfn.MAXIFS(Sets!$H$2:$H$2000,Sets!$A$2:$A$2000,$A20,Sets!$D$2:$D$2000,E$1,Sets!$J$2:$J$2000,"N"))</f>
        <v/>
      </c>
      <c r="F20" s="26">
        <f>IF(_xlfn.MAXIFS(Sets!$H$2:$H$2000,Sets!$A$2:$A$2000,$A20,Sets!$D$2:$D$2000,F$1,Sets!$J$2:$J$2000,"N")=0,"",_xlfn.MAXIFS(Sets!$H$2:$H$2000,Sets!$A$2:$A$2000,$A20,Sets!$D$2:$D$2000,F$1,Sets!$J$2:$J$2000,"N"))</f>
        <v/>
      </c>
      <c r="G20" s="26">
        <f>IF(_xlfn.MAXIFS(Sets!$H$2:$H$2000,Sets!$A$2:$A$2000,$A20,Sets!$D$2:$D$2000,G$1,Sets!$J$2:$J$2000,"N")=0,"",_xlfn.MAXIFS(Sets!$H$2:$H$2000,Sets!$A$2:$A$2000,$A20,Sets!$D$2:$D$2000,G$1,Sets!$J$2:$J$2000,"N"))</f>
        <v/>
      </c>
      <c r="H20" s="26">
        <f>IF(_xlfn.MAXIFS(Sets!$H$2:$H$2000,Sets!$A$2:$A$2000,$A20,Sets!$D$2:$D$2000,H$1,Sets!$J$2:$J$2000,"N")=0,"",_xlfn.MAXIFS(Sets!$H$2:$H$2000,Sets!$A$2:$A$2000,$A20,Sets!$D$2:$D$2000,H$1,Sets!$J$2:$J$2000,"N"))</f>
        <v/>
      </c>
      <c r="I20" s="26">
        <f>IF(_xlfn.MAXIFS(Sets!$H$2:$H$2000,Sets!$A$2:$A$2000,$A20,Sets!$D$2:$D$2000,I$1,Sets!$J$2:$J$2000,"N")=0,"",_xlfn.MAXIFS(Sets!$H$2:$H$2000,Sets!$A$2:$A$2000,$A20,Sets!$D$2:$D$2000,I$1,Sets!$J$2:$J$2000,"N"))</f>
        <v/>
      </c>
      <c r="J20" s="26">
        <f>IF(_xlfn.MAXIFS(Sets!$H$2:$H$2000,Sets!$A$2:$A$2000,$A20,Sets!$D$2:$D$2000,J$1,Sets!$J$2:$J$2000,"N")=0,"",_xlfn.MAXIFS(Sets!$H$2:$H$2000,Sets!$A$2:$A$2000,$A20,Sets!$D$2:$D$2000,J$1,Sets!$J$2:$J$2000,"N"))</f>
        <v/>
      </c>
      <c r="K20" s="26">
        <f>IF(_xlfn.MAXIFS(Sets!$H$2:$H$2000,Sets!$A$2:$A$2000,$A20,Sets!$D$2:$D$2000,K$1,Sets!$J$2:$J$2000,"N")=0,"",_xlfn.MAXIFS(Sets!$H$2:$H$2000,Sets!$A$2:$A$2000,$A20,Sets!$D$2:$D$2000,K$1,Sets!$J$2:$J$2000,"N"))</f>
        <v/>
      </c>
      <c r="L20" s="26">
        <f>IF(_xlfn.MAXIFS(Sets!$H$2:$H$2000,Sets!$A$2:$A$2000,$A20,Sets!$D$2:$D$2000,L$1,Sets!$J$2:$J$2000,"N")=0,"",_xlfn.MAXIFS(Sets!$H$2:$H$2000,Sets!$A$2:$A$2000,$A20,Sets!$D$2:$D$2000,L$1,Sets!$J$2:$J$2000,"N"))</f>
        <v/>
      </c>
      <c r="M20" s="26">
        <f>IF(_xlfn.MAXIFS(Sets!$H$2:$H$2000,Sets!$A$2:$A$2000,$A20,Sets!$D$2:$D$2000,M$1,Sets!$J$2:$J$2000,"N")=0,"",_xlfn.MAXIFS(Sets!$H$2:$H$2000,Sets!$A$2:$A$2000,$A20,Sets!$D$2:$D$2000,M$1,Sets!$J$2:$J$2000,"N"))</f>
        <v/>
      </c>
      <c r="N20" s="26">
        <f>IF(_xlfn.MAXIFS(Sets!$H$2:$H$2000,Sets!$A$2:$A$2000,$A20,Sets!$D$2:$D$2000,N$1,Sets!$J$2:$J$2000,"N")=0,"",_xlfn.MAXIFS(Sets!$H$2:$H$2000,Sets!$A$2:$A$2000,$A20,Sets!$D$2:$D$2000,N$1,Sets!$J$2:$J$2000,"N"))</f>
        <v/>
      </c>
      <c r="O20" s="26">
        <f>IF(_xlfn.MAXIFS(Sets!$H$2:$H$2000,Sets!$A$2:$A$2000,$A20,Sets!$D$2:$D$2000,O$1,Sets!$J$2:$J$2000,"N")=0,"",_xlfn.MAXIFS(Sets!$H$2:$H$2000,Sets!$A$2:$A$2000,$A20,Sets!$D$2:$D$2000,O$1,Sets!$J$2:$J$2000,"N"))</f>
        <v/>
      </c>
      <c r="P20" s="26">
        <f>IF(_xlfn.MAXIFS(Sets!$H$2:$H$2000,Sets!$A$2:$A$2000,$A20,Sets!$D$2:$D$2000,P$1,Sets!$J$2:$J$2000,"N")=0,"",_xlfn.MAXIFS(Sets!$H$2:$H$2000,Sets!$A$2:$A$2000,$A20,Sets!$D$2:$D$2000,P$1,Sets!$J$2:$J$2000,"N"))</f>
        <v/>
      </c>
      <c r="Q20" s="26">
        <f>IF(_xlfn.MAXIFS(Sets!$H$2:$H$2000,Sets!$A$2:$A$2000,$A20,Sets!$D$2:$D$2000,Q$1,Sets!$J$2:$J$2000,"N")=0,"",_xlfn.MAXIFS(Sets!$H$2:$H$2000,Sets!$A$2:$A$2000,$A20,Sets!$D$2:$D$2000,Q$1,Sets!$J$2:$J$2000,"N"))</f>
        <v/>
      </c>
      <c r="R20" s="26">
        <f>IF(_xlfn.MAXIFS(Sets!$H$2:$H$2000,Sets!$A$2:$A$2000,$A20,Sets!$D$2:$D$2000,R$1,Sets!$J$2:$J$2000,"N")=0,"",_xlfn.MAXIFS(Sets!$H$2:$H$2000,Sets!$A$2:$A$2000,$A20,Sets!$D$2:$D$2000,R$1,Sets!$J$2:$J$2000,"N"))</f>
        <v/>
      </c>
      <c r="S20" s="26">
        <f>IF(_xlfn.MAXIFS(Sets!$H$2:$H$2000,Sets!$A$2:$A$2000,$A20,Sets!$D$2:$D$2000,S$1,Sets!$J$2:$J$2000,"N")=0,"",_xlfn.MAXIFS(Sets!$H$2:$H$2000,Sets!$A$2:$A$2000,$A20,Sets!$D$2:$D$2000,S$1,Sets!$J$2:$J$2000,"N"))</f>
        <v/>
      </c>
      <c r="T20" s="26">
        <f>IF(_xlfn.MAXIFS(Sets!$H$2:$H$2000,Sets!$A$2:$A$2000,$A20,Sets!$D$2:$D$2000,T$1,Sets!$J$2:$J$2000,"N")=0,"",_xlfn.MAXIFS(Sets!$H$2:$H$2000,Sets!$A$2:$A$2000,$A20,Sets!$D$2:$D$2000,T$1,Sets!$J$2:$J$2000,"N"))</f>
        <v/>
      </c>
      <c r="U20" s="26">
        <f>IF(_xlfn.MAXIFS(Sets!$H$2:$H$2000,Sets!$A$2:$A$2000,$A20,Sets!$D$2:$D$2000,U$1,Sets!$J$2:$J$2000,"N")=0,"",_xlfn.MAXIFS(Sets!$H$2:$H$2000,Sets!$A$2:$A$2000,$A20,Sets!$D$2:$D$2000,U$1,Sets!$J$2:$J$2000,"N"))</f>
        <v/>
      </c>
      <c r="V20" s="26">
        <f>IF(_xlfn.MAXIFS(Sets!$H$2:$H$2000,Sets!$A$2:$A$2000,$A20,Sets!$D$2:$D$2000,V$1,Sets!$J$2:$J$2000,"N")=0,"",_xlfn.MAXIFS(Sets!$H$2:$H$2000,Sets!$A$2:$A$2000,$A20,Sets!$D$2:$D$2000,V$1,Sets!$J$2:$J$2000,"N"))</f>
        <v/>
      </c>
      <c r="W20" s="26">
        <f>IF(_xlfn.MAXIFS(Sets!$H$2:$H$2000,Sets!$A$2:$A$2000,$A20,Sets!$D$2:$D$2000,W$1,Sets!$J$2:$J$2000,"N")=0,"",_xlfn.MAXIFS(Sets!$H$2:$H$2000,Sets!$A$2:$A$2000,$A20,Sets!$D$2:$D$2000,W$1,Sets!$J$2:$J$2000,"N"))</f>
        <v/>
      </c>
      <c r="X20" s="26">
        <f>IF(_xlfn.MAXIFS(Sets!$H$2:$H$2000,Sets!$A$2:$A$2000,$A20,Sets!$D$2:$D$2000,X$1,Sets!$J$2:$J$2000,"N")=0,"",_xlfn.MAXIFS(Sets!$H$2:$H$2000,Sets!$A$2:$A$2000,$A20,Sets!$D$2:$D$2000,X$1,Sets!$J$2:$J$2000,"N"))</f>
        <v/>
      </c>
      <c r="Y20" s="26">
        <f>IF(_xlfn.MAXIFS(Sets!$H$2:$H$2000,Sets!$A$2:$A$2000,$A20,Sets!$D$2:$D$2000,Y$1,Sets!$J$2:$J$2000,"N")=0,"",_xlfn.MAXIFS(Sets!$H$2:$H$2000,Sets!$A$2:$A$2000,$A20,Sets!$D$2:$D$2000,Y$1,Sets!$J$2:$J$2000,"N"))</f>
        <v/>
      </c>
      <c r="Z20" s="26">
        <f>IF(_xlfn.MAXIFS(Sets!$H$2:$H$2000,Sets!$A$2:$A$2000,$A20,Sets!$D$2:$D$2000,Z$1,Sets!$J$2:$J$2000,"N")=0,"",_xlfn.MAXIFS(Sets!$H$2:$H$2000,Sets!$A$2:$A$2000,$A20,Sets!$D$2:$D$2000,Z$1,Sets!$J$2:$J$2000,"N"))</f>
        <v/>
      </c>
      <c r="AA20" s="26">
        <f>IF(_xlfn.MAXIFS(Sets!$H$2:$H$2000,Sets!$A$2:$A$2000,$A20,Sets!$D$2:$D$2000,AA$1,Sets!$J$2:$J$2000,"N")=0,"",_xlfn.MAXIFS(Sets!$H$2:$H$2000,Sets!$A$2:$A$2000,$A20,Sets!$D$2:$D$2000,AA$1,Sets!$J$2:$J$2000,"N"))</f>
        <v/>
      </c>
      <c r="AB20" s="26">
        <f>IF(_xlfn.MAXIFS(Sets!$H$2:$H$2000,Sets!$A$2:$A$2000,$A20,Sets!$D$2:$D$2000,AB$1,Sets!$J$2:$J$2000,"N")=0,"",_xlfn.MAXIFS(Sets!$H$2:$H$2000,Sets!$A$2:$A$2000,$A20,Sets!$D$2:$D$2000,AB$1,Sets!$J$2:$J$2000,"N"))</f>
        <v/>
      </c>
      <c r="AC20" s="26">
        <f>IF(_xlfn.MAXIFS(Sets!$H$2:$H$2000,Sets!$A$2:$A$2000,$A20,Sets!$D$2:$D$2000,AC$1,Sets!$J$2:$J$2000,"N")=0,"",_xlfn.MAXIFS(Sets!$H$2:$H$2000,Sets!$A$2:$A$2000,$A20,Sets!$D$2:$D$2000,AC$1,Sets!$J$2:$J$2000,"N"))</f>
        <v/>
      </c>
      <c r="AD20" s="26">
        <f>IF(_xlfn.MAXIFS(Sets!$H$2:$H$2000,Sets!$A$2:$A$2000,$A20,Sets!$D$2:$D$2000,AD$1,Sets!$J$2:$J$2000,"N")=0,"",_xlfn.MAXIFS(Sets!$H$2:$H$2000,Sets!$A$2:$A$2000,$A20,Sets!$D$2:$D$2000,AD$1,Sets!$J$2:$J$2000,"N"))</f>
        <v/>
      </c>
      <c r="AE20" s="26">
        <f>IF(_xlfn.MAXIFS(Sets!$H$2:$H$2000,Sets!$A$2:$A$2000,$A20,Sets!$D$2:$D$2000,AE$1,Sets!$J$2:$J$2000,"N")=0,"",_xlfn.MAXIFS(Sets!$H$2:$H$2000,Sets!$A$2:$A$2000,$A20,Sets!$D$2:$D$2000,AE$1,Sets!$J$2:$J$2000,"N"))</f>
        <v/>
      </c>
      <c r="AF20" s="26">
        <f>IF(_xlfn.MAXIFS(Sets!$H$2:$H$2000,Sets!$A$2:$A$2000,$A20,Sets!$D$2:$D$2000,AF$1,Sets!$J$2:$J$2000,"N")=0,"",_xlfn.MAXIFS(Sets!$H$2:$H$2000,Sets!$A$2:$A$2000,$A20,Sets!$D$2:$D$2000,AF$1,Sets!$J$2:$J$2000,"N"))</f>
        <v/>
      </c>
      <c r="AG20" s="26">
        <f>IF(_xlfn.MAXIFS(Sets!$H$2:$H$2000,Sets!$A$2:$A$2000,$A20,Sets!$D$2:$D$2000,AG$1,Sets!$J$2:$J$2000,"N")=0,"",_xlfn.MAXIFS(Sets!$H$2:$H$2000,Sets!$A$2:$A$2000,$A20,Sets!$D$2:$D$2000,AG$1,Sets!$J$2:$J$2000,"N"))</f>
        <v/>
      </c>
      <c r="AH20" s="26">
        <f>IF(_xlfn.MAXIFS(Sets!$H$2:$H$2000,Sets!$A$2:$A$2000,$A20,Sets!$D$2:$D$2000,AH$1,Sets!$J$2:$J$2000,"N")=0,"",_xlfn.MAXIFS(Sets!$H$2:$H$2000,Sets!$A$2:$A$2000,$A20,Sets!$D$2:$D$2000,AH$1,Sets!$J$2:$J$2000,"N"))</f>
        <v/>
      </c>
      <c r="AI20">
        <f>IF(_xlfn.MAXIFS(Sets!$H$2:$H$2000,Sets!$A$2:$A$2000,$A20,Sets!$D$2:$D$2000,AI$1,Sets!$J$2:$J$2000,"N")=0,"",_xlfn.MAXIFS(Sets!$H$2:$H$2000,Sets!$A$2:$A$2000,$A20,Sets!$D$2:$D$2000,AI$1,Sets!$J$2:$J$2000,"N"))</f>
        <v/>
      </c>
      <c r="AJ20">
        <f>IF(_xlfn.MAXIFS(Sets!$H$2:$H$2000,Sets!$A$2:$A$2000,$A20,Sets!$D$2:$D$2000,AJ$1,Sets!$J$2:$J$2000,"N")=0,"",_xlfn.MAXIFS(Sets!$H$2:$H$2000,Sets!$A$2:$A$2000,$A20,Sets!$D$2:$D$2000,AJ$1,Sets!$J$2:$J$2000,"N"))</f>
        <v/>
      </c>
      <c r="AK20">
        <f>IF(_xlfn.MAXIFS(Sets!$H$2:$H$2000,Sets!$A$2:$A$2000,$A20,Sets!$D$2:$D$2000,AK$1,Sets!$J$2:$J$2000,"N")=0,"",_xlfn.MAXIFS(Sets!$H$2:$H$2000,Sets!$A$2:$A$2000,$A20,Sets!$D$2:$D$2000,AK$1,Sets!$J$2:$J$2000,"N"))</f>
        <v/>
      </c>
      <c r="AL20">
        <f>IF(_xlfn.MAXIFS(Sets!$H$2:$H$2000,Sets!$A$2:$A$2000,$A20,Sets!$D$2:$D$2000,AL$1,Sets!$J$2:$J$2000,"N")=0,"",_xlfn.MAXIFS(Sets!$H$2:$H$2000,Sets!$A$2:$A$2000,$A20,Sets!$D$2:$D$2000,AL$1,Sets!$J$2:$J$2000,"N"))</f>
        <v/>
      </c>
      <c r="AM20">
        <f>IF(_xlfn.MAXIFS(Sets!$H$2:$H$2000,Sets!$A$2:$A$2000,$A20,Sets!$D$2:$D$2000,AM$1,Sets!$J$2:$J$2000,"N")=0,"",_xlfn.MAXIFS(Sets!$H$2:$H$2000,Sets!$A$2:$A$2000,$A20,Sets!$D$2:$D$2000,AM$1,Sets!$J$2:$J$2000,"N"))</f>
        <v/>
      </c>
      <c r="AN20">
        <f>IF(_xlfn.MAXIFS(Sets!$H$2:$H$2000,Sets!$A$2:$A$2000,$A20,Sets!$D$2:$D$2000,AN$1,Sets!$J$2:$J$2000,"N")=0,"",_xlfn.MAXIFS(Sets!$H$2:$H$2000,Sets!$A$2:$A$2000,$A20,Sets!$D$2:$D$2000,AN$1,Sets!$J$2:$J$2000,"N"))</f>
        <v/>
      </c>
      <c r="AO20">
        <f>IF(_xlfn.MAXIFS(Sets!$H$2:$H$2000,Sets!$A$2:$A$2000,$A20,Sets!$D$2:$D$2000,AO$1,Sets!$J$2:$J$2000,"N")=0,"",_xlfn.MAXIFS(Sets!$H$2:$H$2000,Sets!$A$2:$A$2000,$A20,Sets!$D$2:$D$2000,AO$1,Sets!$J$2:$J$2000,"N"))</f>
        <v/>
      </c>
      <c r="AP20">
        <f>IF(_xlfn.MAXIFS(Sets!$H$2:$H$2000,Sets!$A$2:$A$2000,$A20,Sets!$D$2:$D$2000,AP$1,Sets!$J$2:$J$2000,"N")=0,"",_xlfn.MAXIFS(Sets!$H$2:$H$2000,Sets!$A$2:$A$2000,$A20,Sets!$D$2:$D$2000,AP$1,Sets!$J$2:$J$2000,"N"))</f>
        <v/>
      </c>
    </row>
    <row r="21" ht="15" customHeight="1" s="22">
      <c r="A21" s="39" t="n">
        <v>46127</v>
      </c>
      <c r="B21" s="26">
        <f>IF(_xlfn.MAXIFS(Sets!$H$2:$H$2000,Sets!$A$2:$A$2000,$A21,Sets!$D$2:$D$2000,B$1,Sets!$J$2:$J$2000,"N")=0,"",_xlfn.MAXIFS(Sets!$H$2:$H$2000,Sets!$A$2:$A$2000,$A21,Sets!$D$2:$D$2000,B$1,Sets!$J$2:$J$2000,"N"))</f>
        <v/>
      </c>
      <c r="C21" s="26">
        <f>IF(_xlfn.MAXIFS(Sets!$H$2:$H$2000,Sets!$A$2:$A$2000,$A21,Sets!$D$2:$D$2000,C$1,Sets!$J$2:$J$2000,"N")=0,"",_xlfn.MAXIFS(Sets!$H$2:$H$2000,Sets!$A$2:$A$2000,$A21,Sets!$D$2:$D$2000,C$1,Sets!$J$2:$J$2000,"N"))</f>
        <v/>
      </c>
      <c r="D21" s="26">
        <f>IF(_xlfn.MAXIFS(Sets!$H$2:$H$2000,Sets!$A$2:$A$2000,$A21,Sets!$D$2:$D$2000,D$1,Sets!$J$2:$J$2000,"N")=0,"",_xlfn.MAXIFS(Sets!$H$2:$H$2000,Sets!$A$2:$A$2000,$A21,Sets!$D$2:$D$2000,D$1,Sets!$J$2:$J$2000,"N"))</f>
        <v/>
      </c>
      <c r="E21" s="26">
        <f>IF(_xlfn.MAXIFS(Sets!$H$2:$H$2000,Sets!$A$2:$A$2000,$A21,Sets!$D$2:$D$2000,E$1,Sets!$J$2:$J$2000,"N")=0,"",_xlfn.MAXIFS(Sets!$H$2:$H$2000,Sets!$A$2:$A$2000,$A21,Sets!$D$2:$D$2000,E$1,Sets!$J$2:$J$2000,"N"))</f>
        <v/>
      </c>
      <c r="F21" s="26">
        <f>IF(_xlfn.MAXIFS(Sets!$H$2:$H$2000,Sets!$A$2:$A$2000,$A21,Sets!$D$2:$D$2000,F$1,Sets!$J$2:$J$2000,"N")=0,"",_xlfn.MAXIFS(Sets!$H$2:$H$2000,Sets!$A$2:$A$2000,$A21,Sets!$D$2:$D$2000,F$1,Sets!$J$2:$J$2000,"N"))</f>
        <v/>
      </c>
      <c r="G21" s="26">
        <f>IF(_xlfn.MAXIFS(Sets!$H$2:$H$2000,Sets!$A$2:$A$2000,$A21,Sets!$D$2:$D$2000,G$1,Sets!$J$2:$J$2000,"N")=0,"",_xlfn.MAXIFS(Sets!$H$2:$H$2000,Sets!$A$2:$A$2000,$A21,Sets!$D$2:$D$2000,G$1,Sets!$J$2:$J$2000,"N"))</f>
        <v/>
      </c>
      <c r="H21" s="26">
        <f>IF(_xlfn.MAXIFS(Sets!$H$2:$H$2000,Sets!$A$2:$A$2000,$A21,Sets!$D$2:$D$2000,H$1,Sets!$J$2:$J$2000,"N")=0,"",_xlfn.MAXIFS(Sets!$H$2:$H$2000,Sets!$A$2:$A$2000,$A21,Sets!$D$2:$D$2000,H$1,Sets!$J$2:$J$2000,"N"))</f>
        <v/>
      </c>
      <c r="I21" s="26">
        <f>IF(_xlfn.MAXIFS(Sets!$H$2:$H$2000,Sets!$A$2:$A$2000,$A21,Sets!$D$2:$D$2000,I$1,Sets!$J$2:$J$2000,"N")=0,"",_xlfn.MAXIFS(Sets!$H$2:$H$2000,Sets!$A$2:$A$2000,$A21,Sets!$D$2:$D$2000,I$1,Sets!$J$2:$J$2000,"N"))</f>
        <v/>
      </c>
      <c r="J21" s="26">
        <f>IF(_xlfn.MAXIFS(Sets!$H$2:$H$2000,Sets!$A$2:$A$2000,$A21,Sets!$D$2:$D$2000,J$1,Sets!$J$2:$J$2000,"N")=0,"",_xlfn.MAXIFS(Sets!$H$2:$H$2000,Sets!$A$2:$A$2000,$A21,Sets!$D$2:$D$2000,J$1,Sets!$J$2:$J$2000,"N"))</f>
        <v/>
      </c>
      <c r="K21" s="26">
        <f>IF(_xlfn.MAXIFS(Sets!$H$2:$H$2000,Sets!$A$2:$A$2000,$A21,Sets!$D$2:$D$2000,K$1,Sets!$J$2:$J$2000,"N")=0,"",_xlfn.MAXIFS(Sets!$H$2:$H$2000,Sets!$A$2:$A$2000,$A21,Sets!$D$2:$D$2000,K$1,Sets!$J$2:$J$2000,"N"))</f>
        <v/>
      </c>
      <c r="L21" s="26">
        <f>IF(_xlfn.MAXIFS(Sets!$H$2:$H$2000,Sets!$A$2:$A$2000,$A21,Sets!$D$2:$D$2000,L$1,Sets!$J$2:$J$2000,"N")=0,"",_xlfn.MAXIFS(Sets!$H$2:$H$2000,Sets!$A$2:$A$2000,$A21,Sets!$D$2:$D$2000,L$1,Sets!$J$2:$J$2000,"N"))</f>
        <v/>
      </c>
      <c r="M21" s="26">
        <f>IF(_xlfn.MAXIFS(Sets!$H$2:$H$2000,Sets!$A$2:$A$2000,$A21,Sets!$D$2:$D$2000,M$1,Sets!$J$2:$J$2000,"N")=0,"",_xlfn.MAXIFS(Sets!$H$2:$H$2000,Sets!$A$2:$A$2000,$A21,Sets!$D$2:$D$2000,M$1,Sets!$J$2:$J$2000,"N"))</f>
        <v/>
      </c>
      <c r="N21" s="26">
        <f>IF(_xlfn.MAXIFS(Sets!$H$2:$H$2000,Sets!$A$2:$A$2000,$A21,Sets!$D$2:$D$2000,N$1,Sets!$J$2:$J$2000,"N")=0,"",_xlfn.MAXIFS(Sets!$H$2:$H$2000,Sets!$A$2:$A$2000,$A21,Sets!$D$2:$D$2000,N$1,Sets!$J$2:$J$2000,"N"))</f>
        <v/>
      </c>
      <c r="O21" s="26">
        <f>IF(_xlfn.MAXIFS(Sets!$H$2:$H$2000,Sets!$A$2:$A$2000,$A21,Sets!$D$2:$D$2000,O$1,Sets!$J$2:$J$2000,"N")=0,"",_xlfn.MAXIFS(Sets!$H$2:$H$2000,Sets!$A$2:$A$2000,$A21,Sets!$D$2:$D$2000,O$1,Sets!$J$2:$J$2000,"N"))</f>
        <v/>
      </c>
      <c r="P21" s="26">
        <f>IF(_xlfn.MAXIFS(Sets!$H$2:$H$2000,Sets!$A$2:$A$2000,$A21,Sets!$D$2:$D$2000,P$1,Sets!$J$2:$J$2000,"N")=0,"",_xlfn.MAXIFS(Sets!$H$2:$H$2000,Sets!$A$2:$A$2000,$A21,Sets!$D$2:$D$2000,P$1,Sets!$J$2:$J$2000,"N"))</f>
        <v/>
      </c>
      <c r="Q21" s="26">
        <f>IF(_xlfn.MAXIFS(Sets!$H$2:$H$2000,Sets!$A$2:$A$2000,$A21,Sets!$D$2:$D$2000,Q$1,Sets!$J$2:$J$2000,"N")=0,"",_xlfn.MAXIFS(Sets!$H$2:$H$2000,Sets!$A$2:$A$2000,$A21,Sets!$D$2:$D$2000,Q$1,Sets!$J$2:$J$2000,"N"))</f>
        <v/>
      </c>
      <c r="R21" s="26">
        <f>IF(_xlfn.MAXIFS(Sets!$H$2:$H$2000,Sets!$A$2:$A$2000,$A21,Sets!$D$2:$D$2000,R$1,Sets!$J$2:$J$2000,"N")=0,"",_xlfn.MAXIFS(Sets!$H$2:$H$2000,Sets!$A$2:$A$2000,$A21,Sets!$D$2:$D$2000,R$1,Sets!$J$2:$J$2000,"N"))</f>
        <v/>
      </c>
      <c r="S21" s="26">
        <f>IF(_xlfn.MAXIFS(Sets!$H$2:$H$2000,Sets!$A$2:$A$2000,$A21,Sets!$D$2:$D$2000,S$1,Sets!$J$2:$J$2000,"N")=0,"",_xlfn.MAXIFS(Sets!$H$2:$H$2000,Sets!$A$2:$A$2000,$A21,Sets!$D$2:$D$2000,S$1,Sets!$J$2:$J$2000,"N"))</f>
        <v/>
      </c>
      <c r="T21" s="26">
        <f>IF(_xlfn.MAXIFS(Sets!$H$2:$H$2000,Sets!$A$2:$A$2000,$A21,Sets!$D$2:$D$2000,T$1,Sets!$J$2:$J$2000,"N")=0,"",_xlfn.MAXIFS(Sets!$H$2:$H$2000,Sets!$A$2:$A$2000,$A21,Sets!$D$2:$D$2000,T$1,Sets!$J$2:$J$2000,"N"))</f>
        <v/>
      </c>
      <c r="U21" s="26">
        <f>IF(_xlfn.MAXIFS(Sets!$H$2:$H$2000,Sets!$A$2:$A$2000,$A21,Sets!$D$2:$D$2000,U$1,Sets!$J$2:$J$2000,"N")=0,"",_xlfn.MAXIFS(Sets!$H$2:$H$2000,Sets!$A$2:$A$2000,$A21,Sets!$D$2:$D$2000,U$1,Sets!$J$2:$J$2000,"N"))</f>
        <v/>
      </c>
      <c r="V21" s="26">
        <f>IF(_xlfn.MAXIFS(Sets!$H$2:$H$2000,Sets!$A$2:$A$2000,$A21,Sets!$D$2:$D$2000,V$1,Sets!$J$2:$J$2000,"N")=0,"",_xlfn.MAXIFS(Sets!$H$2:$H$2000,Sets!$A$2:$A$2000,$A21,Sets!$D$2:$D$2000,V$1,Sets!$J$2:$J$2000,"N"))</f>
        <v/>
      </c>
      <c r="W21" s="26">
        <f>IF(_xlfn.MAXIFS(Sets!$H$2:$H$2000,Sets!$A$2:$A$2000,$A21,Sets!$D$2:$D$2000,W$1,Sets!$J$2:$J$2000,"N")=0,"",_xlfn.MAXIFS(Sets!$H$2:$H$2000,Sets!$A$2:$A$2000,$A21,Sets!$D$2:$D$2000,W$1,Sets!$J$2:$J$2000,"N"))</f>
        <v/>
      </c>
      <c r="X21" s="26">
        <f>IF(_xlfn.MAXIFS(Sets!$H$2:$H$2000,Sets!$A$2:$A$2000,$A21,Sets!$D$2:$D$2000,X$1,Sets!$J$2:$J$2000,"N")=0,"",_xlfn.MAXIFS(Sets!$H$2:$H$2000,Sets!$A$2:$A$2000,$A21,Sets!$D$2:$D$2000,X$1,Sets!$J$2:$J$2000,"N"))</f>
        <v/>
      </c>
      <c r="Y21" s="26">
        <f>IF(_xlfn.MAXIFS(Sets!$H$2:$H$2000,Sets!$A$2:$A$2000,$A21,Sets!$D$2:$D$2000,Y$1,Sets!$J$2:$J$2000,"N")=0,"",_xlfn.MAXIFS(Sets!$H$2:$H$2000,Sets!$A$2:$A$2000,$A21,Sets!$D$2:$D$2000,Y$1,Sets!$J$2:$J$2000,"N"))</f>
        <v/>
      </c>
      <c r="Z21" s="26">
        <f>IF(_xlfn.MAXIFS(Sets!$H$2:$H$2000,Sets!$A$2:$A$2000,$A21,Sets!$D$2:$D$2000,Z$1,Sets!$J$2:$J$2000,"N")=0,"",_xlfn.MAXIFS(Sets!$H$2:$H$2000,Sets!$A$2:$A$2000,$A21,Sets!$D$2:$D$2000,Z$1,Sets!$J$2:$J$2000,"N"))</f>
        <v/>
      </c>
      <c r="AA21" s="26">
        <f>IF(_xlfn.MAXIFS(Sets!$H$2:$H$2000,Sets!$A$2:$A$2000,$A21,Sets!$D$2:$D$2000,AA$1,Sets!$J$2:$J$2000,"N")=0,"",_xlfn.MAXIFS(Sets!$H$2:$H$2000,Sets!$A$2:$A$2000,$A21,Sets!$D$2:$D$2000,AA$1,Sets!$J$2:$J$2000,"N"))</f>
        <v/>
      </c>
      <c r="AB21" s="26">
        <f>IF(_xlfn.MAXIFS(Sets!$H$2:$H$2000,Sets!$A$2:$A$2000,$A21,Sets!$D$2:$D$2000,AB$1,Sets!$J$2:$J$2000,"N")=0,"",_xlfn.MAXIFS(Sets!$H$2:$H$2000,Sets!$A$2:$A$2000,$A21,Sets!$D$2:$D$2000,AB$1,Sets!$J$2:$J$2000,"N"))</f>
        <v/>
      </c>
      <c r="AC21" s="26">
        <f>IF(_xlfn.MAXIFS(Sets!$H$2:$H$2000,Sets!$A$2:$A$2000,$A21,Sets!$D$2:$D$2000,AC$1,Sets!$J$2:$J$2000,"N")=0,"",_xlfn.MAXIFS(Sets!$H$2:$H$2000,Sets!$A$2:$A$2000,$A21,Sets!$D$2:$D$2000,AC$1,Sets!$J$2:$J$2000,"N"))</f>
        <v/>
      </c>
      <c r="AD21" s="26">
        <f>IF(_xlfn.MAXIFS(Sets!$H$2:$H$2000,Sets!$A$2:$A$2000,$A21,Sets!$D$2:$D$2000,AD$1,Sets!$J$2:$J$2000,"N")=0,"",_xlfn.MAXIFS(Sets!$H$2:$H$2000,Sets!$A$2:$A$2000,$A21,Sets!$D$2:$D$2000,AD$1,Sets!$J$2:$J$2000,"N"))</f>
        <v/>
      </c>
      <c r="AE21" s="26">
        <f>IF(_xlfn.MAXIFS(Sets!$H$2:$H$2000,Sets!$A$2:$A$2000,$A21,Sets!$D$2:$D$2000,AE$1,Sets!$J$2:$J$2000,"N")=0,"",_xlfn.MAXIFS(Sets!$H$2:$H$2000,Sets!$A$2:$A$2000,$A21,Sets!$D$2:$D$2000,AE$1,Sets!$J$2:$J$2000,"N"))</f>
        <v/>
      </c>
      <c r="AF21" s="26">
        <f>IF(_xlfn.MAXIFS(Sets!$H$2:$H$2000,Sets!$A$2:$A$2000,$A21,Sets!$D$2:$D$2000,AF$1,Sets!$J$2:$J$2000,"N")=0,"",_xlfn.MAXIFS(Sets!$H$2:$H$2000,Sets!$A$2:$A$2000,$A21,Sets!$D$2:$D$2000,AF$1,Sets!$J$2:$J$2000,"N"))</f>
        <v/>
      </c>
      <c r="AG21" s="26">
        <f>IF(_xlfn.MAXIFS(Sets!$H$2:$H$2000,Sets!$A$2:$A$2000,$A21,Sets!$D$2:$D$2000,AG$1,Sets!$J$2:$J$2000,"N")=0,"",_xlfn.MAXIFS(Sets!$H$2:$H$2000,Sets!$A$2:$A$2000,$A21,Sets!$D$2:$D$2000,AG$1,Sets!$J$2:$J$2000,"N"))</f>
        <v/>
      </c>
      <c r="AH21" s="26">
        <f>IF(_xlfn.MAXIFS(Sets!$H$2:$H$2000,Sets!$A$2:$A$2000,$A21,Sets!$D$2:$D$2000,AH$1,Sets!$J$2:$J$2000,"N")=0,"",_xlfn.MAXIFS(Sets!$H$2:$H$2000,Sets!$A$2:$A$2000,$A21,Sets!$D$2:$D$2000,AH$1,Sets!$J$2:$J$2000,"N"))</f>
        <v/>
      </c>
      <c r="AI21">
        <f>IF(_xlfn.MAXIFS(Sets!$H$2:$H$2000,Sets!$A$2:$A$2000,$A21,Sets!$D$2:$D$2000,AI$1,Sets!$J$2:$J$2000,"N")=0,"",_xlfn.MAXIFS(Sets!$H$2:$H$2000,Sets!$A$2:$A$2000,$A21,Sets!$D$2:$D$2000,AI$1,Sets!$J$2:$J$2000,"N"))</f>
        <v/>
      </c>
      <c r="AJ21">
        <f>IF(_xlfn.MAXIFS(Sets!$H$2:$H$2000,Sets!$A$2:$A$2000,$A21,Sets!$D$2:$D$2000,AJ$1,Sets!$J$2:$J$2000,"N")=0,"",_xlfn.MAXIFS(Sets!$H$2:$H$2000,Sets!$A$2:$A$2000,$A21,Sets!$D$2:$D$2000,AJ$1,Sets!$J$2:$J$2000,"N"))</f>
        <v/>
      </c>
      <c r="AK21">
        <f>IF(_xlfn.MAXIFS(Sets!$H$2:$H$2000,Sets!$A$2:$A$2000,$A21,Sets!$D$2:$D$2000,AK$1,Sets!$J$2:$J$2000,"N")=0,"",_xlfn.MAXIFS(Sets!$H$2:$H$2000,Sets!$A$2:$A$2000,$A21,Sets!$D$2:$D$2000,AK$1,Sets!$J$2:$J$2000,"N"))</f>
        <v/>
      </c>
      <c r="AL21">
        <f>IF(_xlfn.MAXIFS(Sets!$H$2:$H$2000,Sets!$A$2:$A$2000,$A21,Sets!$D$2:$D$2000,AL$1,Sets!$J$2:$J$2000,"N")=0,"",_xlfn.MAXIFS(Sets!$H$2:$H$2000,Sets!$A$2:$A$2000,$A21,Sets!$D$2:$D$2000,AL$1,Sets!$J$2:$J$2000,"N"))</f>
        <v/>
      </c>
      <c r="AM21">
        <f>IF(_xlfn.MAXIFS(Sets!$H$2:$H$2000,Sets!$A$2:$A$2000,$A21,Sets!$D$2:$D$2000,AM$1,Sets!$J$2:$J$2000,"N")=0,"",_xlfn.MAXIFS(Sets!$H$2:$H$2000,Sets!$A$2:$A$2000,$A21,Sets!$D$2:$D$2000,AM$1,Sets!$J$2:$J$2000,"N"))</f>
        <v/>
      </c>
      <c r="AN21">
        <f>IF(_xlfn.MAXIFS(Sets!$H$2:$H$2000,Sets!$A$2:$A$2000,$A21,Sets!$D$2:$D$2000,AN$1,Sets!$J$2:$J$2000,"N")=0,"",_xlfn.MAXIFS(Sets!$H$2:$H$2000,Sets!$A$2:$A$2000,$A21,Sets!$D$2:$D$2000,AN$1,Sets!$J$2:$J$2000,"N"))</f>
        <v/>
      </c>
      <c r="AO21">
        <f>IF(_xlfn.MAXIFS(Sets!$H$2:$H$2000,Sets!$A$2:$A$2000,$A21,Sets!$D$2:$D$2000,AO$1,Sets!$J$2:$J$2000,"N")=0,"",_xlfn.MAXIFS(Sets!$H$2:$H$2000,Sets!$A$2:$A$2000,$A21,Sets!$D$2:$D$2000,AO$1,Sets!$J$2:$J$2000,"N"))</f>
        <v/>
      </c>
      <c r="AP21">
        <f>IF(_xlfn.MAXIFS(Sets!$H$2:$H$2000,Sets!$A$2:$A$2000,$A21,Sets!$D$2:$D$2000,AP$1,Sets!$J$2:$J$2000,"N")=0,"",_xlfn.MAXIFS(Sets!$H$2:$H$2000,Sets!$A$2:$A$2000,$A21,Sets!$D$2:$D$2000,AP$1,Sets!$J$2:$J$2000,"N"))</f>
        <v/>
      </c>
    </row>
    <row r="22" ht="15" customHeight="1" s="22">
      <c r="A22" s="39" t="n">
        <v>46128</v>
      </c>
      <c r="B22" s="26">
        <f>IF(_xlfn.MAXIFS(Sets!$H$2:$H$2000,Sets!$A$2:$A$2000,$A22,Sets!$D$2:$D$2000,B$1,Sets!$J$2:$J$2000,"N")=0,"",_xlfn.MAXIFS(Sets!$H$2:$H$2000,Sets!$A$2:$A$2000,$A22,Sets!$D$2:$D$2000,B$1,Sets!$J$2:$J$2000,"N"))</f>
        <v/>
      </c>
      <c r="C22" s="26">
        <f>IF(_xlfn.MAXIFS(Sets!$H$2:$H$2000,Sets!$A$2:$A$2000,$A22,Sets!$D$2:$D$2000,C$1,Sets!$J$2:$J$2000,"N")=0,"",_xlfn.MAXIFS(Sets!$H$2:$H$2000,Sets!$A$2:$A$2000,$A22,Sets!$D$2:$D$2000,C$1,Sets!$J$2:$J$2000,"N"))</f>
        <v/>
      </c>
      <c r="D22" s="26">
        <f>IF(_xlfn.MAXIFS(Sets!$H$2:$H$2000,Sets!$A$2:$A$2000,$A22,Sets!$D$2:$D$2000,D$1,Sets!$J$2:$J$2000,"N")=0,"",_xlfn.MAXIFS(Sets!$H$2:$H$2000,Sets!$A$2:$A$2000,$A22,Sets!$D$2:$D$2000,D$1,Sets!$J$2:$J$2000,"N"))</f>
        <v/>
      </c>
      <c r="E22" s="26">
        <f>IF(_xlfn.MAXIFS(Sets!$H$2:$H$2000,Sets!$A$2:$A$2000,$A22,Sets!$D$2:$D$2000,E$1,Sets!$J$2:$J$2000,"N")=0,"",_xlfn.MAXIFS(Sets!$H$2:$H$2000,Sets!$A$2:$A$2000,$A22,Sets!$D$2:$D$2000,E$1,Sets!$J$2:$J$2000,"N"))</f>
        <v/>
      </c>
      <c r="F22" s="26">
        <f>IF(_xlfn.MAXIFS(Sets!$H$2:$H$2000,Sets!$A$2:$A$2000,$A22,Sets!$D$2:$D$2000,F$1,Sets!$J$2:$J$2000,"N")=0,"",_xlfn.MAXIFS(Sets!$H$2:$H$2000,Sets!$A$2:$A$2000,$A22,Sets!$D$2:$D$2000,F$1,Sets!$J$2:$J$2000,"N"))</f>
        <v/>
      </c>
      <c r="G22" s="26">
        <f>IF(_xlfn.MAXIFS(Sets!$H$2:$H$2000,Sets!$A$2:$A$2000,$A22,Sets!$D$2:$D$2000,G$1,Sets!$J$2:$J$2000,"N")=0,"",_xlfn.MAXIFS(Sets!$H$2:$H$2000,Sets!$A$2:$A$2000,$A22,Sets!$D$2:$D$2000,G$1,Sets!$J$2:$J$2000,"N"))</f>
        <v/>
      </c>
      <c r="H22" s="26">
        <f>IF(_xlfn.MAXIFS(Sets!$H$2:$H$2000,Sets!$A$2:$A$2000,$A22,Sets!$D$2:$D$2000,H$1,Sets!$J$2:$J$2000,"N")=0,"",_xlfn.MAXIFS(Sets!$H$2:$H$2000,Sets!$A$2:$A$2000,$A22,Sets!$D$2:$D$2000,H$1,Sets!$J$2:$J$2000,"N"))</f>
        <v/>
      </c>
      <c r="I22" s="26">
        <f>IF(_xlfn.MAXIFS(Sets!$H$2:$H$2000,Sets!$A$2:$A$2000,$A22,Sets!$D$2:$D$2000,I$1,Sets!$J$2:$J$2000,"N")=0,"",_xlfn.MAXIFS(Sets!$H$2:$H$2000,Sets!$A$2:$A$2000,$A22,Sets!$D$2:$D$2000,I$1,Sets!$J$2:$J$2000,"N"))</f>
        <v/>
      </c>
      <c r="J22" s="26">
        <f>IF(_xlfn.MAXIFS(Sets!$H$2:$H$2000,Sets!$A$2:$A$2000,$A22,Sets!$D$2:$D$2000,J$1,Sets!$J$2:$J$2000,"N")=0,"",_xlfn.MAXIFS(Sets!$H$2:$H$2000,Sets!$A$2:$A$2000,$A22,Sets!$D$2:$D$2000,J$1,Sets!$J$2:$J$2000,"N"))</f>
        <v/>
      </c>
      <c r="K22" s="26">
        <f>IF(_xlfn.MAXIFS(Sets!$H$2:$H$2000,Sets!$A$2:$A$2000,$A22,Sets!$D$2:$D$2000,K$1,Sets!$J$2:$J$2000,"N")=0,"",_xlfn.MAXIFS(Sets!$H$2:$H$2000,Sets!$A$2:$A$2000,$A22,Sets!$D$2:$D$2000,K$1,Sets!$J$2:$J$2000,"N"))</f>
        <v/>
      </c>
      <c r="L22" s="26">
        <f>IF(_xlfn.MAXIFS(Sets!$H$2:$H$2000,Sets!$A$2:$A$2000,$A22,Sets!$D$2:$D$2000,L$1,Sets!$J$2:$J$2000,"N")=0,"",_xlfn.MAXIFS(Sets!$H$2:$H$2000,Sets!$A$2:$A$2000,$A22,Sets!$D$2:$D$2000,L$1,Sets!$J$2:$J$2000,"N"))</f>
        <v/>
      </c>
      <c r="M22" s="26">
        <f>IF(_xlfn.MAXIFS(Sets!$H$2:$H$2000,Sets!$A$2:$A$2000,$A22,Sets!$D$2:$D$2000,M$1,Sets!$J$2:$J$2000,"N")=0,"",_xlfn.MAXIFS(Sets!$H$2:$H$2000,Sets!$A$2:$A$2000,$A22,Sets!$D$2:$D$2000,M$1,Sets!$J$2:$J$2000,"N"))</f>
        <v/>
      </c>
      <c r="N22" s="26">
        <f>IF(_xlfn.MAXIFS(Sets!$H$2:$H$2000,Sets!$A$2:$A$2000,$A22,Sets!$D$2:$D$2000,N$1,Sets!$J$2:$J$2000,"N")=0,"",_xlfn.MAXIFS(Sets!$H$2:$H$2000,Sets!$A$2:$A$2000,$A22,Sets!$D$2:$D$2000,N$1,Sets!$J$2:$J$2000,"N"))</f>
        <v/>
      </c>
      <c r="O22" s="26">
        <f>IF(_xlfn.MAXIFS(Sets!$H$2:$H$2000,Sets!$A$2:$A$2000,$A22,Sets!$D$2:$D$2000,O$1,Sets!$J$2:$J$2000,"N")=0,"",_xlfn.MAXIFS(Sets!$H$2:$H$2000,Sets!$A$2:$A$2000,$A22,Sets!$D$2:$D$2000,O$1,Sets!$J$2:$J$2000,"N"))</f>
        <v/>
      </c>
      <c r="P22" s="26">
        <f>IF(_xlfn.MAXIFS(Sets!$H$2:$H$2000,Sets!$A$2:$A$2000,$A22,Sets!$D$2:$D$2000,P$1,Sets!$J$2:$J$2000,"N")=0,"",_xlfn.MAXIFS(Sets!$H$2:$H$2000,Sets!$A$2:$A$2000,$A22,Sets!$D$2:$D$2000,P$1,Sets!$J$2:$J$2000,"N"))</f>
        <v/>
      </c>
      <c r="Q22" s="26">
        <f>IF(_xlfn.MAXIFS(Sets!$H$2:$H$2000,Sets!$A$2:$A$2000,$A22,Sets!$D$2:$D$2000,Q$1,Sets!$J$2:$J$2000,"N")=0,"",_xlfn.MAXIFS(Sets!$H$2:$H$2000,Sets!$A$2:$A$2000,$A22,Sets!$D$2:$D$2000,Q$1,Sets!$J$2:$J$2000,"N"))</f>
        <v/>
      </c>
      <c r="R22" s="26">
        <f>IF(_xlfn.MAXIFS(Sets!$H$2:$H$2000,Sets!$A$2:$A$2000,$A22,Sets!$D$2:$D$2000,R$1,Sets!$J$2:$J$2000,"N")=0,"",_xlfn.MAXIFS(Sets!$H$2:$H$2000,Sets!$A$2:$A$2000,$A22,Sets!$D$2:$D$2000,R$1,Sets!$J$2:$J$2000,"N"))</f>
        <v/>
      </c>
      <c r="S22" s="26">
        <f>IF(_xlfn.MAXIFS(Sets!$H$2:$H$2000,Sets!$A$2:$A$2000,$A22,Sets!$D$2:$D$2000,S$1,Sets!$J$2:$J$2000,"N")=0,"",_xlfn.MAXIFS(Sets!$H$2:$H$2000,Sets!$A$2:$A$2000,$A22,Sets!$D$2:$D$2000,S$1,Sets!$J$2:$J$2000,"N"))</f>
        <v/>
      </c>
      <c r="T22" s="26">
        <f>IF(_xlfn.MAXIFS(Sets!$H$2:$H$2000,Sets!$A$2:$A$2000,$A22,Sets!$D$2:$D$2000,T$1,Sets!$J$2:$J$2000,"N")=0,"",_xlfn.MAXIFS(Sets!$H$2:$H$2000,Sets!$A$2:$A$2000,$A22,Sets!$D$2:$D$2000,T$1,Sets!$J$2:$J$2000,"N"))</f>
        <v/>
      </c>
      <c r="U22" s="26">
        <f>IF(_xlfn.MAXIFS(Sets!$H$2:$H$2000,Sets!$A$2:$A$2000,$A22,Sets!$D$2:$D$2000,U$1,Sets!$J$2:$J$2000,"N")=0,"",_xlfn.MAXIFS(Sets!$H$2:$H$2000,Sets!$A$2:$A$2000,$A22,Sets!$D$2:$D$2000,U$1,Sets!$J$2:$J$2000,"N"))</f>
        <v/>
      </c>
      <c r="V22" s="26">
        <f>IF(_xlfn.MAXIFS(Sets!$H$2:$H$2000,Sets!$A$2:$A$2000,$A22,Sets!$D$2:$D$2000,V$1,Sets!$J$2:$J$2000,"N")=0,"",_xlfn.MAXIFS(Sets!$H$2:$H$2000,Sets!$A$2:$A$2000,$A22,Sets!$D$2:$D$2000,V$1,Sets!$J$2:$J$2000,"N"))</f>
        <v/>
      </c>
      <c r="W22" s="26">
        <f>IF(_xlfn.MAXIFS(Sets!$H$2:$H$2000,Sets!$A$2:$A$2000,$A22,Sets!$D$2:$D$2000,W$1,Sets!$J$2:$J$2000,"N")=0,"",_xlfn.MAXIFS(Sets!$H$2:$H$2000,Sets!$A$2:$A$2000,$A22,Sets!$D$2:$D$2000,W$1,Sets!$J$2:$J$2000,"N"))</f>
        <v/>
      </c>
      <c r="X22" s="26">
        <f>IF(_xlfn.MAXIFS(Sets!$H$2:$H$2000,Sets!$A$2:$A$2000,$A22,Sets!$D$2:$D$2000,X$1,Sets!$J$2:$J$2000,"N")=0,"",_xlfn.MAXIFS(Sets!$H$2:$H$2000,Sets!$A$2:$A$2000,$A22,Sets!$D$2:$D$2000,X$1,Sets!$J$2:$J$2000,"N"))</f>
        <v/>
      </c>
      <c r="Y22" s="26">
        <f>IF(_xlfn.MAXIFS(Sets!$H$2:$H$2000,Sets!$A$2:$A$2000,$A22,Sets!$D$2:$D$2000,Y$1,Sets!$J$2:$J$2000,"N")=0,"",_xlfn.MAXIFS(Sets!$H$2:$H$2000,Sets!$A$2:$A$2000,$A22,Sets!$D$2:$D$2000,Y$1,Sets!$J$2:$J$2000,"N"))</f>
        <v/>
      </c>
      <c r="Z22" s="26">
        <f>IF(_xlfn.MAXIFS(Sets!$H$2:$H$2000,Sets!$A$2:$A$2000,$A22,Sets!$D$2:$D$2000,Z$1,Sets!$J$2:$J$2000,"N")=0,"",_xlfn.MAXIFS(Sets!$H$2:$H$2000,Sets!$A$2:$A$2000,$A22,Sets!$D$2:$D$2000,Z$1,Sets!$J$2:$J$2000,"N"))</f>
        <v/>
      </c>
      <c r="AA22" s="26">
        <f>IF(_xlfn.MAXIFS(Sets!$H$2:$H$2000,Sets!$A$2:$A$2000,$A22,Sets!$D$2:$D$2000,AA$1,Sets!$J$2:$J$2000,"N")=0,"",_xlfn.MAXIFS(Sets!$H$2:$H$2000,Sets!$A$2:$A$2000,$A22,Sets!$D$2:$D$2000,AA$1,Sets!$J$2:$J$2000,"N"))</f>
        <v/>
      </c>
      <c r="AB22" s="26">
        <f>IF(_xlfn.MAXIFS(Sets!$H$2:$H$2000,Sets!$A$2:$A$2000,$A22,Sets!$D$2:$D$2000,AB$1,Sets!$J$2:$J$2000,"N")=0,"",_xlfn.MAXIFS(Sets!$H$2:$H$2000,Sets!$A$2:$A$2000,$A22,Sets!$D$2:$D$2000,AB$1,Sets!$J$2:$J$2000,"N"))</f>
        <v/>
      </c>
      <c r="AC22" s="26">
        <f>IF(_xlfn.MAXIFS(Sets!$H$2:$H$2000,Sets!$A$2:$A$2000,$A22,Sets!$D$2:$D$2000,AC$1,Sets!$J$2:$J$2000,"N")=0,"",_xlfn.MAXIFS(Sets!$H$2:$H$2000,Sets!$A$2:$A$2000,$A22,Sets!$D$2:$D$2000,AC$1,Sets!$J$2:$J$2000,"N"))</f>
        <v/>
      </c>
      <c r="AD22" s="26">
        <f>IF(_xlfn.MAXIFS(Sets!$H$2:$H$2000,Sets!$A$2:$A$2000,$A22,Sets!$D$2:$D$2000,AD$1,Sets!$J$2:$J$2000,"N")=0,"",_xlfn.MAXIFS(Sets!$H$2:$H$2000,Sets!$A$2:$A$2000,$A22,Sets!$D$2:$D$2000,AD$1,Sets!$J$2:$J$2000,"N"))</f>
        <v/>
      </c>
      <c r="AE22" s="26">
        <f>IF(_xlfn.MAXIFS(Sets!$H$2:$H$2000,Sets!$A$2:$A$2000,$A22,Sets!$D$2:$D$2000,AE$1,Sets!$J$2:$J$2000,"N")=0,"",_xlfn.MAXIFS(Sets!$H$2:$H$2000,Sets!$A$2:$A$2000,$A22,Sets!$D$2:$D$2000,AE$1,Sets!$J$2:$J$2000,"N"))</f>
        <v/>
      </c>
      <c r="AF22" s="26">
        <f>IF(_xlfn.MAXIFS(Sets!$H$2:$H$2000,Sets!$A$2:$A$2000,$A22,Sets!$D$2:$D$2000,AF$1,Sets!$J$2:$J$2000,"N")=0,"",_xlfn.MAXIFS(Sets!$H$2:$H$2000,Sets!$A$2:$A$2000,$A22,Sets!$D$2:$D$2000,AF$1,Sets!$J$2:$J$2000,"N"))</f>
        <v/>
      </c>
      <c r="AG22" s="26">
        <f>IF(_xlfn.MAXIFS(Sets!$H$2:$H$2000,Sets!$A$2:$A$2000,$A22,Sets!$D$2:$D$2000,AG$1,Sets!$J$2:$J$2000,"N")=0,"",_xlfn.MAXIFS(Sets!$H$2:$H$2000,Sets!$A$2:$A$2000,$A22,Sets!$D$2:$D$2000,AG$1,Sets!$J$2:$J$2000,"N"))</f>
        <v/>
      </c>
      <c r="AH22" s="26">
        <f>IF(_xlfn.MAXIFS(Sets!$H$2:$H$2000,Sets!$A$2:$A$2000,$A22,Sets!$D$2:$D$2000,AH$1,Sets!$J$2:$J$2000,"N")=0,"",_xlfn.MAXIFS(Sets!$H$2:$H$2000,Sets!$A$2:$A$2000,$A22,Sets!$D$2:$D$2000,AH$1,Sets!$J$2:$J$2000,"N"))</f>
        <v/>
      </c>
      <c r="AI22">
        <f>IF(_xlfn.MAXIFS(Sets!$H$2:$H$2000,Sets!$A$2:$A$2000,$A22,Sets!$D$2:$D$2000,AI$1,Sets!$J$2:$J$2000,"N")=0,"",_xlfn.MAXIFS(Sets!$H$2:$H$2000,Sets!$A$2:$A$2000,$A22,Sets!$D$2:$D$2000,AI$1,Sets!$J$2:$J$2000,"N"))</f>
        <v/>
      </c>
      <c r="AJ22">
        <f>IF(_xlfn.MAXIFS(Sets!$H$2:$H$2000,Sets!$A$2:$A$2000,$A22,Sets!$D$2:$D$2000,AJ$1,Sets!$J$2:$J$2000,"N")=0,"",_xlfn.MAXIFS(Sets!$H$2:$H$2000,Sets!$A$2:$A$2000,$A22,Sets!$D$2:$D$2000,AJ$1,Sets!$J$2:$J$2000,"N"))</f>
        <v/>
      </c>
      <c r="AK22">
        <f>IF(_xlfn.MAXIFS(Sets!$H$2:$H$2000,Sets!$A$2:$A$2000,$A22,Sets!$D$2:$D$2000,AK$1,Sets!$J$2:$J$2000,"N")=0,"",_xlfn.MAXIFS(Sets!$H$2:$H$2000,Sets!$A$2:$A$2000,$A22,Sets!$D$2:$D$2000,AK$1,Sets!$J$2:$J$2000,"N"))</f>
        <v/>
      </c>
      <c r="AL22">
        <f>IF(_xlfn.MAXIFS(Sets!$H$2:$H$2000,Sets!$A$2:$A$2000,$A22,Sets!$D$2:$D$2000,AL$1,Sets!$J$2:$J$2000,"N")=0,"",_xlfn.MAXIFS(Sets!$H$2:$H$2000,Sets!$A$2:$A$2000,$A22,Sets!$D$2:$D$2000,AL$1,Sets!$J$2:$J$2000,"N"))</f>
        <v/>
      </c>
      <c r="AM22">
        <f>IF(_xlfn.MAXIFS(Sets!$H$2:$H$2000,Sets!$A$2:$A$2000,$A22,Sets!$D$2:$D$2000,AM$1,Sets!$J$2:$J$2000,"N")=0,"",_xlfn.MAXIFS(Sets!$H$2:$H$2000,Sets!$A$2:$A$2000,$A22,Sets!$D$2:$D$2000,AM$1,Sets!$J$2:$J$2000,"N"))</f>
        <v/>
      </c>
      <c r="AN22">
        <f>IF(_xlfn.MAXIFS(Sets!$H$2:$H$2000,Sets!$A$2:$A$2000,$A22,Sets!$D$2:$D$2000,AN$1,Sets!$J$2:$J$2000,"N")=0,"",_xlfn.MAXIFS(Sets!$H$2:$H$2000,Sets!$A$2:$A$2000,$A22,Sets!$D$2:$D$2000,AN$1,Sets!$J$2:$J$2000,"N"))</f>
        <v/>
      </c>
      <c r="AO22">
        <f>IF(_xlfn.MAXIFS(Sets!$H$2:$H$2000,Sets!$A$2:$A$2000,$A22,Sets!$D$2:$D$2000,AO$1,Sets!$J$2:$J$2000,"N")=0,"",_xlfn.MAXIFS(Sets!$H$2:$H$2000,Sets!$A$2:$A$2000,$A22,Sets!$D$2:$D$2000,AO$1,Sets!$J$2:$J$2000,"N"))</f>
        <v/>
      </c>
      <c r="AP22">
        <f>IF(_xlfn.MAXIFS(Sets!$H$2:$H$2000,Sets!$A$2:$A$2000,$A22,Sets!$D$2:$D$2000,AP$1,Sets!$J$2:$J$2000,"N")=0,"",_xlfn.MAXIFS(Sets!$H$2:$H$2000,Sets!$A$2:$A$2000,$A22,Sets!$D$2:$D$2000,AP$1,Sets!$J$2:$J$2000,"N"))</f>
        <v/>
      </c>
    </row>
    <row r="23" ht="15" customHeight="1" s="22">
      <c r="A23" s="39" t="n">
        <v>46129</v>
      </c>
      <c r="B23" s="26">
        <f>IF(_xlfn.MAXIFS(Sets!$H$2:$H$2000,Sets!$A$2:$A$2000,$A23,Sets!$D$2:$D$2000,B$1,Sets!$J$2:$J$2000,"N")=0,"",_xlfn.MAXIFS(Sets!$H$2:$H$2000,Sets!$A$2:$A$2000,$A23,Sets!$D$2:$D$2000,B$1,Sets!$J$2:$J$2000,"N"))</f>
        <v/>
      </c>
      <c r="C23" s="26">
        <f>IF(_xlfn.MAXIFS(Sets!$H$2:$H$2000,Sets!$A$2:$A$2000,$A23,Sets!$D$2:$D$2000,C$1,Sets!$J$2:$J$2000,"N")=0,"",_xlfn.MAXIFS(Sets!$H$2:$H$2000,Sets!$A$2:$A$2000,$A23,Sets!$D$2:$D$2000,C$1,Sets!$J$2:$J$2000,"N"))</f>
        <v/>
      </c>
      <c r="D23" s="26">
        <f>IF(_xlfn.MAXIFS(Sets!$H$2:$H$2000,Sets!$A$2:$A$2000,$A23,Sets!$D$2:$D$2000,D$1,Sets!$J$2:$J$2000,"N")=0,"",_xlfn.MAXIFS(Sets!$H$2:$H$2000,Sets!$A$2:$A$2000,$A23,Sets!$D$2:$D$2000,D$1,Sets!$J$2:$J$2000,"N"))</f>
        <v/>
      </c>
      <c r="E23" s="26">
        <f>IF(_xlfn.MAXIFS(Sets!$H$2:$H$2000,Sets!$A$2:$A$2000,$A23,Sets!$D$2:$D$2000,E$1,Sets!$J$2:$J$2000,"N")=0,"",_xlfn.MAXIFS(Sets!$H$2:$H$2000,Sets!$A$2:$A$2000,$A23,Sets!$D$2:$D$2000,E$1,Sets!$J$2:$J$2000,"N"))</f>
        <v/>
      </c>
      <c r="F23" s="26">
        <f>IF(_xlfn.MAXIFS(Sets!$H$2:$H$2000,Sets!$A$2:$A$2000,$A23,Sets!$D$2:$D$2000,F$1,Sets!$J$2:$J$2000,"N")=0,"",_xlfn.MAXIFS(Sets!$H$2:$H$2000,Sets!$A$2:$A$2000,$A23,Sets!$D$2:$D$2000,F$1,Sets!$J$2:$J$2000,"N"))</f>
        <v/>
      </c>
      <c r="G23" s="26">
        <f>IF(_xlfn.MAXIFS(Sets!$H$2:$H$2000,Sets!$A$2:$A$2000,$A23,Sets!$D$2:$D$2000,G$1,Sets!$J$2:$J$2000,"N")=0,"",_xlfn.MAXIFS(Sets!$H$2:$H$2000,Sets!$A$2:$A$2000,$A23,Sets!$D$2:$D$2000,G$1,Sets!$J$2:$J$2000,"N"))</f>
        <v/>
      </c>
      <c r="H23" s="26">
        <f>IF(_xlfn.MAXIFS(Sets!$H$2:$H$2000,Sets!$A$2:$A$2000,$A23,Sets!$D$2:$D$2000,H$1,Sets!$J$2:$J$2000,"N")=0,"",_xlfn.MAXIFS(Sets!$H$2:$H$2000,Sets!$A$2:$A$2000,$A23,Sets!$D$2:$D$2000,H$1,Sets!$J$2:$J$2000,"N"))</f>
        <v/>
      </c>
      <c r="I23" s="26">
        <f>IF(_xlfn.MAXIFS(Sets!$H$2:$H$2000,Sets!$A$2:$A$2000,$A23,Sets!$D$2:$D$2000,I$1,Sets!$J$2:$J$2000,"N")=0,"",_xlfn.MAXIFS(Sets!$H$2:$H$2000,Sets!$A$2:$A$2000,$A23,Sets!$D$2:$D$2000,I$1,Sets!$J$2:$J$2000,"N"))</f>
        <v/>
      </c>
      <c r="J23" s="26">
        <f>IF(_xlfn.MAXIFS(Sets!$H$2:$H$2000,Sets!$A$2:$A$2000,$A23,Sets!$D$2:$D$2000,J$1,Sets!$J$2:$J$2000,"N")=0,"",_xlfn.MAXIFS(Sets!$H$2:$H$2000,Sets!$A$2:$A$2000,$A23,Sets!$D$2:$D$2000,J$1,Sets!$J$2:$J$2000,"N"))</f>
        <v/>
      </c>
      <c r="K23" s="26">
        <f>IF(_xlfn.MAXIFS(Sets!$H$2:$H$2000,Sets!$A$2:$A$2000,$A23,Sets!$D$2:$D$2000,K$1,Sets!$J$2:$J$2000,"N")=0,"",_xlfn.MAXIFS(Sets!$H$2:$H$2000,Sets!$A$2:$A$2000,$A23,Sets!$D$2:$D$2000,K$1,Sets!$J$2:$J$2000,"N"))</f>
        <v/>
      </c>
      <c r="L23" s="26">
        <f>IF(_xlfn.MAXIFS(Sets!$H$2:$H$2000,Sets!$A$2:$A$2000,$A23,Sets!$D$2:$D$2000,L$1,Sets!$J$2:$J$2000,"N")=0,"",_xlfn.MAXIFS(Sets!$H$2:$H$2000,Sets!$A$2:$A$2000,$A23,Sets!$D$2:$D$2000,L$1,Sets!$J$2:$J$2000,"N"))</f>
        <v/>
      </c>
      <c r="M23" s="26">
        <f>IF(_xlfn.MAXIFS(Sets!$H$2:$H$2000,Sets!$A$2:$A$2000,$A23,Sets!$D$2:$D$2000,M$1,Sets!$J$2:$J$2000,"N")=0,"",_xlfn.MAXIFS(Sets!$H$2:$H$2000,Sets!$A$2:$A$2000,$A23,Sets!$D$2:$D$2000,M$1,Sets!$J$2:$J$2000,"N"))</f>
        <v/>
      </c>
      <c r="N23" s="26">
        <f>IF(_xlfn.MAXIFS(Sets!$H$2:$H$2000,Sets!$A$2:$A$2000,$A23,Sets!$D$2:$D$2000,N$1,Sets!$J$2:$J$2000,"N")=0,"",_xlfn.MAXIFS(Sets!$H$2:$H$2000,Sets!$A$2:$A$2000,$A23,Sets!$D$2:$D$2000,N$1,Sets!$J$2:$J$2000,"N"))</f>
        <v/>
      </c>
      <c r="O23" s="26">
        <f>IF(_xlfn.MAXIFS(Sets!$H$2:$H$2000,Sets!$A$2:$A$2000,$A23,Sets!$D$2:$D$2000,O$1,Sets!$J$2:$J$2000,"N")=0,"",_xlfn.MAXIFS(Sets!$H$2:$H$2000,Sets!$A$2:$A$2000,$A23,Sets!$D$2:$D$2000,O$1,Sets!$J$2:$J$2000,"N"))</f>
        <v/>
      </c>
      <c r="P23" s="26">
        <f>IF(_xlfn.MAXIFS(Sets!$H$2:$H$2000,Sets!$A$2:$A$2000,$A23,Sets!$D$2:$D$2000,P$1,Sets!$J$2:$J$2000,"N")=0,"",_xlfn.MAXIFS(Sets!$H$2:$H$2000,Sets!$A$2:$A$2000,$A23,Sets!$D$2:$D$2000,P$1,Sets!$J$2:$J$2000,"N"))</f>
        <v/>
      </c>
      <c r="Q23" s="26">
        <f>IF(_xlfn.MAXIFS(Sets!$H$2:$H$2000,Sets!$A$2:$A$2000,$A23,Sets!$D$2:$D$2000,Q$1,Sets!$J$2:$J$2000,"N")=0,"",_xlfn.MAXIFS(Sets!$H$2:$H$2000,Sets!$A$2:$A$2000,$A23,Sets!$D$2:$D$2000,Q$1,Sets!$J$2:$J$2000,"N"))</f>
        <v/>
      </c>
      <c r="R23" s="26">
        <f>IF(_xlfn.MAXIFS(Sets!$H$2:$H$2000,Sets!$A$2:$A$2000,$A23,Sets!$D$2:$D$2000,R$1,Sets!$J$2:$J$2000,"N")=0,"",_xlfn.MAXIFS(Sets!$H$2:$H$2000,Sets!$A$2:$A$2000,$A23,Sets!$D$2:$D$2000,R$1,Sets!$J$2:$J$2000,"N"))</f>
        <v/>
      </c>
      <c r="S23" s="26">
        <f>IF(_xlfn.MAXIFS(Sets!$H$2:$H$2000,Sets!$A$2:$A$2000,$A23,Sets!$D$2:$D$2000,S$1,Sets!$J$2:$J$2000,"N")=0,"",_xlfn.MAXIFS(Sets!$H$2:$H$2000,Sets!$A$2:$A$2000,$A23,Sets!$D$2:$D$2000,S$1,Sets!$J$2:$J$2000,"N"))</f>
        <v/>
      </c>
      <c r="T23" s="26">
        <f>IF(_xlfn.MAXIFS(Sets!$H$2:$H$2000,Sets!$A$2:$A$2000,$A23,Sets!$D$2:$D$2000,T$1,Sets!$J$2:$J$2000,"N")=0,"",_xlfn.MAXIFS(Sets!$H$2:$H$2000,Sets!$A$2:$A$2000,$A23,Sets!$D$2:$D$2000,T$1,Sets!$J$2:$J$2000,"N"))</f>
        <v/>
      </c>
      <c r="U23" s="26">
        <f>IF(_xlfn.MAXIFS(Sets!$H$2:$H$2000,Sets!$A$2:$A$2000,$A23,Sets!$D$2:$D$2000,U$1,Sets!$J$2:$J$2000,"N")=0,"",_xlfn.MAXIFS(Sets!$H$2:$H$2000,Sets!$A$2:$A$2000,$A23,Sets!$D$2:$D$2000,U$1,Sets!$J$2:$J$2000,"N"))</f>
        <v/>
      </c>
      <c r="V23" s="26">
        <f>IF(_xlfn.MAXIFS(Sets!$H$2:$H$2000,Sets!$A$2:$A$2000,$A23,Sets!$D$2:$D$2000,V$1,Sets!$J$2:$J$2000,"N")=0,"",_xlfn.MAXIFS(Sets!$H$2:$H$2000,Sets!$A$2:$A$2000,$A23,Sets!$D$2:$D$2000,V$1,Sets!$J$2:$J$2000,"N"))</f>
        <v/>
      </c>
      <c r="W23" s="26">
        <f>IF(_xlfn.MAXIFS(Sets!$H$2:$H$2000,Sets!$A$2:$A$2000,$A23,Sets!$D$2:$D$2000,W$1,Sets!$J$2:$J$2000,"N")=0,"",_xlfn.MAXIFS(Sets!$H$2:$H$2000,Sets!$A$2:$A$2000,$A23,Sets!$D$2:$D$2000,W$1,Sets!$J$2:$J$2000,"N"))</f>
        <v/>
      </c>
      <c r="X23" s="26">
        <f>IF(_xlfn.MAXIFS(Sets!$H$2:$H$2000,Sets!$A$2:$A$2000,$A23,Sets!$D$2:$D$2000,X$1,Sets!$J$2:$J$2000,"N")=0,"",_xlfn.MAXIFS(Sets!$H$2:$H$2000,Sets!$A$2:$A$2000,$A23,Sets!$D$2:$D$2000,X$1,Sets!$J$2:$J$2000,"N"))</f>
        <v/>
      </c>
      <c r="Y23" s="26">
        <f>IF(_xlfn.MAXIFS(Sets!$H$2:$H$2000,Sets!$A$2:$A$2000,$A23,Sets!$D$2:$D$2000,Y$1,Sets!$J$2:$J$2000,"N")=0,"",_xlfn.MAXIFS(Sets!$H$2:$H$2000,Sets!$A$2:$A$2000,$A23,Sets!$D$2:$D$2000,Y$1,Sets!$J$2:$J$2000,"N"))</f>
        <v/>
      </c>
      <c r="Z23" s="26">
        <f>IF(_xlfn.MAXIFS(Sets!$H$2:$H$2000,Sets!$A$2:$A$2000,$A23,Sets!$D$2:$D$2000,Z$1,Sets!$J$2:$J$2000,"N")=0,"",_xlfn.MAXIFS(Sets!$H$2:$H$2000,Sets!$A$2:$A$2000,$A23,Sets!$D$2:$D$2000,Z$1,Sets!$J$2:$J$2000,"N"))</f>
        <v/>
      </c>
      <c r="AA23" s="26">
        <f>IF(_xlfn.MAXIFS(Sets!$H$2:$H$2000,Sets!$A$2:$A$2000,$A23,Sets!$D$2:$D$2000,AA$1,Sets!$J$2:$J$2000,"N")=0,"",_xlfn.MAXIFS(Sets!$H$2:$H$2000,Sets!$A$2:$A$2000,$A23,Sets!$D$2:$D$2000,AA$1,Sets!$J$2:$J$2000,"N"))</f>
        <v/>
      </c>
      <c r="AB23" s="26">
        <f>IF(_xlfn.MAXIFS(Sets!$H$2:$H$2000,Sets!$A$2:$A$2000,$A23,Sets!$D$2:$D$2000,AB$1,Sets!$J$2:$J$2000,"N")=0,"",_xlfn.MAXIFS(Sets!$H$2:$H$2000,Sets!$A$2:$A$2000,$A23,Sets!$D$2:$D$2000,AB$1,Sets!$J$2:$J$2000,"N"))</f>
        <v/>
      </c>
      <c r="AC23" s="26">
        <f>IF(_xlfn.MAXIFS(Sets!$H$2:$H$2000,Sets!$A$2:$A$2000,$A23,Sets!$D$2:$D$2000,AC$1,Sets!$J$2:$J$2000,"N")=0,"",_xlfn.MAXIFS(Sets!$H$2:$H$2000,Sets!$A$2:$A$2000,$A23,Sets!$D$2:$D$2000,AC$1,Sets!$J$2:$J$2000,"N"))</f>
        <v/>
      </c>
      <c r="AD23" s="26">
        <f>IF(_xlfn.MAXIFS(Sets!$H$2:$H$2000,Sets!$A$2:$A$2000,$A23,Sets!$D$2:$D$2000,AD$1,Sets!$J$2:$J$2000,"N")=0,"",_xlfn.MAXIFS(Sets!$H$2:$H$2000,Sets!$A$2:$A$2000,$A23,Sets!$D$2:$D$2000,AD$1,Sets!$J$2:$J$2000,"N"))</f>
        <v/>
      </c>
      <c r="AE23" s="26">
        <f>IF(_xlfn.MAXIFS(Sets!$H$2:$H$2000,Sets!$A$2:$A$2000,$A23,Sets!$D$2:$D$2000,AE$1,Sets!$J$2:$J$2000,"N")=0,"",_xlfn.MAXIFS(Sets!$H$2:$H$2000,Sets!$A$2:$A$2000,$A23,Sets!$D$2:$D$2000,AE$1,Sets!$J$2:$J$2000,"N"))</f>
        <v/>
      </c>
      <c r="AF23" s="26">
        <f>IF(_xlfn.MAXIFS(Sets!$H$2:$H$2000,Sets!$A$2:$A$2000,$A23,Sets!$D$2:$D$2000,AF$1,Sets!$J$2:$J$2000,"N")=0,"",_xlfn.MAXIFS(Sets!$H$2:$H$2000,Sets!$A$2:$A$2000,$A23,Sets!$D$2:$D$2000,AF$1,Sets!$J$2:$J$2000,"N"))</f>
        <v/>
      </c>
      <c r="AG23" s="26">
        <f>IF(_xlfn.MAXIFS(Sets!$H$2:$H$2000,Sets!$A$2:$A$2000,$A23,Sets!$D$2:$D$2000,AG$1,Sets!$J$2:$J$2000,"N")=0,"",_xlfn.MAXIFS(Sets!$H$2:$H$2000,Sets!$A$2:$A$2000,$A23,Sets!$D$2:$D$2000,AG$1,Sets!$J$2:$J$2000,"N"))</f>
        <v/>
      </c>
      <c r="AH23" s="26">
        <f>IF(_xlfn.MAXIFS(Sets!$H$2:$H$2000,Sets!$A$2:$A$2000,$A23,Sets!$D$2:$D$2000,AH$1,Sets!$J$2:$J$2000,"N")=0,"",_xlfn.MAXIFS(Sets!$H$2:$H$2000,Sets!$A$2:$A$2000,$A23,Sets!$D$2:$D$2000,AH$1,Sets!$J$2:$J$2000,"N"))</f>
        <v/>
      </c>
      <c r="AI23">
        <f>IF(_xlfn.MAXIFS(Sets!$H$2:$H$2000,Sets!$A$2:$A$2000,$A23,Sets!$D$2:$D$2000,AI$1,Sets!$J$2:$J$2000,"N")=0,"",_xlfn.MAXIFS(Sets!$H$2:$H$2000,Sets!$A$2:$A$2000,$A23,Sets!$D$2:$D$2000,AI$1,Sets!$J$2:$J$2000,"N"))</f>
        <v/>
      </c>
      <c r="AJ23">
        <f>IF(_xlfn.MAXIFS(Sets!$H$2:$H$2000,Sets!$A$2:$A$2000,$A23,Sets!$D$2:$D$2000,AJ$1,Sets!$J$2:$J$2000,"N")=0,"",_xlfn.MAXIFS(Sets!$H$2:$H$2000,Sets!$A$2:$A$2000,$A23,Sets!$D$2:$D$2000,AJ$1,Sets!$J$2:$J$2000,"N"))</f>
        <v/>
      </c>
      <c r="AK23">
        <f>IF(_xlfn.MAXIFS(Sets!$H$2:$H$2000,Sets!$A$2:$A$2000,$A23,Sets!$D$2:$D$2000,AK$1,Sets!$J$2:$J$2000,"N")=0,"",_xlfn.MAXIFS(Sets!$H$2:$H$2000,Sets!$A$2:$A$2000,$A23,Sets!$D$2:$D$2000,AK$1,Sets!$J$2:$J$2000,"N"))</f>
        <v/>
      </c>
      <c r="AL23">
        <f>IF(_xlfn.MAXIFS(Sets!$H$2:$H$2000,Sets!$A$2:$A$2000,$A23,Sets!$D$2:$D$2000,AL$1,Sets!$J$2:$J$2000,"N")=0,"",_xlfn.MAXIFS(Sets!$H$2:$H$2000,Sets!$A$2:$A$2000,$A23,Sets!$D$2:$D$2000,AL$1,Sets!$J$2:$J$2000,"N"))</f>
        <v/>
      </c>
      <c r="AM23">
        <f>IF(_xlfn.MAXIFS(Sets!$H$2:$H$2000,Sets!$A$2:$A$2000,$A23,Sets!$D$2:$D$2000,AM$1,Sets!$J$2:$J$2000,"N")=0,"",_xlfn.MAXIFS(Sets!$H$2:$H$2000,Sets!$A$2:$A$2000,$A23,Sets!$D$2:$D$2000,AM$1,Sets!$J$2:$J$2000,"N"))</f>
        <v/>
      </c>
      <c r="AN23">
        <f>IF(_xlfn.MAXIFS(Sets!$H$2:$H$2000,Sets!$A$2:$A$2000,$A23,Sets!$D$2:$D$2000,AN$1,Sets!$J$2:$J$2000,"N")=0,"",_xlfn.MAXIFS(Sets!$H$2:$H$2000,Sets!$A$2:$A$2000,$A23,Sets!$D$2:$D$2000,AN$1,Sets!$J$2:$J$2000,"N"))</f>
        <v/>
      </c>
      <c r="AO23">
        <f>IF(_xlfn.MAXIFS(Sets!$H$2:$H$2000,Sets!$A$2:$A$2000,$A23,Sets!$D$2:$D$2000,AO$1,Sets!$J$2:$J$2000,"N")=0,"",_xlfn.MAXIFS(Sets!$H$2:$H$2000,Sets!$A$2:$A$2000,$A23,Sets!$D$2:$D$2000,AO$1,Sets!$J$2:$J$2000,"N"))</f>
        <v/>
      </c>
      <c r="AP23">
        <f>IF(_xlfn.MAXIFS(Sets!$H$2:$H$2000,Sets!$A$2:$A$2000,$A23,Sets!$D$2:$D$2000,AP$1,Sets!$J$2:$J$2000,"N")=0,"",_xlfn.MAXIFS(Sets!$H$2:$H$2000,Sets!$A$2:$A$2000,$A23,Sets!$D$2:$D$2000,AP$1,Sets!$J$2:$J$2000,"N"))</f>
        <v/>
      </c>
    </row>
    <row r="24" ht="15" customHeight="1" s="22">
      <c r="A24" s="39" t="n">
        <v>46131</v>
      </c>
      <c r="B24" s="26">
        <f>IF(_xlfn.MAXIFS(Sets!$H$2:$H$2000,Sets!$A$2:$A$2000,$A24,Sets!$D$2:$D$2000,B$1,Sets!$J$2:$J$2000,"N")=0,"",_xlfn.MAXIFS(Sets!$H$2:$H$2000,Sets!$A$2:$A$2000,$A24,Sets!$D$2:$D$2000,B$1,Sets!$J$2:$J$2000,"N"))</f>
        <v/>
      </c>
      <c r="C24" s="26">
        <f>IF(_xlfn.MAXIFS(Sets!$H$2:$H$2000,Sets!$A$2:$A$2000,$A24,Sets!$D$2:$D$2000,C$1,Sets!$J$2:$J$2000,"N")=0,"",_xlfn.MAXIFS(Sets!$H$2:$H$2000,Sets!$A$2:$A$2000,$A24,Sets!$D$2:$D$2000,C$1,Sets!$J$2:$J$2000,"N"))</f>
        <v/>
      </c>
      <c r="D24" s="26">
        <f>IF(_xlfn.MAXIFS(Sets!$H$2:$H$2000,Sets!$A$2:$A$2000,$A24,Sets!$D$2:$D$2000,D$1,Sets!$J$2:$J$2000,"N")=0,"",_xlfn.MAXIFS(Sets!$H$2:$H$2000,Sets!$A$2:$A$2000,$A24,Sets!$D$2:$D$2000,D$1,Sets!$J$2:$J$2000,"N"))</f>
        <v/>
      </c>
      <c r="E24" s="26">
        <f>IF(_xlfn.MAXIFS(Sets!$H$2:$H$2000,Sets!$A$2:$A$2000,$A24,Sets!$D$2:$D$2000,E$1,Sets!$J$2:$J$2000,"N")=0,"",_xlfn.MAXIFS(Sets!$H$2:$H$2000,Sets!$A$2:$A$2000,$A24,Sets!$D$2:$D$2000,E$1,Sets!$J$2:$J$2000,"N"))</f>
        <v/>
      </c>
      <c r="F24" s="26">
        <f>IF(_xlfn.MAXIFS(Sets!$H$2:$H$2000,Sets!$A$2:$A$2000,$A24,Sets!$D$2:$D$2000,F$1,Sets!$J$2:$J$2000,"N")=0,"",_xlfn.MAXIFS(Sets!$H$2:$H$2000,Sets!$A$2:$A$2000,$A24,Sets!$D$2:$D$2000,F$1,Sets!$J$2:$J$2000,"N"))</f>
        <v/>
      </c>
      <c r="G24" s="26">
        <f>IF(_xlfn.MAXIFS(Sets!$H$2:$H$2000,Sets!$A$2:$A$2000,$A24,Sets!$D$2:$D$2000,G$1,Sets!$J$2:$J$2000,"N")=0,"",_xlfn.MAXIFS(Sets!$H$2:$H$2000,Sets!$A$2:$A$2000,$A24,Sets!$D$2:$D$2000,G$1,Sets!$J$2:$J$2000,"N"))</f>
        <v/>
      </c>
      <c r="H24" s="26">
        <f>IF(_xlfn.MAXIFS(Sets!$H$2:$H$2000,Sets!$A$2:$A$2000,$A24,Sets!$D$2:$D$2000,H$1,Sets!$J$2:$J$2000,"N")=0,"",_xlfn.MAXIFS(Sets!$H$2:$H$2000,Sets!$A$2:$A$2000,$A24,Sets!$D$2:$D$2000,H$1,Sets!$J$2:$J$2000,"N"))</f>
        <v/>
      </c>
      <c r="I24" s="26">
        <f>IF(_xlfn.MAXIFS(Sets!$H$2:$H$2000,Sets!$A$2:$A$2000,$A24,Sets!$D$2:$D$2000,I$1,Sets!$J$2:$J$2000,"N")=0,"",_xlfn.MAXIFS(Sets!$H$2:$H$2000,Sets!$A$2:$A$2000,$A24,Sets!$D$2:$D$2000,I$1,Sets!$J$2:$J$2000,"N"))</f>
        <v/>
      </c>
      <c r="J24" s="26">
        <f>IF(_xlfn.MAXIFS(Sets!$H$2:$H$2000,Sets!$A$2:$A$2000,$A24,Sets!$D$2:$D$2000,J$1,Sets!$J$2:$J$2000,"N")=0,"",_xlfn.MAXIFS(Sets!$H$2:$H$2000,Sets!$A$2:$A$2000,$A24,Sets!$D$2:$D$2000,J$1,Sets!$J$2:$J$2000,"N"))</f>
        <v/>
      </c>
      <c r="K24" s="26">
        <f>IF(_xlfn.MAXIFS(Sets!$H$2:$H$2000,Sets!$A$2:$A$2000,$A24,Sets!$D$2:$D$2000,K$1,Sets!$J$2:$J$2000,"N")=0,"",_xlfn.MAXIFS(Sets!$H$2:$H$2000,Sets!$A$2:$A$2000,$A24,Sets!$D$2:$D$2000,K$1,Sets!$J$2:$J$2000,"N"))</f>
        <v/>
      </c>
      <c r="L24" s="26">
        <f>IF(_xlfn.MAXIFS(Sets!$H$2:$H$2000,Sets!$A$2:$A$2000,$A24,Sets!$D$2:$D$2000,L$1,Sets!$J$2:$J$2000,"N")=0,"",_xlfn.MAXIFS(Sets!$H$2:$H$2000,Sets!$A$2:$A$2000,$A24,Sets!$D$2:$D$2000,L$1,Sets!$J$2:$J$2000,"N"))</f>
        <v/>
      </c>
      <c r="M24" s="26">
        <f>IF(_xlfn.MAXIFS(Sets!$H$2:$H$2000,Sets!$A$2:$A$2000,$A24,Sets!$D$2:$D$2000,M$1,Sets!$J$2:$J$2000,"N")=0,"",_xlfn.MAXIFS(Sets!$H$2:$H$2000,Sets!$A$2:$A$2000,$A24,Sets!$D$2:$D$2000,M$1,Sets!$J$2:$J$2000,"N"))</f>
        <v/>
      </c>
      <c r="N24" s="26">
        <f>IF(_xlfn.MAXIFS(Sets!$H$2:$H$2000,Sets!$A$2:$A$2000,$A24,Sets!$D$2:$D$2000,N$1,Sets!$J$2:$J$2000,"N")=0,"",_xlfn.MAXIFS(Sets!$H$2:$H$2000,Sets!$A$2:$A$2000,$A24,Sets!$D$2:$D$2000,N$1,Sets!$J$2:$J$2000,"N"))</f>
        <v/>
      </c>
      <c r="O24" s="26">
        <f>IF(_xlfn.MAXIFS(Sets!$H$2:$H$2000,Sets!$A$2:$A$2000,$A24,Sets!$D$2:$D$2000,O$1,Sets!$J$2:$J$2000,"N")=0,"",_xlfn.MAXIFS(Sets!$H$2:$H$2000,Sets!$A$2:$A$2000,$A24,Sets!$D$2:$D$2000,O$1,Sets!$J$2:$J$2000,"N"))</f>
        <v/>
      </c>
      <c r="P24" s="26">
        <f>IF(_xlfn.MAXIFS(Sets!$H$2:$H$2000,Sets!$A$2:$A$2000,$A24,Sets!$D$2:$D$2000,P$1,Sets!$J$2:$J$2000,"N")=0,"",_xlfn.MAXIFS(Sets!$H$2:$H$2000,Sets!$A$2:$A$2000,$A24,Sets!$D$2:$D$2000,P$1,Sets!$J$2:$J$2000,"N"))</f>
        <v/>
      </c>
      <c r="Q24" s="26">
        <f>IF(_xlfn.MAXIFS(Sets!$H$2:$H$2000,Sets!$A$2:$A$2000,$A24,Sets!$D$2:$D$2000,Q$1,Sets!$J$2:$J$2000,"N")=0,"",_xlfn.MAXIFS(Sets!$H$2:$H$2000,Sets!$A$2:$A$2000,$A24,Sets!$D$2:$D$2000,Q$1,Sets!$J$2:$J$2000,"N"))</f>
        <v/>
      </c>
      <c r="R24" s="26">
        <f>IF(_xlfn.MAXIFS(Sets!$H$2:$H$2000,Sets!$A$2:$A$2000,$A24,Sets!$D$2:$D$2000,R$1,Sets!$J$2:$J$2000,"N")=0,"",_xlfn.MAXIFS(Sets!$H$2:$H$2000,Sets!$A$2:$A$2000,$A24,Sets!$D$2:$D$2000,R$1,Sets!$J$2:$J$2000,"N"))</f>
        <v/>
      </c>
      <c r="S24" s="26">
        <f>IF(_xlfn.MAXIFS(Sets!$H$2:$H$2000,Sets!$A$2:$A$2000,$A24,Sets!$D$2:$D$2000,S$1,Sets!$J$2:$J$2000,"N")=0,"",_xlfn.MAXIFS(Sets!$H$2:$H$2000,Sets!$A$2:$A$2000,$A24,Sets!$D$2:$D$2000,S$1,Sets!$J$2:$J$2000,"N"))</f>
        <v/>
      </c>
      <c r="T24" s="26">
        <f>IF(_xlfn.MAXIFS(Sets!$H$2:$H$2000,Sets!$A$2:$A$2000,$A24,Sets!$D$2:$D$2000,T$1,Sets!$J$2:$J$2000,"N")=0,"",_xlfn.MAXIFS(Sets!$H$2:$H$2000,Sets!$A$2:$A$2000,$A24,Sets!$D$2:$D$2000,T$1,Sets!$J$2:$J$2000,"N"))</f>
        <v/>
      </c>
      <c r="U24" s="26">
        <f>IF(_xlfn.MAXIFS(Sets!$H$2:$H$2000,Sets!$A$2:$A$2000,$A24,Sets!$D$2:$D$2000,U$1,Sets!$J$2:$J$2000,"N")=0,"",_xlfn.MAXIFS(Sets!$H$2:$H$2000,Sets!$A$2:$A$2000,$A24,Sets!$D$2:$D$2000,U$1,Sets!$J$2:$J$2000,"N"))</f>
        <v/>
      </c>
      <c r="V24" s="26">
        <f>IF(_xlfn.MAXIFS(Sets!$H$2:$H$2000,Sets!$A$2:$A$2000,$A24,Sets!$D$2:$D$2000,V$1,Sets!$J$2:$J$2000,"N")=0,"",_xlfn.MAXIFS(Sets!$H$2:$H$2000,Sets!$A$2:$A$2000,$A24,Sets!$D$2:$D$2000,V$1,Sets!$J$2:$J$2000,"N"))</f>
        <v/>
      </c>
      <c r="W24" s="26">
        <f>IF(_xlfn.MAXIFS(Sets!$H$2:$H$2000,Sets!$A$2:$A$2000,$A24,Sets!$D$2:$D$2000,W$1,Sets!$J$2:$J$2000,"N")=0,"",_xlfn.MAXIFS(Sets!$H$2:$H$2000,Sets!$A$2:$A$2000,$A24,Sets!$D$2:$D$2000,W$1,Sets!$J$2:$J$2000,"N"))</f>
        <v/>
      </c>
      <c r="X24" s="26">
        <f>IF(_xlfn.MAXIFS(Sets!$H$2:$H$2000,Sets!$A$2:$A$2000,$A24,Sets!$D$2:$D$2000,X$1,Sets!$J$2:$J$2000,"N")=0,"",_xlfn.MAXIFS(Sets!$H$2:$H$2000,Sets!$A$2:$A$2000,$A24,Sets!$D$2:$D$2000,X$1,Sets!$J$2:$J$2000,"N"))</f>
        <v/>
      </c>
      <c r="Y24" s="26">
        <f>IF(_xlfn.MAXIFS(Sets!$H$2:$H$2000,Sets!$A$2:$A$2000,$A24,Sets!$D$2:$D$2000,Y$1,Sets!$J$2:$J$2000,"N")=0,"",_xlfn.MAXIFS(Sets!$H$2:$H$2000,Sets!$A$2:$A$2000,$A24,Sets!$D$2:$D$2000,Y$1,Sets!$J$2:$J$2000,"N"))</f>
        <v/>
      </c>
      <c r="Z24" s="26">
        <f>IF(_xlfn.MAXIFS(Sets!$H$2:$H$2000,Sets!$A$2:$A$2000,$A24,Sets!$D$2:$D$2000,Z$1,Sets!$J$2:$J$2000,"N")=0,"",_xlfn.MAXIFS(Sets!$H$2:$H$2000,Sets!$A$2:$A$2000,$A24,Sets!$D$2:$D$2000,Z$1,Sets!$J$2:$J$2000,"N"))</f>
        <v/>
      </c>
      <c r="AA24" s="26">
        <f>IF(_xlfn.MAXIFS(Sets!$H$2:$H$2000,Sets!$A$2:$A$2000,$A24,Sets!$D$2:$D$2000,AA$1,Sets!$J$2:$J$2000,"N")=0,"",_xlfn.MAXIFS(Sets!$H$2:$H$2000,Sets!$A$2:$A$2000,$A24,Sets!$D$2:$D$2000,AA$1,Sets!$J$2:$J$2000,"N"))</f>
        <v/>
      </c>
      <c r="AB24" s="26">
        <f>IF(_xlfn.MAXIFS(Sets!$H$2:$H$2000,Sets!$A$2:$A$2000,$A24,Sets!$D$2:$D$2000,AB$1,Sets!$J$2:$J$2000,"N")=0,"",_xlfn.MAXIFS(Sets!$H$2:$H$2000,Sets!$A$2:$A$2000,$A24,Sets!$D$2:$D$2000,AB$1,Sets!$J$2:$J$2000,"N"))</f>
        <v/>
      </c>
      <c r="AC24" s="26">
        <f>IF(_xlfn.MAXIFS(Sets!$H$2:$H$2000,Sets!$A$2:$A$2000,$A24,Sets!$D$2:$D$2000,AC$1,Sets!$J$2:$J$2000,"N")=0,"",_xlfn.MAXIFS(Sets!$H$2:$H$2000,Sets!$A$2:$A$2000,$A24,Sets!$D$2:$D$2000,AC$1,Sets!$J$2:$J$2000,"N"))</f>
        <v/>
      </c>
      <c r="AD24" s="26">
        <f>IF(_xlfn.MAXIFS(Sets!$H$2:$H$2000,Sets!$A$2:$A$2000,$A24,Sets!$D$2:$D$2000,AD$1,Sets!$J$2:$J$2000,"N")=0,"",_xlfn.MAXIFS(Sets!$H$2:$H$2000,Sets!$A$2:$A$2000,$A24,Sets!$D$2:$D$2000,AD$1,Sets!$J$2:$J$2000,"N"))</f>
        <v/>
      </c>
      <c r="AE24" s="26">
        <f>IF(_xlfn.MAXIFS(Sets!$H$2:$H$2000,Sets!$A$2:$A$2000,$A24,Sets!$D$2:$D$2000,AE$1,Sets!$J$2:$J$2000,"N")=0,"",_xlfn.MAXIFS(Sets!$H$2:$H$2000,Sets!$A$2:$A$2000,$A24,Sets!$D$2:$D$2000,AE$1,Sets!$J$2:$J$2000,"N"))</f>
        <v/>
      </c>
      <c r="AF24" s="26">
        <f>IF(_xlfn.MAXIFS(Sets!$H$2:$H$2000,Sets!$A$2:$A$2000,$A24,Sets!$D$2:$D$2000,AF$1,Sets!$J$2:$J$2000,"N")=0,"",_xlfn.MAXIFS(Sets!$H$2:$H$2000,Sets!$A$2:$A$2000,$A24,Sets!$D$2:$D$2000,AF$1,Sets!$J$2:$J$2000,"N"))</f>
        <v/>
      </c>
      <c r="AG24" s="26">
        <f>IF(_xlfn.MAXIFS(Sets!$H$2:$H$2000,Sets!$A$2:$A$2000,$A24,Sets!$D$2:$D$2000,AG$1,Sets!$J$2:$J$2000,"N")=0,"",_xlfn.MAXIFS(Sets!$H$2:$H$2000,Sets!$A$2:$A$2000,$A24,Sets!$D$2:$D$2000,AG$1,Sets!$J$2:$J$2000,"N"))</f>
        <v/>
      </c>
      <c r="AH24" s="26">
        <f>IF(_xlfn.MAXIFS(Sets!$H$2:$H$2000,Sets!$A$2:$A$2000,$A24,Sets!$D$2:$D$2000,AH$1,Sets!$J$2:$J$2000,"N")=0,"",_xlfn.MAXIFS(Sets!$H$2:$H$2000,Sets!$A$2:$A$2000,$A24,Sets!$D$2:$D$2000,AH$1,Sets!$J$2:$J$2000,"N"))</f>
        <v/>
      </c>
      <c r="AI24">
        <f>IF(_xlfn.MAXIFS(Sets!$H$2:$H$2000,Sets!$A$2:$A$2000,$A24,Sets!$D$2:$D$2000,AI$1,Sets!$J$2:$J$2000,"N")=0,"",_xlfn.MAXIFS(Sets!$H$2:$H$2000,Sets!$A$2:$A$2000,$A24,Sets!$D$2:$D$2000,AI$1,Sets!$J$2:$J$2000,"N"))</f>
        <v/>
      </c>
      <c r="AJ24">
        <f>IF(_xlfn.MAXIFS(Sets!$H$2:$H$2000,Sets!$A$2:$A$2000,$A24,Sets!$D$2:$D$2000,AJ$1,Sets!$J$2:$J$2000,"N")=0,"",_xlfn.MAXIFS(Sets!$H$2:$H$2000,Sets!$A$2:$A$2000,$A24,Sets!$D$2:$D$2000,AJ$1,Sets!$J$2:$J$2000,"N"))</f>
        <v/>
      </c>
      <c r="AK24">
        <f>IF(_xlfn.MAXIFS(Sets!$H$2:$H$2000,Sets!$A$2:$A$2000,$A24,Sets!$D$2:$D$2000,AK$1,Sets!$J$2:$J$2000,"N")=0,"",_xlfn.MAXIFS(Sets!$H$2:$H$2000,Sets!$A$2:$A$2000,$A24,Sets!$D$2:$D$2000,AK$1,Sets!$J$2:$J$2000,"N"))</f>
        <v/>
      </c>
      <c r="AL24">
        <f>IF(_xlfn.MAXIFS(Sets!$H$2:$H$2000,Sets!$A$2:$A$2000,$A24,Sets!$D$2:$D$2000,AL$1,Sets!$J$2:$J$2000,"N")=0,"",_xlfn.MAXIFS(Sets!$H$2:$H$2000,Sets!$A$2:$A$2000,$A24,Sets!$D$2:$D$2000,AL$1,Sets!$J$2:$J$2000,"N"))</f>
        <v/>
      </c>
      <c r="AM24">
        <f>IF(_xlfn.MAXIFS(Sets!$H$2:$H$2000,Sets!$A$2:$A$2000,$A24,Sets!$D$2:$D$2000,AM$1,Sets!$J$2:$J$2000,"N")=0,"",_xlfn.MAXIFS(Sets!$H$2:$H$2000,Sets!$A$2:$A$2000,$A24,Sets!$D$2:$D$2000,AM$1,Sets!$J$2:$J$2000,"N"))</f>
        <v/>
      </c>
      <c r="AN24">
        <f>IF(_xlfn.MAXIFS(Sets!$H$2:$H$2000,Sets!$A$2:$A$2000,$A24,Sets!$D$2:$D$2000,AN$1,Sets!$J$2:$J$2000,"N")=0,"",_xlfn.MAXIFS(Sets!$H$2:$H$2000,Sets!$A$2:$A$2000,$A24,Sets!$D$2:$D$2000,AN$1,Sets!$J$2:$J$2000,"N"))</f>
        <v/>
      </c>
      <c r="AO24">
        <f>IF(_xlfn.MAXIFS(Sets!$H$2:$H$2000,Sets!$A$2:$A$2000,$A24,Sets!$D$2:$D$2000,AO$1,Sets!$J$2:$J$2000,"N")=0,"",_xlfn.MAXIFS(Sets!$H$2:$H$2000,Sets!$A$2:$A$2000,$A24,Sets!$D$2:$D$2000,AO$1,Sets!$J$2:$J$2000,"N"))</f>
        <v/>
      </c>
      <c r="AP24">
        <f>IF(_xlfn.MAXIFS(Sets!$H$2:$H$2000,Sets!$A$2:$A$2000,$A24,Sets!$D$2:$D$2000,AP$1,Sets!$J$2:$J$2000,"N")=0,"",_xlfn.MAXIFS(Sets!$H$2:$H$2000,Sets!$A$2:$A$2000,$A24,Sets!$D$2:$D$2000,AP$1,Sets!$J$2:$J$2000,"N"))</f>
        <v/>
      </c>
    </row>
    <row r="25" ht="15" customHeight="1" s="22">
      <c r="A25" s="39" t="n">
        <v>46134</v>
      </c>
      <c r="B25" s="26">
        <f>IF(_xlfn.MAXIFS(Sets!$H$2:$H$2000,Sets!$A$2:$A$2000,$A25,Sets!$D$2:$D$2000,B$1,Sets!$J$2:$J$2000,"N")=0,"",_xlfn.MAXIFS(Sets!$H$2:$H$2000,Sets!$A$2:$A$2000,$A25,Sets!$D$2:$D$2000,B$1,Sets!$J$2:$J$2000,"N"))</f>
        <v/>
      </c>
      <c r="C25" s="26">
        <f>IF(_xlfn.MAXIFS(Sets!$H$2:$H$2000,Sets!$A$2:$A$2000,$A25,Sets!$D$2:$D$2000,C$1,Sets!$J$2:$J$2000,"N")=0,"",_xlfn.MAXIFS(Sets!$H$2:$H$2000,Sets!$A$2:$A$2000,$A25,Sets!$D$2:$D$2000,C$1,Sets!$J$2:$J$2000,"N"))</f>
        <v/>
      </c>
      <c r="D25" s="26">
        <f>IF(_xlfn.MAXIFS(Sets!$H$2:$H$2000,Sets!$A$2:$A$2000,$A25,Sets!$D$2:$D$2000,D$1,Sets!$J$2:$J$2000,"N")=0,"",_xlfn.MAXIFS(Sets!$H$2:$H$2000,Sets!$A$2:$A$2000,$A25,Sets!$D$2:$D$2000,D$1,Sets!$J$2:$J$2000,"N"))</f>
        <v/>
      </c>
      <c r="E25" s="26">
        <f>IF(_xlfn.MAXIFS(Sets!$H$2:$H$2000,Sets!$A$2:$A$2000,$A25,Sets!$D$2:$D$2000,E$1,Sets!$J$2:$J$2000,"N")=0,"",_xlfn.MAXIFS(Sets!$H$2:$H$2000,Sets!$A$2:$A$2000,$A25,Sets!$D$2:$D$2000,E$1,Sets!$J$2:$J$2000,"N"))</f>
        <v/>
      </c>
      <c r="F25" s="26">
        <f>IF(_xlfn.MAXIFS(Sets!$H$2:$H$2000,Sets!$A$2:$A$2000,$A25,Sets!$D$2:$D$2000,F$1,Sets!$J$2:$J$2000,"N")=0,"",_xlfn.MAXIFS(Sets!$H$2:$H$2000,Sets!$A$2:$A$2000,$A25,Sets!$D$2:$D$2000,F$1,Sets!$J$2:$J$2000,"N"))</f>
        <v/>
      </c>
      <c r="G25" s="26">
        <f>IF(_xlfn.MAXIFS(Sets!$H$2:$H$2000,Sets!$A$2:$A$2000,$A25,Sets!$D$2:$D$2000,G$1,Sets!$J$2:$J$2000,"N")=0,"",_xlfn.MAXIFS(Sets!$H$2:$H$2000,Sets!$A$2:$A$2000,$A25,Sets!$D$2:$D$2000,G$1,Sets!$J$2:$J$2000,"N"))</f>
        <v/>
      </c>
      <c r="H25" s="26">
        <f>IF(_xlfn.MAXIFS(Sets!$H$2:$H$2000,Sets!$A$2:$A$2000,$A25,Sets!$D$2:$D$2000,H$1,Sets!$J$2:$J$2000,"N")=0,"",_xlfn.MAXIFS(Sets!$H$2:$H$2000,Sets!$A$2:$A$2000,$A25,Sets!$D$2:$D$2000,H$1,Sets!$J$2:$J$2000,"N"))</f>
        <v/>
      </c>
      <c r="I25" s="26">
        <f>IF(_xlfn.MAXIFS(Sets!$H$2:$H$2000,Sets!$A$2:$A$2000,$A25,Sets!$D$2:$D$2000,I$1,Sets!$J$2:$J$2000,"N")=0,"",_xlfn.MAXIFS(Sets!$H$2:$H$2000,Sets!$A$2:$A$2000,$A25,Sets!$D$2:$D$2000,I$1,Sets!$J$2:$J$2000,"N"))</f>
        <v/>
      </c>
      <c r="J25" s="26">
        <f>IF(_xlfn.MAXIFS(Sets!$H$2:$H$2000,Sets!$A$2:$A$2000,$A25,Sets!$D$2:$D$2000,J$1,Sets!$J$2:$J$2000,"N")=0,"",_xlfn.MAXIFS(Sets!$H$2:$H$2000,Sets!$A$2:$A$2000,$A25,Sets!$D$2:$D$2000,J$1,Sets!$J$2:$J$2000,"N"))</f>
        <v/>
      </c>
      <c r="K25" s="26">
        <f>IF(_xlfn.MAXIFS(Sets!$H$2:$H$2000,Sets!$A$2:$A$2000,$A25,Sets!$D$2:$D$2000,K$1,Sets!$J$2:$J$2000,"N")=0,"",_xlfn.MAXIFS(Sets!$H$2:$H$2000,Sets!$A$2:$A$2000,$A25,Sets!$D$2:$D$2000,K$1,Sets!$J$2:$J$2000,"N"))</f>
        <v/>
      </c>
      <c r="L25" s="26">
        <f>IF(_xlfn.MAXIFS(Sets!$H$2:$H$2000,Sets!$A$2:$A$2000,$A25,Sets!$D$2:$D$2000,L$1,Sets!$J$2:$J$2000,"N")=0,"",_xlfn.MAXIFS(Sets!$H$2:$H$2000,Sets!$A$2:$A$2000,$A25,Sets!$D$2:$D$2000,L$1,Sets!$J$2:$J$2000,"N"))</f>
        <v/>
      </c>
      <c r="M25" s="26">
        <f>IF(_xlfn.MAXIFS(Sets!$H$2:$H$2000,Sets!$A$2:$A$2000,$A25,Sets!$D$2:$D$2000,M$1,Sets!$J$2:$J$2000,"N")=0,"",_xlfn.MAXIFS(Sets!$H$2:$H$2000,Sets!$A$2:$A$2000,$A25,Sets!$D$2:$D$2000,M$1,Sets!$J$2:$J$2000,"N"))</f>
        <v/>
      </c>
      <c r="N25" s="26">
        <f>IF(_xlfn.MAXIFS(Sets!$H$2:$H$2000,Sets!$A$2:$A$2000,$A25,Sets!$D$2:$D$2000,N$1,Sets!$J$2:$J$2000,"N")=0,"",_xlfn.MAXIFS(Sets!$H$2:$H$2000,Sets!$A$2:$A$2000,$A25,Sets!$D$2:$D$2000,N$1,Sets!$J$2:$J$2000,"N"))</f>
        <v/>
      </c>
      <c r="O25" s="26">
        <f>IF(_xlfn.MAXIFS(Sets!$H$2:$H$2000,Sets!$A$2:$A$2000,$A25,Sets!$D$2:$D$2000,O$1,Sets!$J$2:$J$2000,"N")=0,"",_xlfn.MAXIFS(Sets!$H$2:$H$2000,Sets!$A$2:$A$2000,$A25,Sets!$D$2:$D$2000,O$1,Sets!$J$2:$J$2000,"N"))</f>
        <v/>
      </c>
      <c r="P25" s="26">
        <f>IF(_xlfn.MAXIFS(Sets!$H$2:$H$2000,Sets!$A$2:$A$2000,$A25,Sets!$D$2:$D$2000,P$1,Sets!$J$2:$J$2000,"N")=0,"",_xlfn.MAXIFS(Sets!$H$2:$H$2000,Sets!$A$2:$A$2000,$A25,Sets!$D$2:$D$2000,P$1,Sets!$J$2:$J$2000,"N"))</f>
        <v/>
      </c>
      <c r="Q25" s="26">
        <f>IF(_xlfn.MAXIFS(Sets!$H$2:$H$2000,Sets!$A$2:$A$2000,$A25,Sets!$D$2:$D$2000,Q$1,Sets!$J$2:$J$2000,"N")=0,"",_xlfn.MAXIFS(Sets!$H$2:$H$2000,Sets!$A$2:$A$2000,$A25,Sets!$D$2:$D$2000,Q$1,Sets!$J$2:$J$2000,"N"))</f>
        <v/>
      </c>
      <c r="R25" s="26">
        <f>IF(_xlfn.MAXIFS(Sets!$H$2:$H$2000,Sets!$A$2:$A$2000,$A25,Sets!$D$2:$D$2000,R$1,Sets!$J$2:$J$2000,"N")=0,"",_xlfn.MAXIFS(Sets!$H$2:$H$2000,Sets!$A$2:$A$2000,$A25,Sets!$D$2:$D$2000,R$1,Sets!$J$2:$J$2000,"N"))</f>
        <v/>
      </c>
      <c r="S25" s="26">
        <f>IF(_xlfn.MAXIFS(Sets!$H$2:$H$2000,Sets!$A$2:$A$2000,$A25,Sets!$D$2:$D$2000,S$1,Sets!$J$2:$J$2000,"N")=0,"",_xlfn.MAXIFS(Sets!$H$2:$H$2000,Sets!$A$2:$A$2000,$A25,Sets!$D$2:$D$2000,S$1,Sets!$J$2:$J$2000,"N"))</f>
        <v/>
      </c>
      <c r="T25" s="26">
        <f>IF(_xlfn.MAXIFS(Sets!$H$2:$H$2000,Sets!$A$2:$A$2000,$A25,Sets!$D$2:$D$2000,T$1,Sets!$J$2:$J$2000,"N")=0,"",_xlfn.MAXIFS(Sets!$H$2:$H$2000,Sets!$A$2:$A$2000,$A25,Sets!$D$2:$D$2000,T$1,Sets!$J$2:$J$2000,"N"))</f>
        <v/>
      </c>
      <c r="U25" s="26">
        <f>IF(_xlfn.MAXIFS(Sets!$H$2:$H$2000,Sets!$A$2:$A$2000,$A25,Sets!$D$2:$D$2000,U$1,Sets!$J$2:$J$2000,"N")=0,"",_xlfn.MAXIFS(Sets!$H$2:$H$2000,Sets!$A$2:$A$2000,$A25,Sets!$D$2:$D$2000,U$1,Sets!$J$2:$J$2000,"N"))</f>
        <v/>
      </c>
      <c r="V25" s="26">
        <f>IF(_xlfn.MAXIFS(Sets!$H$2:$H$2000,Sets!$A$2:$A$2000,$A25,Sets!$D$2:$D$2000,V$1,Sets!$J$2:$J$2000,"N")=0,"",_xlfn.MAXIFS(Sets!$H$2:$H$2000,Sets!$A$2:$A$2000,$A25,Sets!$D$2:$D$2000,V$1,Sets!$J$2:$J$2000,"N"))</f>
        <v/>
      </c>
      <c r="W25" s="26">
        <f>IF(_xlfn.MAXIFS(Sets!$H$2:$H$2000,Sets!$A$2:$A$2000,$A25,Sets!$D$2:$D$2000,W$1,Sets!$J$2:$J$2000,"N")=0,"",_xlfn.MAXIFS(Sets!$H$2:$H$2000,Sets!$A$2:$A$2000,$A25,Sets!$D$2:$D$2000,W$1,Sets!$J$2:$J$2000,"N"))</f>
        <v/>
      </c>
      <c r="X25" s="26">
        <f>IF(_xlfn.MAXIFS(Sets!$H$2:$H$2000,Sets!$A$2:$A$2000,$A25,Sets!$D$2:$D$2000,X$1,Sets!$J$2:$J$2000,"N")=0,"",_xlfn.MAXIFS(Sets!$H$2:$H$2000,Sets!$A$2:$A$2000,$A25,Sets!$D$2:$D$2000,X$1,Sets!$J$2:$J$2000,"N"))</f>
        <v/>
      </c>
      <c r="Y25" s="26">
        <f>IF(_xlfn.MAXIFS(Sets!$H$2:$H$2000,Sets!$A$2:$A$2000,$A25,Sets!$D$2:$D$2000,Y$1,Sets!$J$2:$J$2000,"N")=0,"",_xlfn.MAXIFS(Sets!$H$2:$H$2000,Sets!$A$2:$A$2000,$A25,Sets!$D$2:$D$2000,Y$1,Sets!$J$2:$J$2000,"N"))</f>
        <v/>
      </c>
      <c r="Z25" s="26">
        <f>IF(_xlfn.MAXIFS(Sets!$H$2:$H$2000,Sets!$A$2:$A$2000,$A25,Sets!$D$2:$D$2000,Z$1,Sets!$J$2:$J$2000,"N")=0,"",_xlfn.MAXIFS(Sets!$H$2:$H$2000,Sets!$A$2:$A$2000,$A25,Sets!$D$2:$D$2000,Z$1,Sets!$J$2:$J$2000,"N"))</f>
        <v/>
      </c>
      <c r="AA25" s="26">
        <f>IF(_xlfn.MAXIFS(Sets!$H$2:$H$2000,Sets!$A$2:$A$2000,$A25,Sets!$D$2:$D$2000,AA$1,Sets!$J$2:$J$2000,"N")=0,"",_xlfn.MAXIFS(Sets!$H$2:$H$2000,Sets!$A$2:$A$2000,$A25,Sets!$D$2:$D$2000,AA$1,Sets!$J$2:$J$2000,"N"))</f>
        <v/>
      </c>
      <c r="AB25" s="26">
        <f>IF(_xlfn.MAXIFS(Sets!$H$2:$H$2000,Sets!$A$2:$A$2000,$A25,Sets!$D$2:$D$2000,AB$1,Sets!$J$2:$J$2000,"N")=0,"",_xlfn.MAXIFS(Sets!$H$2:$H$2000,Sets!$A$2:$A$2000,$A25,Sets!$D$2:$D$2000,AB$1,Sets!$J$2:$J$2000,"N"))</f>
        <v/>
      </c>
      <c r="AC25" s="26">
        <f>IF(_xlfn.MAXIFS(Sets!$H$2:$H$2000,Sets!$A$2:$A$2000,$A25,Sets!$D$2:$D$2000,AC$1,Sets!$J$2:$J$2000,"N")=0,"",_xlfn.MAXIFS(Sets!$H$2:$H$2000,Sets!$A$2:$A$2000,$A25,Sets!$D$2:$D$2000,AC$1,Sets!$J$2:$J$2000,"N"))</f>
        <v/>
      </c>
      <c r="AD25" s="26">
        <f>IF(_xlfn.MAXIFS(Sets!$H$2:$H$2000,Sets!$A$2:$A$2000,$A25,Sets!$D$2:$D$2000,AD$1,Sets!$J$2:$J$2000,"N")=0,"",_xlfn.MAXIFS(Sets!$H$2:$H$2000,Sets!$A$2:$A$2000,$A25,Sets!$D$2:$D$2000,AD$1,Sets!$J$2:$J$2000,"N"))</f>
        <v/>
      </c>
      <c r="AE25" s="26">
        <f>IF(_xlfn.MAXIFS(Sets!$H$2:$H$2000,Sets!$A$2:$A$2000,$A25,Sets!$D$2:$D$2000,AE$1,Sets!$J$2:$J$2000,"N")=0,"",_xlfn.MAXIFS(Sets!$H$2:$H$2000,Sets!$A$2:$A$2000,$A25,Sets!$D$2:$D$2000,AE$1,Sets!$J$2:$J$2000,"N"))</f>
        <v/>
      </c>
      <c r="AF25" s="26">
        <f>IF(_xlfn.MAXIFS(Sets!$H$2:$H$2000,Sets!$A$2:$A$2000,$A25,Sets!$D$2:$D$2000,AF$1,Sets!$J$2:$J$2000,"N")=0,"",_xlfn.MAXIFS(Sets!$H$2:$H$2000,Sets!$A$2:$A$2000,$A25,Sets!$D$2:$D$2000,AF$1,Sets!$J$2:$J$2000,"N"))</f>
        <v/>
      </c>
      <c r="AG25" s="26">
        <f>IF(_xlfn.MAXIFS(Sets!$H$2:$H$2000,Sets!$A$2:$A$2000,$A25,Sets!$D$2:$D$2000,AG$1,Sets!$J$2:$J$2000,"N")=0,"",_xlfn.MAXIFS(Sets!$H$2:$H$2000,Sets!$A$2:$A$2000,$A25,Sets!$D$2:$D$2000,AG$1,Sets!$J$2:$J$2000,"N"))</f>
        <v/>
      </c>
      <c r="AH25" s="26">
        <f>IF(_xlfn.MAXIFS(Sets!$H$2:$H$2000,Sets!$A$2:$A$2000,$A25,Sets!$D$2:$D$2000,AH$1,Sets!$J$2:$J$2000,"N")=0,"",_xlfn.MAXIFS(Sets!$H$2:$H$2000,Sets!$A$2:$A$2000,$A25,Sets!$D$2:$D$2000,AH$1,Sets!$J$2:$J$2000,"N"))</f>
        <v/>
      </c>
      <c r="AI25">
        <f>IF(_xlfn.MAXIFS(Sets!$H$2:$H$2000,Sets!$A$2:$A$2000,$A25,Sets!$D$2:$D$2000,AI$1,Sets!$J$2:$J$2000,"N")=0,"",_xlfn.MAXIFS(Sets!$H$2:$H$2000,Sets!$A$2:$A$2000,$A25,Sets!$D$2:$D$2000,AI$1,Sets!$J$2:$J$2000,"N"))</f>
        <v/>
      </c>
      <c r="AJ25">
        <f>IF(_xlfn.MAXIFS(Sets!$H$2:$H$2000,Sets!$A$2:$A$2000,$A25,Sets!$D$2:$D$2000,AJ$1,Sets!$J$2:$J$2000,"N")=0,"",_xlfn.MAXIFS(Sets!$H$2:$H$2000,Sets!$A$2:$A$2000,$A25,Sets!$D$2:$D$2000,AJ$1,Sets!$J$2:$J$2000,"N"))</f>
        <v/>
      </c>
      <c r="AK25">
        <f>IF(_xlfn.MAXIFS(Sets!$H$2:$H$2000,Sets!$A$2:$A$2000,$A25,Sets!$D$2:$D$2000,AK$1,Sets!$J$2:$J$2000,"N")=0,"",_xlfn.MAXIFS(Sets!$H$2:$H$2000,Sets!$A$2:$A$2000,$A25,Sets!$D$2:$D$2000,AK$1,Sets!$J$2:$J$2000,"N"))</f>
        <v/>
      </c>
      <c r="AL25">
        <f>IF(_xlfn.MAXIFS(Sets!$H$2:$H$2000,Sets!$A$2:$A$2000,$A25,Sets!$D$2:$D$2000,AL$1,Sets!$J$2:$J$2000,"N")=0,"",_xlfn.MAXIFS(Sets!$H$2:$H$2000,Sets!$A$2:$A$2000,$A25,Sets!$D$2:$D$2000,AL$1,Sets!$J$2:$J$2000,"N"))</f>
        <v/>
      </c>
      <c r="AM25">
        <f>IF(_xlfn.MAXIFS(Sets!$H$2:$H$2000,Sets!$A$2:$A$2000,$A25,Sets!$D$2:$D$2000,AM$1,Sets!$J$2:$J$2000,"N")=0,"",_xlfn.MAXIFS(Sets!$H$2:$H$2000,Sets!$A$2:$A$2000,$A25,Sets!$D$2:$D$2000,AM$1,Sets!$J$2:$J$2000,"N"))</f>
        <v/>
      </c>
      <c r="AN25">
        <f>IF(_xlfn.MAXIFS(Sets!$H$2:$H$2000,Sets!$A$2:$A$2000,$A25,Sets!$D$2:$D$2000,AN$1,Sets!$J$2:$J$2000,"N")=0,"",_xlfn.MAXIFS(Sets!$H$2:$H$2000,Sets!$A$2:$A$2000,$A25,Sets!$D$2:$D$2000,AN$1,Sets!$J$2:$J$2000,"N"))</f>
        <v/>
      </c>
      <c r="AO25">
        <f>IF(_xlfn.MAXIFS(Sets!$H$2:$H$2000,Sets!$A$2:$A$2000,$A25,Sets!$D$2:$D$2000,AO$1,Sets!$J$2:$J$2000,"N")=0,"",_xlfn.MAXIFS(Sets!$H$2:$H$2000,Sets!$A$2:$A$2000,$A25,Sets!$D$2:$D$2000,AO$1,Sets!$J$2:$J$2000,"N"))</f>
        <v/>
      </c>
      <c r="AP25">
        <f>IF(_xlfn.MAXIFS(Sets!$H$2:$H$2000,Sets!$A$2:$A$2000,$A25,Sets!$D$2:$D$2000,AP$1,Sets!$J$2:$J$2000,"N")=0,"",_xlfn.MAXIFS(Sets!$H$2:$H$2000,Sets!$A$2:$A$2000,$A25,Sets!$D$2:$D$2000,AP$1,Sets!$J$2:$J$2000,"N"))</f>
        <v/>
      </c>
    </row>
    <row r="26" ht="15" customHeight="1" s="22">
      <c r="A26" s="39" t="n">
        <v>46140</v>
      </c>
      <c r="B26" s="26">
        <f>IF(_xlfn.MAXIFS(Sets!$H$2:$H$2000,Sets!$A$2:$A$2000,$A26,Sets!$D$2:$D$2000,B$1,Sets!$J$2:$J$2000,"N")=0,"",_xlfn.MAXIFS(Sets!$H$2:$H$2000,Sets!$A$2:$A$2000,$A26,Sets!$D$2:$D$2000,B$1,Sets!$J$2:$J$2000,"N"))</f>
        <v/>
      </c>
      <c r="C26" s="26">
        <f>IF(_xlfn.MAXIFS(Sets!$H$2:$H$2000,Sets!$A$2:$A$2000,$A26,Sets!$D$2:$D$2000,C$1,Sets!$J$2:$J$2000,"N")=0,"",_xlfn.MAXIFS(Sets!$H$2:$H$2000,Sets!$A$2:$A$2000,$A26,Sets!$D$2:$D$2000,C$1,Sets!$J$2:$J$2000,"N"))</f>
        <v/>
      </c>
      <c r="D26" s="26">
        <f>IF(_xlfn.MAXIFS(Sets!$H$2:$H$2000,Sets!$A$2:$A$2000,$A26,Sets!$D$2:$D$2000,D$1,Sets!$J$2:$J$2000,"N")=0,"",_xlfn.MAXIFS(Sets!$H$2:$H$2000,Sets!$A$2:$A$2000,$A26,Sets!$D$2:$D$2000,D$1,Sets!$J$2:$J$2000,"N"))</f>
        <v/>
      </c>
      <c r="E26" s="26">
        <f>IF(_xlfn.MAXIFS(Sets!$H$2:$H$2000,Sets!$A$2:$A$2000,$A26,Sets!$D$2:$D$2000,E$1,Sets!$J$2:$J$2000,"N")=0,"",_xlfn.MAXIFS(Sets!$H$2:$H$2000,Sets!$A$2:$A$2000,$A26,Sets!$D$2:$D$2000,E$1,Sets!$J$2:$J$2000,"N"))</f>
        <v/>
      </c>
      <c r="F26" s="26">
        <f>IF(_xlfn.MAXIFS(Sets!$H$2:$H$2000,Sets!$A$2:$A$2000,$A26,Sets!$D$2:$D$2000,F$1,Sets!$J$2:$J$2000,"N")=0,"",_xlfn.MAXIFS(Sets!$H$2:$H$2000,Sets!$A$2:$A$2000,$A26,Sets!$D$2:$D$2000,F$1,Sets!$J$2:$J$2000,"N"))</f>
        <v/>
      </c>
      <c r="G26" s="26">
        <f>IF(_xlfn.MAXIFS(Sets!$H$2:$H$2000,Sets!$A$2:$A$2000,$A26,Sets!$D$2:$D$2000,G$1,Sets!$J$2:$J$2000,"N")=0,"",_xlfn.MAXIFS(Sets!$H$2:$H$2000,Sets!$A$2:$A$2000,$A26,Sets!$D$2:$D$2000,G$1,Sets!$J$2:$J$2000,"N"))</f>
        <v/>
      </c>
      <c r="H26" s="26">
        <f>IF(_xlfn.MAXIFS(Sets!$H$2:$H$2000,Sets!$A$2:$A$2000,$A26,Sets!$D$2:$D$2000,H$1,Sets!$J$2:$J$2000,"N")=0,"",_xlfn.MAXIFS(Sets!$H$2:$H$2000,Sets!$A$2:$A$2000,$A26,Sets!$D$2:$D$2000,H$1,Sets!$J$2:$J$2000,"N"))</f>
        <v/>
      </c>
      <c r="I26" s="26">
        <f>IF(_xlfn.MAXIFS(Sets!$H$2:$H$2000,Sets!$A$2:$A$2000,$A26,Sets!$D$2:$D$2000,I$1,Sets!$J$2:$J$2000,"N")=0,"",_xlfn.MAXIFS(Sets!$H$2:$H$2000,Sets!$A$2:$A$2000,$A26,Sets!$D$2:$D$2000,I$1,Sets!$J$2:$J$2000,"N"))</f>
        <v/>
      </c>
      <c r="J26" s="26">
        <f>IF(_xlfn.MAXIFS(Sets!$H$2:$H$2000,Sets!$A$2:$A$2000,$A26,Sets!$D$2:$D$2000,J$1,Sets!$J$2:$J$2000,"N")=0,"",_xlfn.MAXIFS(Sets!$H$2:$H$2000,Sets!$A$2:$A$2000,$A26,Sets!$D$2:$D$2000,J$1,Sets!$J$2:$J$2000,"N"))</f>
        <v/>
      </c>
      <c r="K26" s="26">
        <f>IF(_xlfn.MAXIFS(Sets!$H$2:$H$2000,Sets!$A$2:$A$2000,$A26,Sets!$D$2:$D$2000,K$1,Sets!$J$2:$J$2000,"N")=0,"",_xlfn.MAXIFS(Sets!$H$2:$H$2000,Sets!$A$2:$A$2000,$A26,Sets!$D$2:$D$2000,K$1,Sets!$J$2:$J$2000,"N"))</f>
        <v/>
      </c>
      <c r="L26" s="26">
        <f>IF(_xlfn.MAXIFS(Sets!$H$2:$H$2000,Sets!$A$2:$A$2000,$A26,Sets!$D$2:$D$2000,L$1,Sets!$J$2:$J$2000,"N")=0,"",_xlfn.MAXIFS(Sets!$H$2:$H$2000,Sets!$A$2:$A$2000,$A26,Sets!$D$2:$D$2000,L$1,Sets!$J$2:$J$2000,"N"))</f>
        <v/>
      </c>
      <c r="M26" s="26">
        <f>IF(_xlfn.MAXIFS(Sets!$H$2:$H$2000,Sets!$A$2:$A$2000,$A26,Sets!$D$2:$D$2000,M$1,Sets!$J$2:$J$2000,"N")=0,"",_xlfn.MAXIFS(Sets!$H$2:$H$2000,Sets!$A$2:$A$2000,$A26,Sets!$D$2:$D$2000,M$1,Sets!$J$2:$J$2000,"N"))</f>
        <v/>
      </c>
      <c r="N26" s="26">
        <f>IF(_xlfn.MAXIFS(Sets!$H$2:$H$2000,Sets!$A$2:$A$2000,$A26,Sets!$D$2:$D$2000,N$1,Sets!$J$2:$J$2000,"N")=0,"",_xlfn.MAXIFS(Sets!$H$2:$H$2000,Sets!$A$2:$A$2000,$A26,Sets!$D$2:$D$2000,N$1,Sets!$J$2:$J$2000,"N"))</f>
        <v/>
      </c>
      <c r="O26" s="26">
        <f>IF(_xlfn.MAXIFS(Sets!$H$2:$H$2000,Sets!$A$2:$A$2000,$A26,Sets!$D$2:$D$2000,O$1,Sets!$J$2:$J$2000,"N")=0,"",_xlfn.MAXIFS(Sets!$H$2:$H$2000,Sets!$A$2:$A$2000,$A26,Sets!$D$2:$D$2000,O$1,Sets!$J$2:$J$2000,"N"))</f>
        <v/>
      </c>
      <c r="P26" s="26">
        <f>IF(_xlfn.MAXIFS(Sets!$H$2:$H$2000,Sets!$A$2:$A$2000,$A26,Sets!$D$2:$D$2000,P$1,Sets!$J$2:$J$2000,"N")=0,"",_xlfn.MAXIFS(Sets!$H$2:$H$2000,Sets!$A$2:$A$2000,$A26,Sets!$D$2:$D$2000,P$1,Sets!$J$2:$J$2000,"N"))</f>
        <v/>
      </c>
      <c r="Q26" s="26">
        <f>IF(_xlfn.MAXIFS(Sets!$H$2:$H$2000,Sets!$A$2:$A$2000,$A26,Sets!$D$2:$D$2000,Q$1,Sets!$J$2:$J$2000,"N")=0,"",_xlfn.MAXIFS(Sets!$H$2:$H$2000,Sets!$A$2:$A$2000,$A26,Sets!$D$2:$D$2000,Q$1,Sets!$J$2:$J$2000,"N"))</f>
        <v/>
      </c>
      <c r="R26" s="26">
        <f>IF(_xlfn.MAXIFS(Sets!$H$2:$H$2000,Sets!$A$2:$A$2000,$A26,Sets!$D$2:$D$2000,R$1,Sets!$J$2:$J$2000,"N")=0,"",_xlfn.MAXIFS(Sets!$H$2:$H$2000,Sets!$A$2:$A$2000,$A26,Sets!$D$2:$D$2000,R$1,Sets!$J$2:$J$2000,"N"))</f>
        <v/>
      </c>
      <c r="S26" s="26">
        <f>IF(_xlfn.MAXIFS(Sets!$H$2:$H$2000,Sets!$A$2:$A$2000,$A26,Sets!$D$2:$D$2000,S$1,Sets!$J$2:$J$2000,"N")=0,"",_xlfn.MAXIFS(Sets!$H$2:$H$2000,Sets!$A$2:$A$2000,$A26,Sets!$D$2:$D$2000,S$1,Sets!$J$2:$J$2000,"N"))</f>
        <v/>
      </c>
      <c r="T26" s="26">
        <f>IF(_xlfn.MAXIFS(Sets!$H$2:$H$2000,Sets!$A$2:$A$2000,$A26,Sets!$D$2:$D$2000,T$1,Sets!$J$2:$J$2000,"N")=0,"",_xlfn.MAXIFS(Sets!$H$2:$H$2000,Sets!$A$2:$A$2000,$A26,Sets!$D$2:$D$2000,T$1,Sets!$J$2:$J$2000,"N"))</f>
        <v/>
      </c>
      <c r="U26" s="26">
        <f>IF(_xlfn.MAXIFS(Sets!$H$2:$H$2000,Sets!$A$2:$A$2000,$A26,Sets!$D$2:$D$2000,U$1,Sets!$J$2:$J$2000,"N")=0,"",_xlfn.MAXIFS(Sets!$H$2:$H$2000,Sets!$A$2:$A$2000,$A26,Sets!$D$2:$D$2000,U$1,Sets!$J$2:$J$2000,"N"))</f>
        <v/>
      </c>
      <c r="V26" s="26">
        <f>IF(_xlfn.MAXIFS(Sets!$H$2:$H$2000,Sets!$A$2:$A$2000,$A26,Sets!$D$2:$D$2000,V$1,Sets!$J$2:$J$2000,"N")=0,"",_xlfn.MAXIFS(Sets!$H$2:$H$2000,Sets!$A$2:$A$2000,$A26,Sets!$D$2:$D$2000,V$1,Sets!$J$2:$J$2000,"N"))</f>
        <v/>
      </c>
      <c r="W26" s="26">
        <f>IF(_xlfn.MAXIFS(Sets!$H$2:$H$2000,Sets!$A$2:$A$2000,$A26,Sets!$D$2:$D$2000,W$1,Sets!$J$2:$J$2000,"N")=0,"",_xlfn.MAXIFS(Sets!$H$2:$H$2000,Sets!$A$2:$A$2000,$A26,Sets!$D$2:$D$2000,W$1,Sets!$J$2:$J$2000,"N"))</f>
        <v/>
      </c>
      <c r="X26" s="26">
        <f>IF(_xlfn.MAXIFS(Sets!$H$2:$H$2000,Sets!$A$2:$A$2000,$A26,Sets!$D$2:$D$2000,X$1,Sets!$J$2:$J$2000,"N")=0,"",_xlfn.MAXIFS(Sets!$H$2:$H$2000,Sets!$A$2:$A$2000,$A26,Sets!$D$2:$D$2000,X$1,Sets!$J$2:$J$2000,"N"))</f>
        <v/>
      </c>
      <c r="Y26" s="26">
        <f>IF(_xlfn.MAXIFS(Sets!$H$2:$H$2000,Sets!$A$2:$A$2000,$A26,Sets!$D$2:$D$2000,Y$1,Sets!$J$2:$J$2000,"N")=0,"",_xlfn.MAXIFS(Sets!$H$2:$H$2000,Sets!$A$2:$A$2000,$A26,Sets!$D$2:$D$2000,Y$1,Sets!$J$2:$J$2000,"N"))</f>
        <v/>
      </c>
      <c r="Z26" s="26">
        <f>IF(_xlfn.MAXIFS(Sets!$H$2:$H$2000,Sets!$A$2:$A$2000,$A26,Sets!$D$2:$D$2000,Z$1,Sets!$J$2:$J$2000,"N")=0,"",_xlfn.MAXIFS(Sets!$H$2:$H$2000,Sets!$A$2:$A$2000,$A26,Sets!$D$2:$D$2000,Z$1,Sets!$J$2:$J$2000,"N"))</f>
        <v/>
      </c>
      <c r="AA26" s="26">
        <f>IF(_xlfn.MAXIFS(Sets!$H$2:$H$2000,Sets!$A$2:$A$2000,$A26,Sets!$D$2:$D$2000,AA$1,Sets!$J$2:$J$2000,"N")=0,"",_xlfn.MAXIFS(Sets!$H$2:$H$2000,Sets!$A$2:$A$2000,$A26,Sets!$D$2:$D$2000,AA$1,Sets!$J$2:$J$2000,"N"))</f>
        <v/>
      </c>
      <c r="AB26" s="26">
        <f>IF(_xlfn.MAXIFS(Sets!$H$2:$H$2000,Sets!$A$2:$A$2000,$A26,Sets!$D$2:$D$2000,AB$1,Sets!$J$2:$J$2000,"N")=0,"",_xlfn.MAXIFS(Sets!$H$2:$H$2000,Sets!$A$2:$A$2000,$A26,Sets!$D$2:$D$2000,AB$1,Sets!$J$2:$J$2000,"N"))</f>
        <v/>
      </c>
      <c r="AC26" s="26">
        <f>IF(_xlfn.MAXIFS(Sets!$H$2:$H$2000,Sets!$A$2:$A$2000,$A26,Sets!$D$2:$D$2000,AC$1,Sets!$J$2:$J$2000,"N")=0,"",_xlfn.MAXIFS(Sets!$H$2:$H$2000,Sets!$A$2:$A$2000,$A26,Sets!$D$2:$D$2000,AC$1,Sets!$J$2:$J$2000,"N"))</f>
        <v/>
      </c>
      <c r="AD26" s="26">
        <f>IF(_xlfn.MAXIFS(Sets!$H$2:$H$2000,Sets!$A$2:$A$2000,$A26,Sets!$D$2:$D$2000,AD$1,Sets!$J$2:$J$2000,"N")=0,"",_xlfn.MAXIFS(Sets!$H$2:$H$2000,Sets!$A$2:$A$2000,$A26,Sets!$D$2:$D$2000,AD$1,Sets!$J$2:$J$2000,"N"))</f>
        <v/>
      </c>
      <c r="AE26" s="26">
        <f>IF(_xlfn.MAXIFS(Sets!$H$2:$H$2000,Sets!$A$2:$A$2000,$A26,Sets!$D$2:$D$2000,AE$1,Sets!$J$2:$J$2000,"N")=0,"",_xlfn.MAXIFS(Sets!$H$2:$H$2000,Sets!$A$2:$A$2000,$A26,Sets!$D$2:$D$2000,AE$1,Sets!$J$2:$J$2000,"N"))</f>
        <v/>
      </c>
      <c r="AF26" s="26">
        <f>IF(_xlfn.MAXIFS(Sets!$H$2:$H$2000,Sets!$A$2:$A$2000,$A26,Sets!$D$2:$D$2000,AF$1,Sets!$J$2:$J$2000,"N")=0,"",_xlfn.MAXIFS(Sets!$H$2:$H$2000,Sets!$A$2:$A$2000,$A26,Sets!$D$2:$D$2000,AF$1,Sets!$J$2:$J$2000,"N"))</f>
        <v/>
      </c>
      <c r="AG26" s="26">
        <f>IF(_xlfn.MAXIFS(Sets!$H$2:$H$2000,Sets!$A$2:$A$2000,$A26,Sets!$D$2:$D$2000,AG$1,Sets!$J$2:$J$2000,"N")=0,"",_xlfn.MAXIFS(Sets!$H$2:$H$2000,Sets!$A$2:$A$2000,$A26,Sets!$D$2:$D$2000,AG$1,Sets!$J$2:$J$2000,"N"))</f>
        <v/>
      </c>
      <c r="AH26" s="26">
        <f>IF(_xlfn.MAXIFS(Sets!$H$2:$H$2000,Sets!$A$2:$A$2000,$A26,Sets!$D$2:$D$2000,AH$1,Sets!$J$2:$J$2000,"N")=0,"",_xlfn.MAXIFS(Sets!$H$2:$H$2000,Sets!$A$2:$A$2000,$A26,Sets!$D$2:$D$2000,AH$1,Sets!$J$2:$J$2000,"N"))</f>
        <v/>
      </c>
      <c r="AI26">
        <f>IF(_xlfn.MAXIFS(Sets!$H$2:$H$2000,Sets!$A$2:$A$2000,$A26,Sets!$D$2:$D$2000,AI$1,Sets!$J$2:$J$2000,"N")=0,"",_xlfn.MAXIFS(Sets!$H$2:$H$2000,Sets!$A$2:$A$2000,$A26,Sets!$D$2:$D$2000,AI$1,Sets!$J$2:$J$2000,"N"))</f>
        <v/>
      </c>
      <c r="AJ26">
        <f>IF(_xlfn.MAXIFS(Sets!$H$2:$H$2000,Sets!$A$2:$A$2000,$A26,Sets!$D$2:$D$2000,AJ$1,Sets!$J$2:$J$2000,"N")=0,"",_xlfn.MAXIFS(Sets!$H$2:$H$2000,Sets!$A$2:$A$2000,$A26,Sets!$D$2:$D$2000,AJ$1,Sets!$J$2:$J$2000,"N"))</f>
        <v/>
      </c>
      <c r="AK26">
        <f>IF(_xlfn.MAXIFS(Sets!$H$2:$H$2000,Sets!$A$2:$A$2000,$A26,Sets!$D$2:$D$2000,AK$1,Sets!$J$2:$J$2000,"N")=0,"",_xlfn.MAXIFS(Sets!$H$2:$H$2000,Sets!$A$2:$A$2000,$A26,Sets!$D$2:$D$2000,AK$1,Sets!$J$2:$J$2000,"N"))</f>
        <v/>
      </c>
      <c r="AL26">
        <f>IF(_xlfn.MAXIFS(Sets!$H$2:$H$2000,Sets!$A$2:$A$2000,$A26,Sets!$D$2:$D$2000,AL$1,Sets!$J$2:$J$2000,"N")=0,"",_xlfn.MAXIFS(Sets!$H$2:$H$2000,Sets!$A$2:$A$2000,$A26,Sets!$D$2:$D$2000,AL$1,Sets!$J$2:$J$2000,"N"))</f>
        <v/>
      </c>
      <c r="AM26">
        <f>IF(_xlfn.MAXIFS(Sets!$H$2:$H$2000,Sets!$A$2:$A$2000,$A26,Sets!$D$2:$D$2000,AM$1,Sets!$J$2:$J$2000,"N")=0,"",_xlfn.MAXIFS(Sets!$H$2:$H$2000,Sets!$A$2:$A$2000,$A26,Sets!$D$2:$D$2000,AM$1,Sets!$J$2:$J$2000,"N"))</f>
        <v/>
      </c>
      <c r="AN26">
        <f>IF(_xlfn.MAXIFS(Sets!$H$2:$H$2000,Sets!$A$2:$A$2000,$A26,Sets!$D$2:$D$2000,AN$1,Sets!$J$2:$J$2000,"N")=0,"",_xlfn.MAXIFS(Sets!$H$2:$H$2000,Sets!$A$2:$A$2000,$A26,Sets!$D$2:$D$2000,AN$1,Sets!$J$2:$J$2000,"N"))</f>
        <v/>
      </c>
      <c r="AO26">
        <f>IF(_xlfn.MAXIFS(Sets!$H$2:$H$2000,Sets!$A$2:$A$2000,$A26,Sets!$D$2:$D$2000,AO$1,Sets!$J$2:$J$2000,"N")=0,"",_xlfn.MAXIFS(Sets!$H$2:$H$2000,Sets!$A$2:$A$2000,$A26,Sets!$D$2:$D$2000,AO$1,Sets!$J$2:$J$2000,"N"))</f>
        <v/>
      </c>
      <c r="AP26">
        <f>IF(_xlfn.MAXIFS(Sets!$H$2:$H$2000,Sets!$A$2:$A$2000,$A26,Sets!$D$2:$D$2000,AP$1,Sets!$J$2:$J$2000,"N")=0,"",_xlfn.MAXIFS(Sets!$H$2:$H$2000,Sets!$A$2:$A$2000,$A26,Sets!$D$2:$D$2000,AP$1,Sets!$J$2:$J$2000,"N"))</f>
        <v/>
      </c>
    </row>
    <row r="27" ht="15" customHeight="1" s="22">
      <c r="A27" s="39" t="n">
        <v>46142</v>
      </c>
      <c r="B27" s="26">
        <f>IF(_xlfn.MAXIFS(Sets!$H$2:$H$2000,Sets!$A$2:$A$2000,$A27,Sets!$D$2:$D$2000,B$1,Sets!$J$2:$J$2000,"N")=0,"",_xlfn.MAXIFS(Sets!$H$2:$H$2000,Sets!$A$2:$A$2000,$A27,Sets!$D$2:$D$2000,B$1,Sets!$J$2:$J$2000,"N"))</f>
        <v/>
      </c>
      <c r="C27" s="26">
        <f>IF(_xlfn.MAXIFS(Sets!$H$2:$H$2000,Sets!$A$2:$A$2000,$A27,Sets!$D$2:$D$2000,C$1,Sets!$J$2:$J$2000,"N")=0,"",_xlfn.MAXIFS(Sets!$H$2:$H$2000,Sets!$A$2:$A$2000,$A27,Sets!$D$2:$D$2000,C$1,Sets!$J$2:$J$2000,"N"))</f>
        <v/>
      </c>
      <c r="D27" s="26">
        <f>IF(_xlfn.MAXIFS(Sets!$H$2:$H$2000,Sets!$A$2:$A$2000,$A27,Sets!$D$2:$D$2000,D$1,Sets!$J$2:$J$2000,"N")=0,"",_xlfn.MAXIFS(Sets!$H$2:$H$2000,Sets!$A$2:$A$2000,$A27,Sets!$D$2:$D$2000,D$1,Sets!$J$2:$J$2000,"N"))</f>
        <v/>
      </c>
      <c r="E27" s="26">
        <f>IF(_xlfn.MAXIFS(Sets!$H$2:$H$2000,Sets!$A$2:$A$2000,$A27,Sets!$D$2:$D$2000,E$1,Sets!$J$2:$J$2000,"N")=0,"",_xlfn.MAXIFS(Sets!$H$2:$H$2000,Sets!$A$2:$A$2000,$A27,Sets!$D$2:$D$2000,E$1,Sets!$J$2:$J$2000,"N"))</f>
        <v/>
      </c>
      <c r="F27" s="26">
        <f>IF(_xlfn.MAXIFS(Sets!$H$2:$H$2000,Sets!$A$2:$A$2000,$A27,Sets!$D$2:$D$2000,F$1,Sets!$J$2:$J$2000,"N")=0,"",_xlfn.MAXIFS(Sets!$H$2:$H$2000,Sets!$A$2:$A$2000,$A27,Sets!$D$2:$D$2000,F$1,Sets!$J$2:$J$2000,"N"))</f>
        <v/>
      </c>
      <c r="G27" s="26">
        <f>IF(_xlfn.MAXIFS(Sets!$H$2:$H$2000,Sets!$A$2:$A$2000,$A27,Sets!$D$2:$D$2000,G$1,Sets!$J$2:$J$2000,"N")=0,"",_xlfn.MAXIFS(Sets!$H$2:$H$2000,Sets!$A$2:$A$2000,$A27,Sets!$D$2:$D$2000,G$1,Sets!$J$2:$J$2000,"N"))</f>
        <v/>
      </c>
      <c r="H27" s="26">
        <f>IF(_xlfn.MAXIFS(Sets!$H$2:$H$2000,Sets!$A$2:$A$2000,$A27,Sets!$D$2:$D$2000,H$1,Sets!$J$2:$J$2000,"N")=0,"",_xlfn.MAXIFS(Sets!$H$2:$H$2000,Sets!$A$2:$A$2000,$A27,Sets!$D$2:$D$2000,H$1,Sets!$J$2:$J$2000,"N"))</f>
        <v/>
      </c>
      <c r="I27" s="26">
        <f>IF(_xlfn.MAXIFS(Sets!$H$2:$H$2000,Sets!$A$2:$A$2000,$A27,Sets!$D$2:$D$2000,I$1,Sets!$J$2:$J$2000,"N")=0,"",_xlfn.MAXIFS(Sets!$H$2:$H$2000,Sets!$A$2:$A$2000,$A27,Sets!$D$2:$D$2000,I$1,Sets!$J$2:$J$2000,"N"))</f>
        <v/>
      </c>
      <c r="J27" s="26">
        <f>IF(_xlfn.MAXIFS(Sets!$H$2:$H$2000,Sets!$A$2:$A$2000,$A27,Sets!$D$2:$D$2000,J$1,Sets!$J$2:$J$2000,"N")=0,"",_xlfn.MAXIFS(Sets!$H$2:$H$2000,Sets!$A$2:$A$2000,$A27,Sets!$D$2:$D$2000,J$1,Sets!$J$2:$J$2000,"N"))</f>
        <v/>
      </c>
      <c r="K27" s="26">
        <f>IF(_xlfn.MAXIFS(Sets!$H$2:$H$2000,Sets!$A$2:$A$2000,$A27,Sets!$D$2:$D$2000,K$1,Sets!$J$2:$J$2000,"N")=0,"",_xlfn.MAXIFS(Sets!$H$2:$H$2000,Sets!$A$2:$A$2000,$A27,Sets!$D$2:$D$2000,K$1,Sets!$J$2:$J$2000,"N"))</f>
        <v/>
      </c>
      <c r="L27" s="26">
        <f>IF(_xlfn.MAXIFS(Sets!$H$2:$H$2000,Sets!$A$2:$A$2000,$A27,Sets!$D$2:$D$2000,L$1,Sets!$J$2:$J$2000,"N")=0,"",_xlfn.MAXIFS(Sets!$H$2:$H$2000,Sets!$A$2:$A$2000,$A27,Sets!$D$2:$D$2000,L$1,Sets!$J$2:$J$2000,"N"))</f>
        <v/>
      </c>
      <c r="M27" s="26">
        <f>IF(_xlfn.MAXIFS(Sets!$H$2:$H$2000,Sets!$A$2:$A$2000,$A27,Sets!$D$2:$D$2000,M$1,Sets!$J$2:$J$2000,"N")=0,"",_xlfn.MAXIFS(Sets!$H$2:$H$2000,Sets!$A$2:$A$2000,$A27,Sets!$D$2:$D$2000,M$1,Sets!$J$2:$J$2000,"N"))</f>
        <v/>
      </c>
      <c r="N27" s="26">
        <f>IF(_xlfn.MAXIFS(Sets!$H$2:$H$2000,Sets!$A$2:$A$2000,$A27,Sets!$D$2:$D$2000,N$1,Sets!$J$2:$J$2000,"N")=0,"",_xlfn.MAXIFS(Sets!$H$2:$H$2000,Sets!$A$2:$A$2000,$A27,Sets!$D$2:$D$2000,N$1,Sets!$J$2:$J$2000,"N"))</f>
        <v/>
      </c>
      <c r="O27" s="26">
        <f>IF(_xlfn.MAXIFS(Sets!$H$2:$H$2000,Sets!$A$2:$A$2000,$A27,Sets!$D$2:$D$2000,O$1,Sets!$J$2:$J$2000,"N")=0,"",_xlfn.MAXIFS(Sets!$H$2:$H$2000,Sets!$A$2:$A$2000,$A27,Sets!$D$2:$D$2000,O$1,Sets!$J$2:$J$2000,"N"))</f>
        <v/>
      </c>
      <c r="P27" s="26">
        <f>IF(_xlfn.MAXIFS(Sets!$H$2:$H$2000,Sets!$A$2:$A$2000,$A27,Sets!$D$2:$D$2000,P$1,Sets!$J$2:$J$2000,"N")=0,"",_xlfn.MAXIFS(Sets!$H$2:$H$2000,Sets!$A$2:$A$2000,$A27,Sets!$D$2:$D$2000,P$1,Sets!$J$2:$J$2000,"N"))</f>
        <v/>
      </c>
      <c r="Q27" s="26">
        <f>IF(_xlfn.MAXIFS(Sets!$H$2:$H$2000,Sets!$A$2:$A$2000,$A27,Sets!$D$2:$D$2000,Q$1,Sets!$J$2:$J$2000,"N")=0,"",_xlfn.MAXIFS(Sets!$H$2:$H$2000,Sets!$A$2:$A$2000,$A27,Sets!$D$2:$D$2000,Q$1,Sets!$J$2:$J$2000,"N"))</f>
        <v/>
      </c>
      <c r="R27" s="26">
        <f>IF(_xlfn.MAXIFS(Sets!$H$2:$H$2000,Sets!$A$2:$A$2000,$A27,Sets!$D$2:$D$2000,R$1,Sets!$J$2:$J$2000,"N")=0,"",_xlfn.MAXIFS(Sets!$H$2:$H$2000,Sets!$A$2:$A$2000,$A27,Sets!$D$2:$D$2000,R$1,Sets!$J$2:$J$2000,"N"))</f>
        <v/>
      </c>
      <c r="S27" s="26">
        <f>IF(_xlfn.MAXIFS(Sets!$H$2:$H$2000,Sets!$A$2:$A$2000,$A27,Sets!$D$2:$D$2000,S$1,Sets!$J$2:$J$2000,"N")=0,"",_xlfn.MAXIFS(Sets!$H$2:$H$2000,Sets!$A$2:$A$2000,$A27,Sets!$D$2:$D$2000,S$1,Sets!$J$2:$J$2000,"N"))</f>
        <v/>
      </c>
      <c r="T27" s="26">
        <f>IF(_xlfn.MAXIFS(Sets!$H$2:$H$2000,Sets!$A$2:$A$2000,$A27,Sets!$D$2:$D$2000,T$1,Sets!$J$2:$J$2000,"N")=0,"",_xlfn.MAXIFS(Sets!$H$2:$H$2000,Sets!$A$2:$A$2000,$A27,Sets!$D$2:$D$2000,T$1,Sets!$J$2:$J$2000,"N"))</f>
        <v/>
      </c>
      <c r="U27" s="26">
        <f>IF(_xlfn.MAXIFS(Sets!$H$2:$H$2000,Sets!$A$2:$A$2000,$A27,Sets!$D$2:$D$2000,U$1,Sets!$J$2:$J$2000,"N")=0,"",_xlfn.MAXIFS(Sets!$H$2:$H$2000,Sets!$A$2:$A$2000,$A27,Sets!$D$2:$D$2000,U$1,Sets!$J$2:$J$2000,"N"))</f>
        <v/>
      </c>
      <c r="V27" s="26">
        <f>IF(_xlfn.MAXIFS(Sets!$H$2:$H$2000,Sets!$A$2:$A$2000,$A27,Sets!$D$2:$D$2000,V$1,Sets!$J$2:$J$2000,"N")=0,"",_xlfn.MAXIFS(Sets!$H$2:$H$2000,Sets!$A$2:$A$2000,$A27,Sets!$D$2:$D$2000,V$1,Sets!$J$2:$J$2000,"N"))</f>
        <v/>
      </c>
      <c r="W27" s="26">
        <f>IF(_xlfn.MAXIFS(Sets!$H$2:$H$2000,Sets!$A$2:$A$2000,$A27,Sets!$D$2:$D$2000,W$1,Sets!$J$2:$J$2000,"N")=0,"",_xlfn.MAXIFS(Sets!$H$2:$H$2000,Sets!$A$2:$A$2000,$A27,Sets!$D$2:$D$2000,W$1,Sets!$J$2:$J$2000,"N"))</f>
        <v/>
      </c>
      <c r="X27" s="26">
        <f>IF(_xlfn.MAXIFS(Sets!$H$2:$H$2000,Sets!$A$2:$A$2000,$A27,Sets!$D$2:$D$2000,X$1,Sets!$J$2:$J$2000,"N")=0,"",_xlfn.MAXIFS(Sets!$H$2:$H$2000,Sets!$A$2:$A$2000,$A27,Sets!$D$2:$D$2000,X$1,Sets!$J$2:$J$2000,"N"))</f>
        <v/>
      </c>
      <c r="Y27" s="26">
        <f>IF(_xlfn.MAXIFS(Sets!$H$2:$H$2000,Sets!$A$2:$A$2000,$A27,Sets!$D$2:$D$2000,Y$1,Sets!$J$2:$J$2000,"N")=0,"",_xlfn.MAXIFS(Sets!$H$2:$H$2000,Sets!$A$2:$A$2000,$A27,Sets!$D$2:$D$2000,Y$1,Sets!$J$2:$J$2000,"N"))</f>
        <v/>
      </c>
      <c r="Z27" s="26">
        <f>IF(_xlfn.MAXIFS(Sets!$H$2:$H$2000,Sets!$A$2:$A$2000,$A27,Sets!$D$2:$D$2000,Z$1,Sets!$J$2:$J$2000,"N")=0,"",_xlfn.MAXIFS(Sets!$H$2:$H$2000,Sets!$A$2:$A$2000,$A27,Sets!$D$2:$D$2000,Z$1,Sets!$J$2:$J$2000,"N"))</f>
        <v/>
      </c>
      <c r="AA27" s="26">
        <f>IF(_xlfn.MAXIFS(Sets!$H$2:$H$2000,Sets!$A$2:$A$2000,$A27,Sets!$D$2:$D$2000,AA$1,Sets!$J$2:$J$2000,"N")=0,"",_xlfn.MAXIFS(Sets!$H$2:$H$2000,Sets!$A$2:$A$2000,$A27,Sets!$D$2:$D$2000,AA$1,Sets!$J$2:$J$2000,"N"))</f>
        <v/>
      </c>
      <c r="AB27" s="26">
        <f>IF(_xlfn.MAXIFS(Sets!$H$2:$H$2000,Sets!$A$2:$A$2000,$A27,Sets!$D$2:$D$2000,AB$1,Sets!$J$2:$J$2000,"N")=0,"",_xlfn.MAXIFS(Sets!$H$2:$H$2000,Sets!$A$2:$A$2000,$A27,Sets!$D$2:$D$2000,AB$1,Sets!$J$2:$J$2000,"N"))</f>
        <v/>
      </c>
      <c r="AC27" s="26">
        <f>IF(_xlfn.MAXIFS(Sets!$H$2:$H$2000,Sets!$A$2:$A$2000,$A27,Sets!$D$2:$D$2000,AC$1,Sets!$J$2:$J$2000,"N")=0,"",_xlfn.MAXIFS(Sets!$H$2:$H$2000,Sets!$A$2:$A$2000,$A27,Sets!$D$2:$D$2000,AC$1,Sets!$J$2:$J$2000,"N"))</f>
        <v/>
      </c>
      <c r="AD27" s="26">
        <f>IF(_xlfn.MAXIFS(Sets!$H$2:$H$2000,Sets!$A$2:$A$2000,$A27,Sets!$D$2:$D$2000,AD$1,Sets!$J$2:$J$2000,"N")=0,"",_xlfn.MAXIFS(Sets!$H$2:$H$2000,Sets!$A$2:$A$2000,$A27,Sets!$D$2:$D$2000,AD$1,Sets!$J$2:$J$2000,"N"))</f>
        <v/>
      </c>
      <c r="AE27" s="26">
        <f>IF(_xlfn.MAXIFS(Sets!$H$2:$H$2000,Sets!$A$2:$A$2000,$A27,Sets!$D$2:$D$2000,AE$1,Sets!$J$2:$J$2000,"N")=0,"",_xlfn.MAXIFS(Sets!$H$2:$H$2000,Sets!$A$2:$A$2000,$A27,Sets!$D$2:$D$2000,AE$1,Sets!$J$2:$J$2000,"N"))</f>
        <v/>
      </c>
      <c r="AF27" s="26">
        <f>IF(_xlfn.MAXIFS(Sets!$H$2:$H$2000,Sets!$A$2:$A$2000,$A27,Sets!$D$2:$D$2000,AF$1,Sets!$J$2:$J$2000,"N")=0,"",_xlfn.MAXIFS(Sets!$H$2:$H$2000,Sets!$A$2:$A$2000,$A27,Sets!$D$2:$D$2000,AF$1,Sets!$J$2:$J$2000,"N"))</f>
        <v/>
      </c>
      <c r="AG27" s="26">
        <f>IF(_xlfn.MAXIFS(Sets!$H$2:$H$2000,Sets!$A$2:$A$2000,$A27,Sets!$D$2:$D$2000,AG$1,Sets!$J$2:$J$2000,"N")=0,"",_xlfn.MAXIFS(Sets!$H$2:$H$2000,Sets!$A$2:$A$2000,$A27,Sets!$D$2:$D$2000,AG$1,Sets!$J$2:$J$2000,"N"))</f>
        <v/>
      </c>
      <c r="AH27" s="26">
        <f>IF(_xlfn.MAXIFS(Sets!$H$2:$H$2000,Sets!$A$2:$A$2000,$A27,Sets!$D$2:$D$2000,AH$1,Sets!$J$2:$J$2000,"N")=0,"",_xlfn.MAXIFS(Sets!$H$2:$H$2000,Sets!$A$2:$A$2000,$A27,Sets!$D$2:$D$2000,AH$1,Sets!$J$2:$J$2000,"N"))</f>
        <v/>
      </c>
      <c r="AI27">
        <f>IF(_xlfn.MAXIFS(Sets!$H$2:$H$2000,Sets!$A$2:$A$2000,$A27,Sets!$D$2:$D$2000,AI$1,Sets!$J$2:$J$2000,"N")=0,"",_xlfn.MAXIFS(Sets!$H$2:$H$2000,Sets!$A$2:$A$2000,$A27,Sets!$D$2:$D$2000,AI$1,Sets!$J$2:$J$2000,"N"))</f>
        <v/>
      </c>
      <c r="AJ27">
        <f>IF(_xlfn.MAXIFS(Sets!$H$2:$H$2000,Sets!$A$2:$A$2000,$A27,Sets!$D$2:$D$2000,AJ$1,Sets!$J$2:$J$2000,"N")=0,"",_xlfn.MAXIFS(Sets!$H$2:$H$2000,Sets!$A$2:$A$2000,$A27,Sets!$D$2:$D$2000,AJ$1,Sets!$J$2:$J$2000,"N"))</f>
        <v/>
      </c>
      <c r="AK27">
        <f>IF(_xlfn.MAXIFS(Sets!$H$2:$H$2000,Sets!$A$2:$A$2000,$A27,Sets!$D$2:$D$2000,AK$1,Sets!$J$2:$J$2000,"N")=0,"",_xlfn.MAXIFS(Sets!$H$2:$H$2000,Sets!$A$2:$A$2000,$A27,Sets!$D$2:$D$2000,AK$1,Sets!$J$2:$J$2000,"N"))</f>
        <v/>
      </c>
      <c r="AL27">
        <f>IF(_xlfn.MAXIFS(Sets!$H$2:$H$2000,Sets!$A$2:$A$2000,$A27,Sets!$D$2:$D$2000,AL$1,Sets!$J$2:$J$2000,"N")=0,"",_xlfn.MAXIFS(Sets!$H$2:$H$2000,Sets!$A$2:$A$2000,$A27,Sets!$D$2:$D$2000,AL$1,Sets!$J$2:$J$2000,"N"))</f>
        <v/>
      </c>
      <c r="AM27">
        <f>IF(_xlfn.MAXIFS(Sets!$H$2:$H$2000,Sets!$A$2:$A$2000,$A27,Sets!$D$2:$D$2000,AM$1,Sets!$J$2:$J$2000,"N")=0,"",_xlfn.MAXIFS(Sets!$H$2:$H$2000,Sets!$A$2:$A$2000,$A27,Sets!$D$2:$D$2000,AM$1,Sets!$J$2:$J$2000,"N"))</f>
        <v/>
      </c>
      <c r="AN27">
        <f>IF(_xlfn.MAXIFS(Sets!$H$2:$H$2000,Sets!$A$2:$A$2000,$A27,Sets!$D$2:$D$2000,AN$1,Sets!$J$2:$J$2000,"N")=0,"",_xlfn.MAXIFS(Sets!$H$2:$H$2000,Sets!$A$2:$A$2000,$A27,Sets!$D$2:$D$2000,AN$1,Sets!$J$2:$J$2000,"N"))</f>
        <v/>
      </c>
      <c r="AO27">
        <f>IF(_xlfn.MAXIFS(Sets!$H$2:$H$2000,Sets!$A$2:$A$2000,$A27,Sets!$D$2:$D$2000,AO$1,Sets!$J$2:$J$2000,"N")=0,"",_xlfn.MAXIFS(Sets!$H$2:$H$2000,Sets!$A$2:$A$2000,$A27,Sets!$D$2:$D$2000,AO$1,Sets!$J$2:$J$2000,"N"))</f>
        <v/>
      </c>
      <c r="AP27">
        <f>IF(_xlfn.MAXIFS(Sets!$H$2:$H$2000,Sets!$A$2:$A$2000,$A27,Sets!$D$2:$D$2000,AP$1,Sets!$J$2:$J$2000,"N")=0,"",_xlfn.MAXIFS(Sets!$H$2:$H$2000,Sets!$A$2:$A$2000,$A27,Sets!$D$2:$D$2000,AP$1,Sets!$J$2:$J$2000,"N"))</f>
        <v/>
      </c>
    </row>
    <row r="28" ht="15" customHeight="1" s="22">
      <c r="A28" s="39" t="n">
        <v>46145</v>
      </c>
      <c r="B28" s="26">
        <f>IF(_xlfn.MAXIFS(Sets!$H$2:$H$2000,Sets!$A$2:$A$2000,$A28,Sets!$D$2:$D$2000,B$1,Sets!$J$2:$J$2000,"N")=0,"",_xlfn.MAXIFS(Sets!$H$2:$H$2000,Sets!$A$2:$A$2000,$A28,Sets!$D$2:$D$2000,B$1,Sets!$J$2:$J$2000,"N"))</f>
        <v/>
      </c>
      <c r="C28" s="26">
        <f>IF(_xlfn.MAXIFS(Sets!$H$2:$H$2000,Sets!$A$2:$A$2000,$A28,Sets!$D$2:$D$2000,C$1,Sets!$J$2:$J$2000,"N")=0,"",_xlfn.MAXIFS(Sets!$H$2:$H$2000,Sets!$A$2:$A$2000,$A28,Sets!$D$2:$D$2000,C$1,Sets!$J$2:$J$2000,"N"))</f>
        <v/>
      </c>
      <c r="D28" s="26">
        <f>IF(_xlfn.MAXIFS(Sets!$H$2:$H$2000,Sets!$A$2:$A$2000,$A28,Sets!$D$2:$D$2000,D$1,Sets!$J$2:$J$2000,"N")=0,"",_xlfn.MAXIFS(Sets!$H$2:$H$2000,Sets!$A$2:$A$2000,$A28,Sets!$D$2:$D$2000,D$1,Sets!$J$2:$J$2000,"N"))</f>
        <v/>
      </c>
      <c r="E28" s="26">
        <f>IF(_xlfn.MAXIFS(Sets!$H$2:$H$2000,Sets!$A$2:$A$2000,$A28,Sets!$D$2:$D$2000,E$1,Sets!$J$2:$J$2000,"N")=0,"",_xlfn.MAXIFS(Sets!$H$2:$H$2000,Sets!$A$2:$A$2000,$A28,Sets!$D$2:$D$2000,E$1,Sets!$J$2:$J$2000,"N"))</f>
        <v/>
      </c>
      <c r="F28" s="26">
        <f>IF(_xlfn.MAXIFS(Sets!$H$2:$H$2000,Sets!$A$2:$A$2000,$A28,Sets!$D$2:$D$2000,F$1,Sets!$J$2:$J$2000,"N")=0,"",_xlfn.MAXIFS(Sets!$H$2:$H$2000,Sets!$A$2:$A$2000,$A28,Sets!$D$2:$D$2000,F$1,Sets!$J$2:$J$2000,"N"))</f>
        <v/>
      </c>
      <c r="G28" s="26">
        <f>IF(_xlfn.MAXIFS(Sets!$H$2:$H$2000,Sets!$A$2:$A$2000,$A28,Sets!$D$2:$D$2000,G$1,Sets!$J$2:$J$2000,"N")=0,"",_xlfn.MAXIFS(Sets!$H$2:$H$2000,Sets!$A$2:$A$2000,$A28,Sets!$D$2:$D$2000,G$1,Sets!$J$2:$J$2000,"N"))</f>
        <v/>
      </c>
      <c r="H28" s="26">
        <f>IF(_xlfn.MAXIFS(Sets!$H$2:$H$2000,Sets!$A$2:$A$2000,$A28,Sets!$D$2:$D$2000,H$1,Sets!$J$2:$J$2000,"N")=0,"",_xlfn.MAXIFS(Sets!$H$2:$H$2000,Sets!$A$2:$A$2000,$A28,Sets!$D$2:$D$2000,H$1,Sets!$J$2:$J$2000,"N"))</f>
        <v/>
      </c>
      <c r="I28" s="26">
        <f>IF(_xlfn.MAXIFS(Sets!$H$2:$H$2000,Sets!$A$2:$A$2000,$A28,Sets!$D$2:$D$2000,I$1,Sets!$J$2:$J$2000,"N")=0,"",_xlfn.MAXIFS(Sets!$H$2:$H$2000,Sets!$A$2:$A$2000,$A28,Sets!$D$2:$D$2000,I$1,Sets!$J$2:$J$2000,"N"))</f>
        <v/>
      </c>
      <c r="J28" s="26">
        <f>IF(_xlfn.MAXIFS(Sets!$H$2:$H$2000,Sets!$A$2:$A$2000,$A28,Sets!$D$2:$D$2000,J$1,Sets!$J$2:$J$2000,"N")=0,"",_xlfn.MAXIFS(Sets!$H$2:$H$2000,Sets!$A$2:$A$2000,$A28,Sets!$D$2:$D$2000,J$1,Sets!$J$2:$J$2000,"N"))</f>
        <v/>
      </c>
      <c r="K28" s="26">
        <f>IF(_xlfn.MAXIFS(Sets!$H$2:$H$2000,Sets!$A$2:$A$2000,$A28,Sets!$D$2:$D$2000,K$1,Sets!$J$2:$J$2000,"N")=0,"",_xlfn.MAXIFS(Sets!$H$2:$H$2000,Sets!$A$2:$A$2000,$A28,Sets!$D$2:$D$2000,K$1,Sets!$J$2:$J$2000,"N"))</f>
        <v/>
      </c>
      <c r="L28" s="26">
        <f>IF(_xlfn.MAXIFS(Sets!$H$2:$H$2000,Sets!$A$2:$A$2000,$A28,Sets!$D$2:$D$2000,L$1,Sets!$J$2:$J$2000,"N")=0,"",_xlfn.MAXIFS(Sets!$H$2:$H$2000,Sets!$A$2:$A$2000,$A28,Sets!$D$2:$D$2000,L$1,Sets!$J$2:$J$2000,"N"))</f>
        <v/>
      </c>
      <c r="M28" s="26">
        <f>IF(_xlfn.MAXIFS(Sets!$H$2:$H$2000,Sets!$A$2:$A$2000,$A28,Sets!$D$2:$D$2000,M$1,Sets!$J$2:$J$2000,"N")=0,"",_xlfn.MAXIFS(Sets!$H$2:$H$2000,Sets!$A$2:$A$2000,$A28,Sets!$D$2:$D$2000,M$1,Sets!$J$2:$J$2000,"N"))</f>
        <v/>
      </c>
      <c r="N28" s="26">
        <f>IF(_xlfn.MAXIFS(Sets!$H$2:$H$2000,Sets!$A$2:$A$2000,$A28,Sets!$D$2:$D$2000,N$1,Sets!$J$2:$J$2000,"N")=0,"",_xlfn.MAXIFS(Sets!$H$2:$H$2000,Sets!$A$2:$A$2000,$A28,Sets!$D$2:$D$2000,N$1,Sets!$J$2:$J$2000,"N"))</f>
        <v/>
      </c>
      <c r="O28" s="26">
        <f>IF(_xlfn.MAXIFS(Sets!$H$2:$H$2000,Sets!$A$2:$A$2000,$A28,Sets!$D$2:$D$2000,O$1,Sets!$J$2:$J$2000,"N")=0,"",_xlfn.MAXIFS(Sets!$H$2:$H$2000,Sets!$A$2:$A$2000,$A28,Sets!$D$2:$D$2000,O$1,Sets!$J$2:$J$2000,"N"))</f>
        <v/>
      </c>
      <c r="P28" s="26">
        <f>IF(_xlfn.MAXIFS(Sets!$H$2:$H$2000,Sets!$A$2:$A$2000,$A28,Sets!$D$2:$D$2000,P$1,Sets!$J$2:$J$2000,"N")=0,"",_xlfn.MAXIFS(Sets!$H$2:$H$2000,Sets!$A$2:$A$2000,$A28,Sets!$D$2:$D$2000,P$1,Sets!$J$2:$J$2000,"N"))</f>
        <v/>
      </c>
      <c r="Q28" s="26">
        <f>IF(_xlfn.MAXIFS(Sets!$H$2:$H$2000,Sets!$A$2:$A$2000,$A28,Sets!$D$2:$D$2000,Q$1,Sets!$J$2:$J$2000,"N")=0,"",_xlfn.MAXIFS(Sets!$H$2:$H$2000,Sets!$A$2:$A$2000,$A28,Sets!$D$2:$D$2000,Q$1,Sets!$J$2:$J$2000,"N"))</f>
        <v/>
      </c>
      <c r="R28" s="26">
        <f>IF(_xlfn.MAXIFS(Sets!$H$2:$H$2000,Sets!$A$2:$A$2000,$A28,Sets!$D$2:$D$2000,R$1,Sets!$J$2:$J$2000,"N")=0,"",_xlfn.MAXIFS(Sets!$H$2:$H$2000,Sets!$A$2:$A$2000,$A28,Sets!$D$2:$D$2000,R$1,Sets!$J$2:$J$2000,"N"))</f>
        <v/>
      </c>
      <c r="S28" s="26">
        <f>IF(_xlfn.MAXIFS(Sets!$H$2:$H$2000,Sets!$A$2:$A$2000,$A28,Sets!$D$2:$D$2000,S$1,Sets!$J$2:$J$2000,"N")=0,"",_xlfn.MAXIFS(Sets!$H$2:$H$2000,Sets!$A$2:$A$2000,$A28,Sets!$D$2:$D$2000,S$1,Sets!$J$2:$J$2000,"N"))</f>
        <v/>
      </c>
      <c r="T28" s="26">
        <f>IF(_xlfn.MAXIFS(Sets!$H$2:$H$2000,Sets!$A$2:$A$2000,$A28,Sets!$D$2:$D$2000,T$1,Sets!$J$2:$J$2000,"N")=0,"",_xlfn.MAXIFS(Sets!$H$2:$H$2000,Sets!$A$2:$A$2000,$A28,Sets!$D$2:$D$2000,T$1,Sets!$J$2:$J$2000,"N"))</f>
        <v/>
      </c>
      <c r="U28" s="26">
        <f>IF(_xlfn.MAXIFS(Sets!$H$2:$H$2000,Sets!$A$2:$A$2000,$A28,Sets!$D$2:$D$2000,U$1,Sets!$J$2:$J$2000,"N")=0,"",_xlfn.MAXIFS(Sets!$H$2:$H$2000,Sets!$A$2:$A$2000,$A28,Sets!$D$2:$D$2000,U$1,Sets!$J$2:$J$2000,"N"))</f>
        <v/>
      </c>
      <c r="V28" s="26">
        <f>IF(_xlfn.MAXIFS(Sets!$H$2:$H$2000,Sets!$A$2:$A$2000,$A28,Sets!$D$2:$D$2000,V$1,Sets!$J$2:$J$2000,"N")=0,"",_xlfn.MAXIFS(Sets!$H$2:$H$2000,Sets!$A$2:$A$2000,$A28,Sets!$D$2:$D$2000,V$1,Sets!$J$2:$J$2000,"N"))</f>
        <v/>
      </c>
      <c r="W28" s="26">
        <f>IF(_xlfn.MAXIFS(Sets!$H$2:$H$2000,Sets!$A$2:$A$2000,$A28,Sets!$D$2:$D$2000,W$1,Sets!$J$2:$J$2000,"N")=0,"",_xlfn.MAXIFS(Sets!$H$2:$H$2000,Sets!$A$2:$A$2000,$A28,Sets!$D$2:$D$2000,W$1,Sets!$J$2:$J$2000,"N"))</f>
        <v/>
      </c>
      <c r="X28" s="26">
        <f>IF(_xlfn.MAXIFS(Sets!$H$2:$H$2000,Sets!$A$2:$A$2000,$A28,Sets!$D$2:$D$2000,X$1,Sets!$J$2:$J$2000,"N")=0,"",_xlfn.MAXIFS(Sets!$H$2:$H$2000,Sets!$A$2:$A$2000,$A28,Sets!$D$2:$D$2000,X$1,Sets!$J$2:$J$2000,"N"))</f>
        <v/>
      </c>
      <c r="Y28" s="26">
        <f>IF(_xlfn.MAXIFS(Sets!$H$2:$H$2000,Sets!$A$2:$A$2000,$A28,Sets!$D$2:$D$2000,Y$1,Sets!$J$2:$J$2000,"N")=0,"",_xlfn.MAXIFS(Sets!$H$2:$H$2000,Sets!$A$2:$A$2000,$A28,Sets!$D$2:$D$2000,Y$1,Sets!$J$2:$J$2000,"N"))</f>
        <v/>
      </c>
      <c r="Z28" s="26">
        <f>IF(_xlfn.MAXIFS(Sets!$H$2:$H$2000,Sets!$A$2:$A$2000,$A28,Sets!$D$2:$D$2000,Z$1,Sets!$J$2:$J$2000,"N")=0,"",_xlfn.MAXIFS(Sets!$H$2:$H$2000,Sets!$A$2:$A$2000,$A28,Sets!$D$2:$D$2000,Z$1,Sets!$J$2:$J$2000,"N"))</f>
        <v/>
      </c>
      <c r="AA28" s="26">
        <f>IF(_xlfn.MAXIFS(Sets!$H$2:$H$2000,Sets!$A$2:$A$2000,$A28,Sets!$D$2:$D$2000,AA$1,Sets!$J$2:$J$2000,"N")=0,"",_xlfn.MAXIFS(Sets!$H$2:$H$2000,Sets!$A$2:$A$2000,$A28,Sets!$D$2:$D$2000,AA$1,Sets!$J$2:$J$2000,"N"))</f>
        <v/>
      </c>
      <c r="AB28" s="26">
        <f>IF(_xlfn.MAXIFS(Sets!$H$2:$H$2000,Sets!$A$2:$A$2000,$A28,Sets!$D$2:$D$2000,AB$1,Sets!$J$2:$J$2000,"N")=0,"",_xlfn.MAXIFS(Sets!$H$2:$H$2000,Sets!$A$2:$A$2000,$A28,Sets!$D$2:$D$2000,AB$1,Sets!$J$2:$J$2000,"N"))</f>
        <v/>
      </c>
      <c r="AC28" s="26">
        <f>IF(_xlfn.MAXIFS(Sets!$H$2:$H$2000,Sets!$A$2:$A$2000,$A28,Sets!$D$2:$D$2000,AC$1,Sets!$J$2:$J$2000,"N")=0,"",_xlfn.MAXIFS(Sets!$H$2:$H$2000,Sets!$A$2:$A$2000,$A28,Sets!$D$2:$D$2000,AC$1,Sets!$J$2:$J$2000,"N"))</f>
        <v/>
      </c>
      <c r="AD28" s="26">
        <f>IF(_xlfn.MAXIFS(Sets!$H$2:$H$2000,Sets!$A$2:$A$2000,$A28,Sets!$D$2:$D$2000,AD$1,Sets!$J$2:$J$2000,"N")=0,"",_xlfn.MAXIFS(Sets!$H$2:$H$2000,Sets!$A$2:$A$2000,$A28,Sets!$D$2:$D$2000,AD$1,Sets!$J$2:$J$2000,"N"))</f>
        <v/>
      </c>
      <c r="AE28" s="26">
        <f>IF(_xlfn.MAXIFS(Sets!$H$2:$H$2000,Sets!$A$2:$A$2000,$A28,Sets!$D$2:$D$2000,AE$1,Sets!$J$2:$J$2000,"N")=0,"",_xlfn.MAXIFS(Sets!$H$2:$H$2000,Sets!$A$2:$A$2000,$A28,Sets!$D$2:$D$2000,AE$1,Sets!$J$2:$J$2000,"N"))</f>
        <v/>
      </c>
      <c r="AF28" s="26">
        <f>IF(_xlfn.MAXIFS(Sets!$H$2:$H$2000,Sets!$A$2:$A$2000,$A28,Sets!$D$2:$D$2000,AF$1,Sets!$J$2:$J$2000,"N")=0,"",_xlfn.MAXIFS(Sets!$H$2:$H$2000,Sets!$A$2:$A$2000,$A28,Sets!$D$2:$D$2000,AF$1,Sets!$J$2:$J$2000,"N"))</f>
        <v/>
      </c>
      <c r="AG28" s="26">
        <f>IF(_xlfn.MAXIFS(Sets!$H$2:$H$2000,Sets!$A$2:$A$2000,$A28,Sets!$D$2:$D$2000,AG$1,Sets!$J$2:$J$2000,"N")=0,"",_xlfn.MAXIFS(Sets!$H$2:$H$2000,Sets!$A$2:$A$2000,$A28,Sets!$D$2:$D$2000,AG$1,Sets!$J$2:$J$2000,"N"))</f>
        <v/>
      </c>
      <c r="AH28" s="26">
        <f>IF(_xlfn.MAXIFS(Sets!$H$2:$H$2000,Sets!$A$2:$A$2000,$A28,Sets!$D$2:$D$2000,AH$1,Sets!$J$2:$J$2000,"N")=0,"",_xlfn.MAXIFS(Sets!$H$2:$H$2000,Sets!$A$2:$A$2000,$A28,Sets!$D$2:$D$2000,AH$1,Sets!$J$2:$J$2000,"N"))</f>
        <v/>
      </c>
      <c r="AI28">
        <f>IF(_xlfn.MAXIFS(Sets!$H$2:$H$2000,Sets!$A$2:$A$2000,$A28,Sets!$D$2:$D$2000,AI$1,Sets!$J$2:$J$2000,"N")=0,"",_xlfn.MAXIFS(Sets!$H$2:$H$2000,Sets!$A$2:$A$2000,$A28,Sets!$D$2:$D$2000,AI$1,Sets!$J$2:$J$2000,"N"))</f>
        <v/>
      </c>
      <c r="AJ28">
        <f>IF(_xlfn.MAXIFS(Sets!$H$2:$H$2000,Sets!$A$2:$A$2000,$A28,Sets!$D$2:$D$2000,AJ$1,Sets!$J$2:$J$2000,"N")=0,"",_xlfn.MAXIFS(Sets!$H$2:$H$2000,Sets!$A$2:$A$2000,$A28,Sets!$D$2:$D$2000,AJ$1,Sets!$J$2:$J$2000,"N"))</f>
        <v/>
      </c>
      <c r="AK28">
        <f>IF(_xlfn.MAXIFS(Sets!$H$2:$H$2000,Sets!$A$2:$A$2000,$A28,Sets!$D$2:$D$2000,AK$1,Sets!$J$2:$J$2000,"N")=0,"",_xlfn.MAXIFS(Sets!$H$2:$H$2000,Sets!$A$2:$A$2000,$A28,Sets!$D$2:$D$2000,AK$1,Sets!$J$2:$J$2000,"N"))</f>
        <v/>
      </c>
      <c r="AL28">
        <f>IF(_xlfn.MAXIFS(Sets!$H$2:$H$2000,Sets!$A$2:$A$2000,$A28,Sets!$D$2:$D$2000,AL$1,Sets!$J$2:$J$2000,"N")=0,"",_xlfn.MAXIFS(Sets!$H$2:$H$2000,Sets!$A$2:$A$2000,$A28,Sets!$D$2:$D$2000,AL$1,Sets!$J$2:$J$2000,"N"))</f>
        <v/>
      </c>
      <c r="AM28">
        <f>IF(_xlfn.MAXIFS(Sets!$H$2:$H$2000,Sets!$A$2:$A$2000,$A28,Sets!$D$2:$D$2000,AM$1,Sets!$J$2:$J$2000,"N")=0,"",_xlfn.MAXIFS(Sets!$H$2:$H$2000,Sets!$A$2:$A$2000,$A28,Sets!$D$2:$D$2000,AM$1,Sets!$J$2:$J$2000,"N"))</f>
        <v/>
      </c>
      <c r="AN28">
        <f>IF(_xlfn.MAXIFS(Sets!$H$2:$H$2000,Sets!$A$2:$A$2000,$A28,Sets!$D$2:$D$2000,AN$1,Sets!$J$2:$J$2000,"N")=0,"",_xlfn.MAXIFS(Sets!$H$2:$H$2000,Sets!$A$2:$A$2000,$A28,Sets!$D$2:$D$2000,AN$1,Sets!$J$2:$J$2000,"N"))</f>
        <v/>
      </c>
      <c r="AO28">
        <f>IF(_xlfn.MAXIFS(Sets!$H$2:$H$2000,Sets!$A$2:$A$2000,$A28,Sets!$D$2:$D$2000,AO$1,Sets!$J$2:$J$2000,"N")=0,"",_xlfn.MAXIFS(Sets!$H$2:$H$2000,Sets!$A$2:$A$2000,$A28,Sets!$D$2:$D$2000,AO$1,Sets!$J$2:$J$2000,"N"))</f>
        <v/>
      </c>
      <c r="AP28">
        <f>IF(_xlfn.MAXIFS(Sets!$H$2:$H$2000,Sets!$A$2:$A$2000,$A28,Sets!$D$2:$D$2000,AP$1,Sets!$J$2:$J$2000,"N")=0,"",_xlfn.MAXIFS(Sets!$H$2:$H$2000,Sets!$A$2:$A$2000,$A28,Sets!$D$2:$D$2000,AP$1,Sets!$J$2:$J$2000,"N"))</f>
        <v/>
      </c>
    </row>
    <row r="29" ht="15" customHeight="1" s="22">
      <c r="A29" s="39" t="n">
        <v>46151</v>
      </c>
      <c r="B29" s="26">
        <f>IF(_xlfn.MAXIFS(Sets!$H$2:$H$2000,Sets!$A$2:$A$2000,$A29,Sets!$D$2:$D$2000,B$1,Sets!$J$2:$J$2000,"N")=0,"",_xlfn.MAXIFS(Sets!$H$2:$H$2000,Sets!$A$2:$A$2000,$A29,Sets!$D$2:$D$2000,B$1,Sets!$J$2:$J$2000,"N"))</f>
        <v/>
      </c>
      <c r="C29" s="26">
        <f>IF(_xlfn.MAXIFS(Sets!$H$2:$H$2000,Sets!$A$2:$A$2000,$A29,Sets!$D$2:$D$2000,C$1,Sets!$J$2:$J$2000,"N")=0,"",_xlfn.MAXIFS(Sets!$H$2:$H$2000,Sets!$A$2:$A$2000,$A29,Sets!$D$2:$D$2000,C$1,Sets!$J$2:$J$2000,"N"))</f>
        <v/>
      </c>
      <c r="D29" s="26">
        <f>IF(_xlfn.MAXIFS(Sets!$H$2:$H$2000,Sets!$A$2:$A$2000,$A29,Sets!$D$2:$D$2000,D$1,Sets!$J$2:$J$2000,"N")=0,"",_xlfn.MAXIFS(Sets!$H$2:$H$2000,Sets!$A$2:$A$2000,$A29,Sets!$D$2:$D$2000,D$1,Sets!$J$2:$J$2000,"N"))</f>
        <v/>
      </c>
      <c r="E29" s="26">
        <f>IF(_xlfn.MAXIFS(Sets!$H$2:$H$2000,Sets!$A$2:$A$2000,$A29,Sets!$D$2:$D$2000,E$1,Sets!$J$2:$J$2000,"N")=0,"",_xlfn.MAXIFS(Sets!$H$2:$H$2000,Sets!$A$2:$A$2000,$A29,Sets!$D$2:$D$2000,E$1,Sets!$J$2:$J$2000,"N"))</f>
        <v/>
      </c>
      <c r="F29" s="26">
        <f>IF(_xlfn.MAXIFS(Sets!$H$2:$H$2000,Sets!$A$2:$A$2000,$A29,Sets!$D$2:$D$2000,F$1,Sets!$J$2:$J$2000,"N")=0,"",_xlfn.MAXIFS(Sets!$H$2:$H$2000,Sets!$A$2:$A$2000,$A29,Sets!$D$2:$D$2000,F$1,Sets!$J$2:$J$2000,"N"))</f>
        <v/>
      </c>
      <c r="G29" s="26">
        <f>IF(_xlfn.MAXIFS(Sets!$H$2:$H$2000,Sets!$A$2:$A$2000,$A29,Sets!$D$2:$D$2000,G$1,Sets!$J$2:$J$2000,"N")=0,"",_xlfn.MAXIFS(Sets!$H$2:$H$2000,Sets!$A$2:$A$2000,$A29,Sets!$D$2:$D$2000,G$1,Sets!$J$2:$J$2000,"N"))</f>
        <v/>
      </c>
      <c r="H29" s="26">
        <f>IF(_xlfn.MAXIFS(Sets!$H$2:$H$2000,Sets!$A$2:$A$2000,$A29,Sets!$D$2:$D$2000,H$1,Sets!$J$2:$J$2000,"N")=0,"",_xlfn.MAXIFS(Sets!$H$2:$H$2000,Sets!$A$2:$A$2000,$A29,Sets!$D$2:$D$2000,H$1,Sets!$J$2:$J$2000,"N"))</f>
        <v/>
      </c>
      <c r="I29" s="26">
        <f>IF(_xlfn.MAXIFS(Sets!$H$2:$H$2000,Sets!$A$2:$A$2000,$A29,Sets!$D$2:$D$2000,I$1,Sets!$J$2:$J$2000,"N")=0,"",_xlfn.MAXIFS(Sets!$H$2:$H$2000,Sets!$A$2:$A$2000,$A29,Sets!$D$2:$D$2000,I$1,Sets!$J$2:$J$2000,"N"))</f>
        <v/>
      </c>
      <c r="J29" s="26">
        <f>IF(_xlfn.MAXIFS(Sets!$H$2:$H$2000,Sets!$A$2:$A$2000,$A29,Sets!$D$2:$D$2000,J$1,Sets!$J$2:$J$2000,"N")=0,"",_xlfn.MAXIFS(Sets!$H$2:$H$2000,Sets!$A$2:$A$2000,$A29,Sets!$D$2:$D$2000,J$1,Sets!$J$2:$J$2000,"N"))</f>
        <v/>
      </c>
      <c r="K29" s="26">
        <f>IF(_xlfn.MAXIFS(Sets!$H$2:$H$2000,Sets!$A$2:$A$2000,$A29,Sets!$D$2:$D$2000,K$1,Sets!$J$2:$J$2000,"N")=0,"",_xlfn.MAXIFS(Sets!$H$2:$H$2000,Sets!$A$2:$A$2000,$A29,Sets!$D$2:$D$2000,K$1,Sets!$J$2:$J$2000,"N"))</f>
        <v/>
      </c>
      <c r="L29" s="26">
        <f>IF(_xlfn.MAXIFS(Sets!$H$2:$H$2000,Sets!$A$2:$A$2000,$A29,Sets!$D$2:$D$2000,L$1,Sets!$J$2:$J$2000,"N")=0,"",_xlfn.MAXIFS(Sets!$H$2:$H$2000,Sets!$A$2:$A$2000,$A29,Sets!$D$2:$D$2000,L$1,Sets!$J$2:$J$2000,"N"))</f>
        <v/>
      </c>
      <c r="M29" s="26">
        <f>IF(_xlfn.MAXIFS(Sets!$H$2:$H$2000,Sets!$A$2:$A$2000,$A29,Sets!$D$2:$D$2000,M$1,Sets!$J$2:$J$2000,"N")=0,"",_xlfn.MAXIFS(Sets!$H$2:$H$2000,Sets!$A$2:$A$2000,$A29,Sets!$D$2:$D$2000,M$1,Sets!$J$2:$J$2000,"N"))</f>
        <v/>
      </c>
      <c r="N29" s="26">
        <f>IF(_xlfn.MAXIFS(Sets!$H$2:$H$2000,Sets!$A$2:$A$2000,$A29,Sets!$D$2:$D$2000,N$1,Sets!$J$2:$J$2000,"N")=0,"",_xlfn.MAXIFS(Sets!$H$2:$H$2000,Sets!$A$2:$A$2000,$A29,Sets!$D$2:$D$2000,N$1,Sets!$J$2:$J$2000,"N"))</f>
        <v/>
      </c>
      <c r="O29" s="26">
        <f>IF(_xlfn.MAXIFS(Sets!$H$2:$H$2000,Sets!$A$2:$A$2000,$A29,Sets!$D$2:$D$2000,O$1,Sets!$J$2:$J$2000,"N")=0,"",_xlfn.MAXIFS(Sets!$H$2:$H$2000,Sets!$A$2:$A$2000,$A29,Sets!$D$2:$D$2000,O$1,Sets!$J$2:$J$2000,"N"))</f>
        <v/>
      </c>
      <c r="P29" s="26">
        <f>IF(_xlfn.MAXIFS(Sets!$H$2:$H$2000,Sets!$A$2:$A$2000,$A29,Sets!$D$2:$D$2000,P$1,Sets!$J$2:$J$2000,"N")=0,"",_xlfn.MAXIFS(Sets!$H$2:$H$2000,Sets!$A$2:$A$2000,$A29,Sets!$D$2:$D$2000,P$1,Sets!$J$2:$J$2000,"N"))</f>
        <v/>
      </c>
      <c r="Q29" s="26">
        <f>IF(_xlfn.MAXIFS(Sets!$H$2:$H$2000,Sets!$A$2:$A$2000,$A29,Sets!$D$2:$D$2000,Q$1,Sets!$J$2:$J$2000,"N")=0,"",_xlfn.MAXIFS(Sets!$H$2:$H$2000,Sets!$A$2:$A$2000,$A29,Sets!$D$2:$D$2000,Q$1,Sets!$J$2:$J$2000,"N"))</f>
        <v/>
      </c>
      <c r="R29" s="26">
        <f>IF(_xlfn.MAXIFS(Sets!$H$2:$H$2000,Sets!$A$2:$A$2000,$A29,Sets!$D$2:$D$2000,R$1,Sets!$J$2:$J$2000,"N")=0,"",_xlfn.MAXIFS(Sets!$H$2:$H$2000,Sets!$A$2:$A$2000,$A29,Sets!$D$2:$D$2000,R$1,Sets!$J$2:$J$2000,"N"))</f>
        <v/>
      </c>
      <c r="S29" s="26">
        <f>IF(_xlfn.MAXIFS(Sets!$H$2:$H$2000,Sets!$A$2:$A$2000,$A29,Sets!$D$2:$D$2000,S$1,Sets!$J$2:$J$2000,"N")=0,"",_xlfn.MAXIFS(Sets!$H$2:$H$2000,Sets!$A$2:$A$2000,$A29,Sets!$D$2:$D$2000,S$1,Sets!$J$2:$J$2000,"N"))</f>
        <v/>
      </c>
      <c r="T29" s="26">
        <f>IF(_xlfn.MAXIFS(Sets!$H$2:$H$2000,Sets!$A$2:$A$2000,$A29,Sets!$D$2:$D$2000,T$1,Sets!$J$2:$J$2000,"N")=0,"",_xlfn.MAXIFS(Sets!$H$2:$H$2000,Sets!$A$2:$A$2000,$A29,Sets!$D$2:$D$2000,T$1,Sets!$J$2:$J$2000,"N"))</f>
        <v/>
      </c>
      <c r="U29" s="26">
        <f>IF(_xlfn.MAXIFS(Sets!$H$2:$H$2000,Sets!$A$2:$A$2000,$A29,Sets!$D$2:$D$2000,U$1,Sets!$J$2:$J$2000,"N")=0,"",_xlfn.MAXIFS(Sets!$H$2:$H$2000,Sets!$A$2:$A$2000,$A29,Sets!$D$2:$D$2000,U$1,Sets!$J$2:$J$2000,"N"))</f>
        <v/>
      </c>
      <c r="V29" s="26">
        <f>IF(_xlfn.MAXIFS(Sets!$H$2:$H$2000,Sets!$A$2:$A$2000,$A29,Sets!$D$2:$D$2000,V$1,Sets!$J$2:$J$2000,"N")=0,"",_xlfn.MAXIFS(Sets!$H$2:$H$2000,Sets!$A$2:$A$2000,$A29,Sets!$D$2:$D$2000,V$1,Sets!$J$2:$J$2000,"N"))</f>
        <v/>
      </c>
      <c r="W29" s="26">
        <f>IF(_xlfn.MAXIFS(Sets!$H$2:$H$2000,Sets!$A$2:$A$2000,$A29,Sets!$D$2:$D$2000,W$1,Sets!$J$2:$J$2000,"N")=0,"",_xlfn.MAXIFS(Sets!$H$2:$H$2000,Sets!$A$2:$A$2000,$A29,Sets!$D$2:$D$2000,W$1,Sets!$J$2:$J$2000,"N"))</f>
        <v/>
      </c>
      <c r="X29" s="26">
        <f>IF(_xlfn.MAXIFS(Sets!$H$2:$H$2000,Sets!$A$2:$A$2000,$A29,Sets!$D$2:$D$2000,X$1,Sets!$J$2:$J$2000,"N")=0,"",_xlfn.MAXIFS(Sets!$H$2:$H$2000,Sets!$A$2:$A$2000,$A29,Sets!$D$2:$D$2000,X$1,Sets!$J$2:$J$2000,"N"))</f>
        <v/>
      </c>
      <c r="Y29" s="26">
        <f>IF(_xlfn.MAXIFS(Sets!$H$2:$H$2000,Sets!$A$2:$A$2000,$A29,Sets!$D$2:$D$2000,Y$1,Sets!$J$2:$J$2000,"N")=0,"",_xlfn.MAXIFS(Sets!$H$2:$H$2000,Sets!$A$2:$A$2000,$A29,Sets!$D$2:$D$2000,Y$1,Sets!$J$2:$J$2000,"N"))</f>
        <v/>
      </c>
      <c r="Z29" s="26">
        <f>IF(_xlfn.MAXIFS(Sets!$H$2:$H$2000,Sets!$A$2:$A$2000,$A29,Sets!$D$2:$D$2000,Z$1,Sets!$J$2:$J$2000,"N")=0,"",_xlfn.MAXIFS(Sets!$H$2:$H$2000,Sets!$A$2:$A$2000,$A29,Sets!$D$2:$D$2000,Z$1,Sets!$J$2:$J$2000,"N"))</f>
        <v/>
      </c>
      <c r="AA29" s="26">
        <f>IF(_xlfn.MAXIFS(Sets!$H$2:$H$2000,Sets!$A$2:$A$2000,$A29,Sets!$D$2:$D$2000,AA$1,Sets!$J$2:$J$2000,"N")=0,"",_xlfn.MAXIFS(Sets!$H$2:$H$2000,Sets!$A$2:$A$2000,$A29,Sets!$D$2:$D$2000,AA$1,Sets!$J$2:$J$2000,"N"))</f>
        <v/>
      </c>
      <c r="AB29" s="26">
        <f>IF(_xlfn.MAXIFS(Sets!$H$2:$H$2000,Sets!$A$2:$A$2000,$A29,Sets!$D$2:$D$2000,AB$1,Sets!$J$2:$J$2000,"N")=0,"",_xlfn.MAXIFS(Sets!$H$2:$H$2000,Sets!$A$2:$A$2000,$A29,Sets!$D$2:$D$2000,AB$1,Sets!$J$2:$J$2000,"N"))</f>
        <v/>
      </c>
      <c r="AC29" s="26">
        <f>IF(_xlfn.MAXIFS(Sets!$H$2:$H$2000,Sets!$A$2:$A$2000,$A29,Sets!$D$2:$D$2000,AC$1,Sets!$J$2:$J$2000,"N")=0,"",_xlfn.MAXIFS(Sets!$H$2:$H$2000,Sets!$A$2:$A$2000,$A29,Sets!$D$2:$D$2000,AC$1,Sets!$J$2:$J$2000,"N"))</f>
        <v/>
      </c>
      <c r="AD29" s="26">
        <f>IF(_xlfn.MAXIFS(Sets!$H$2:$H$2000,Sets!$A$2:$A$2000,$A29,Sets!$D$2:$D$2000,AD$1,Sets!$J$2:$J$2000,"N")=0,"",_xlfn.MAXIFS(Sets!$H$2:$H$2000,Sets!$A$2:$A$2000,$A29,Sets!$D$2:$D$2000,AD$1,Sets!$J$2:$J$2000,"N"))</f>
        <v/>
      </c>
      <c r="AE29" s="26">
        <f>IF(_xlfn.MAXIFS(Sets!$H$2:$H$2000,Sets!$A$2:$A$2000,$A29,Sets!$D$2:$D$2000,AE$1,Sets!$J$2:$J$2000,"N")=0,"",_xlfn.MAXIFS(Sets!$H$2:$H$2000,Sets!$A$2:$A$2000,$A29,Sets!$D$2:$D$2000,AE$1,Sets!$J$2:$J$2000,"N"))</f>
        <v/>
      </c>
      <c r="AF29" s="26">
        <f>IF(_xlfn.MAXIFS(Sets!$H$2:$H$2000,Sets!$A$2:$A$2000,$A29,Sets!$D$2:$D$2000,AF$1,Sets!$J$2:$J$2000,"N")=0,"",_xlfn.MAXIFS(Sets!$H$2:$H$2000,Sets!$A$2:$A$2000,$A29,Sets!$D$2:$D$2000,AF$1,Sets!$J$2:$J$2000,"N"))</f>
        <v/>
      </c>
      <c r="AG29" s="26">
        <f>IF(_xlfn.MAXIFS(Sets!$H$2:$H$2000,Sets!$A$2:$A$2000,$A29,Sets!$D$2:$D$2000,AG$1,Sets!$J$2:$J$2000,"N")=0,"",_xlfn.MAXIFS(Sets!$H$2:$H$2000,Sets!$A$2:$A$2000,$A29,Sets!$D$2:$D$2000,AG$1,Sets!$J$2:$J$2000,"N"))</f>
        <v/>
      </c>
      <c r="AH29" s="26">
        <f>IF(_xlfn.MAXIFS(Sets!$H$2:$H$2000,Sets!$A$2:$A$2000,$A29,Sets!$D$2:$D$2000,AH$1,Sets!$J$2:$J$2000,"N")=0,"",_xlfn.MAXIFS(Sets!$H$2:$H$2000,Sets!$A$2:$A$2000,$A29,Sets!$D$2:$D$2000,AH$1,Sets!$J$2:$J$2000,"N"))</f>
        <v/>
      </c>
      <c r="AI29">
        <f>IF(_xlfn.MAXIFS(Sets!$H$2:$H$2000,Sets!$A$2:$A$2000,$A29,Sets!$D$2:$D$2000,AI$1,Sets!$J$2:$J$2000,"N")=0,"",_xlfn.MAXIFS(Sets!$H$2:$H$2000,Sets!$A$2:$A$2000,$A29,Sets!$D$2:$D$2000,AI$1,Sets!$J$2:$J$2000,"N"))</f>
        <v/>
      </c>
      <c r="AJ29">
        <f>IF(_xlfn.MAXIFS(Sets!$H$2:$H$2000,Sets!$A$2:$A$2000,$A29,Sets!$D$2:$D$2000,AJ$1,Sets!$J$2:$J$2000,"N")=0,"",_xlfn.MAXIFS(Sets!$H$2:$H$2000,Sets!$A$2:$A$2000,$A29,Sets!$D$2:$D$2000,AJ$1,Sets!$J$2:$J$2000,"N"))</f>
        <v/>
      </c>
      <c r="AK29">
        <f>IF(_xlfn.MAXIFS(Sets!$H$2:$H$2000,Sets!$A$2:$A$2000,$A29,Sets!$D$2:$D$2000,AK$1,Sets!$J$2:$J$2000,"N")=0,"",_xlfn.MAXIFS(Sets!$H$2:$H$2000,Sets!$A$2:$A$2000,$A29,Sets!$D$2:$D$2000,AK$1,Sets!$J$2:$J$2000,"N"))</f>
        <v/>
      </c>
      <c r="AL29">
        <f>IF(_xlfn.MAXIFS(Sets!$H$2:$H$2000,Sets!$A$2:$A$2000,$A29,Sets!$D$2:$D$2000,AL$1,Sets!$J$2:$J$2000,"N")=0,"",_xlfn.MAXIFS(Sets!$H$2:$H$2000,Sets!$A$2:$A$2000,$A29,Sets!$D$2:$D$2000,AL$1,Sets!$J$2:$J$2000,"N"))</f>
        <v/>
      </c>
      <c r="AM29">
        <f>IF(_xlfn.MAXIFS(Sets!$H$2:$H$2000,Sets!$A$2:$A$2000,$A29,Sets!$D$2:$D$2000,AM$1,Sets!$J$2:$J$2000,"N")=0,"",_xlfn.MAXIFS(Sets!$H$2:$H$2000,Sets!$A$2:$A$2000,$A29,Sets!$D$2:$D$2000,AM$1,Sets!$J$2:$J$2000,"N"))</f>
        <v/>
      </c>
      <c r="AN29">
        <f>IF(_xlfn.MAXIFS(Sets!$H$2:$H$2000,Sets!$A$2:$A$2000,$A29,Sets!$D$2:$D$2000,AN$1,Sets!$J$2:$J$2000,"N")=0,"",_xlfn.MAXIFS(Sets!$H$2:$H$2000,Sets!$A$2:$A$2000,$A29,Sets!$D$2:$D$2000,AN$1,Sets!$J$2:$J$2000,"N"))</f>
        <v/>
      </c>
      <c r="AO29">
        <f>IF(_xlfn.MAXIFS(Sets!$H$2:$H$2000,Sets!$A$2:$A$2000,$A29,Sets!$D$2:$D$2000,AO$1,Sets!$J$2:$J$2000,"N")=0,"",_xlfn.MAXIFS(Sets!$H$2:$H$2000,Sets!$A$2:$A$2000,$A29,Sets!$D$2:$D$2000,AO$1,Sets!$J$2:$J$2000,"N"))</f>
        <v/>
      </c>
      <c r="AP29">
        <f>IF(_xlfn.MAXIFS(Sets!$H$2:$H$2000,Sets!$A$2:$A$2000,$A29,Sets!$D$2:$D$2000,AP$1,Sets!$J$2:$J$2000,"N")=0,"",_xlfn.MAXIFS(Sets!$H$2:$H$2000,Sets!$A$2:$A$2000,$A29,Sets!$D$2:$D$2000,AP$1,Sets!$J$2:$J$2000,"N"))</f>
        <v/>
      </c>
    </row>
    <row r="30" ht="15" customHeight="1" s="22">
      <c r="A30" s="39" t="n">
        <v>46154</v>
      </c>
      <c r="B30" s="26">
        <f>IF(_xlfn.MAXIFS(Sets!$H$2:$H$2000,Sets!$A$2:$A$2000,$A30,Sets!$D$2:$D$2000,B$1,Sets!$J$2:$J$2000,"N")=0,"",_xlfn.MAXIFS(Sets!$H$2:$H$2000,Sets!$A$2:$A$2000,$A30,Sets!$D$2:$D$2000,B$1,Sets!$J$2:$J$2000,"N"))</f>
        <v/>
      </c>
      <c r="C30" s="26">
        <f>IF(_xlfn.MAXIFS(Sets!$H$2:$H$2000,Sets!$A$2:$A$2000,$A30,Sets!$D$2:$D$2000,C$1,Sets!$J$2:$J$2000,"N")=0,"",_xlfn.MAXIFS(Sets!$H$2:$H$2000,Sets!$A$2:$A$2000,$A30,Sets!$D$2:$D$2000,C$1,Sets!$J$2:$J$2000,"N"))</f>
        <v/>
      </c>
      <c r="D30" s="26">
        <f>IF(_xlfn.MAXIFS(Sets!$H$2:$H$2000,Sets!$A$2:$A$2000,$A30,Sets!$D$2:$D$2000,D$1,Sets!$J$2:$J$2000,"N")=0,"",_xlfn.MAXIFS(Sets!$H$2:$H$2000,Sets!$A$2:$A$2000,$A30,Sets!$D$2:$D$2000,D$1,Sets!$J$2:$J$2000,"N"))</f>
        <v/>
      </c>
      <c r="E30" s="26">
        <f>IF(_xlfn.MAXIFS(Sets!$H$2:$H$2000,Sets!$A$2:$A$2000,$A30,Sets!$D$2:$D$2000,E$1,Sets!$J$2:$J$2000,"N")=0,"",_xlfn.MAXIFS(Sets!$H$2:$H$2000,Sets!$A$2:$A$2000,$A30,Sets!$D$2:$D$2000,E$1,Sets!$J$2:$J$2000,"N"))</f>
        <v/>
      </c>
      <c r="F30" s="26">
        <f>IF(_xlfn.MAXIFS(Sets!$H$2:$H$2000,Sets!$A$2:$A$2000,$A30,Sets!$D$2:$D$2000,F$1,Sets!$J$2:$J$2000,"N")=0,"",_xlfn.MAXIFS(Sets!$H$2:$H$2000,Sets!$A$2:$A$2000,$A30,Sets!$D$2:$D$2000,F$1,Sets!$J$2:$J$2000,"N"))</f>
        <v/>
      </c>
      <c r="G30" s="26">
        <f>IF(_xlfn.MAXIFS(Sets!$H$2:$H$2000,Sets!$A$2:$A$2000,$A30,Sets!$D$2:$D$2000,G$1,Sets!$J$2:$J$2000,"N")=0,"",_xlfn.MAXIFS(Sets!$H$2:$H$2000,Sets!$A$2:$A$2000,$A30,Sets!$D$2:$D$2000,G$1,Sets!$J$2:$J$2000,"N"))</f>
        <v/>
      </c>
      <c r="H30" s="26">
        <f>IF(_xlfn.MAXIFS(Sets!$H$2:$H$2000,Sets!$A$2:$A$2000,$A30,Sets!$D$2:$D$2000,H$1,Sets!$J$2:$J$2000,"N")=0,"",_xlfn.MAXIFS(Sets!$H$2:$H$2000,Sets!$A$2:$A$2000,$A30,Sets!$D$2:$D$2000,H$1,Sets!$J$2:$J$2000,"N"))</f>
        <v/>
      </c>
      <c r="I30" s="26">
        <f>IF(_xlfn.MAXIFS(Sets!$H$2:$H$2000,Sets!$A$2:$A$2000,$A30,Sets!$D$2:$D$2000,I$1,Sets!$J$2:$J$2000,"N")=0,"",_xlfn.MAXIFS(Sets!$H$2:$H$2000,Sets!$A$2:$A$2000,$A30,Sets!$D$2:$D$2000,I$1,Sets!$J$2:$J$2000,"N"))</f>
        <v/>
      </c>
      <c r="J30" s="26">
        <f>IF(_xlfn.MAXIFS(Sets!$H$2:$H$2000,Sets!$A$2:$A$2000,$A30,Sets!$D$2:$D$2000,J$1,Sets!$J$2:$J$2000,"N")=0,"",_xlfn.MAXIFS(Sets!$H$2:$H$2000,Sets!$A$2:$A$2000,$A30,Sets!$D$2:$D$2000,J$1,Sets!$J$2:$J$2000,"N"))</f>
        <v/>
      </c>
      <c r="K30" s="26">
        <f>IF(_xlfn.MAXIFS(Sets!$H$2:$H$2000,Sets!$A$2:$A$2000,$A30,Sets!$D$2:$D$2000,K$1,Sets!$J$2:$J$2000,"N")=0,"",_xlfn.MAXIFS(Sets!$H$2:$H$2000,Sets!$A$2:$A$2000,$A30,Sets!$D$2:$D$2000,K$1,Sets!$J$2:$J$2000,"N"))</f>
        <v/>
      </c>
      <c r="L30" s="26">
        <f>IF(_xlfn.MAXIFS(Sets!$H$2:$H$2000,Sets!$A$2:$A$2000,$A30,Sets!$D$2:$D$2000,L$1,Sets!$J$2:$J$2000,"N")=0,"",_xlfn.MAXIFS(Sets!$H$2:$H$2000,Sets!$A$2:$A$2000,$A30,Sets!$D$2:$D$2000,L$1,Sets!$J$2:$J$2000,"N"))</f>
        <v/>
      </c>
      <c r="M30" s="26">
        <f>IF(_xlfn.MAXIFS(Sets!$H$2:$H$2000,Sets!$A$2:$A$2000,$A30,Sets!$D$2:$D$2000,M$1,Sets!$J$2:$J$2000,"N")=0,"",_xlfn.MAXIFS(Sets!$H$2:$H$2000,Sets!$A$2:$A$2000,$A30,Sets!$D$2:$D$2000,M$1,Sets!$J$2:$J$2000,"N"))</f>
        <v/>
      </c>
      <c r="N30" s="26">
        <f>IF(_xlfn.MAXIFS(Sets!$H$2:$H$2000,Sets!$A$2:$A$2000,$A30,Sets!$D$2:$D$2000,N$1,Sets!$J$2:$J$2000,"N")=0,"",_xlfn.MAXIFS(Sets!$H$2:$H$2000,Sets!$A$2:$A$2000,$A30,Sets!$D$2:$D$2000,N$1,Sets!$J$2:$J$2000,"N"))</f>
        <v/>
      </c>
      <c r="O30" s="26">
        <f>IF(_xlfn.MAXIFS(Sets!$H$2:$H$2000,Sets!$A$2:$A$2000,$A30,Sets!$D$2:$D$2000,O$1,Sets!$J$2:$J$2000,"N")=0,"",_xlfn.MAXIFS(Sets!$H$2:$H$2000,Sets!$A$2:$A$2000,$A30,Sets!$D$2:$D$2000,O$1,Sets!$J$2:$J$2000,"N"))</f>
        <v/>
      </c>
      <c r="P30" s="26">
        <f>IF(_xlfn.MAXIFS(Sets!$H$2:$H$2000,Sets!$A$2:$A$2000,$A30,Sets!$D$2:$D$2000,P$1,Sets!$J$2:$J$2000,"N")=0,"",_xlfn.MAXIFS(Sets!$H$2:$H$2000,Sets!$A$2:$A$2000,$A30,Sets!$D$2:$D$2000,P$1,Sets!$J$2:$J$2000,"N"))</f>
        <v/>
      </c>
      <c r="Q30" s="26">
        <f>IF(_xlfn.MAXIFS(Sets!$H$2:$H$2000,Sets!$A$2:$A$2000,$A30,Sets!$D$2:$D$2000,Q$1,Sets!$J$2:$J$2000,"N")=0,"",_xlfn.MAXIFS(Sets!$H$2:$H$2000,Sets!$A$2:$A$2000,$A30,Sets!$D$2:$D$2000,Q$1,Sets!$J$2:$J$2000,"N"))</f>
        <v/>
      </c>
      <c r="R30" s="26">
        <f>IF(_xlfn.MAXIFS(Sets!$H$2:$H$2000,Sets!$A$2:$A$2000,$A30,Sets!$D$2:$D$2000,R$1,Sets!$J$2:$J$2000,"N")=0,"",_xlfn.MAXIFS(Sets!$H$2:$H$2000,Sets!$A$2:$A$2000,$A30,Sets!$D$2:$D$2000,R$1,Sets!$J$2:$J$2000,"N"))</f>
        <v/>
      </c>
      <c r="S30" s="26">
        <f>IF(_xlfn.MAXIFS(Sets!$H$2:$H$2000,Sets!$A$2:$A$2000,$A30,Sets!$D$2:$D$2000,S$1,Sets!$J$2:$J$2000,"N")=0,"",_xlfn.MAXIFS(Sets!$H$2:$H$2000,Sets!$A$2:$A$2000,$A30,Sets!$D$2:$D$2000,S$1,Sets!$J$2:$J$2000,"N"))</f>
        <v/>
      </c>
      <c r="T30" s="26">
        <f>IF(_xlfn.MAXIFS(Sets!$H$2:$H$2000,Sets!$A$2:$A$2000,$A30,Sets!$D$2:$D$2000,T$1,Sets!$J$2:$J$2000,"N")=0,"",_xlfn.MAXIFS(Sets!$H$2:$H$2000,Sets!$A$2:$A$2000,$A30,Sets!$D$2:$D$2000,T$1,Sets!$J$2:$J$2000,"N"))</f>
        <v/>
      </c>
      <c r="U30" s="26">
        <f>IF(_xlfn.MAXIFS(Sets!$H$2:$H$2000,Sets!$A$2:$A$2000,$A30,Sets!$D$2:$D$2000,U$1,Sets!$J$2:$J$2000,"N")=0,"",_xlfn.MAXIFS(Sets!$H$2:$H$2000,Sets!$A$2:$A$2000,$A30,Sets!$D$2:$D$2000,U$1,Sets!$J$2:$J$2000,"N"))</f>
        <v/>
      </c>
      <c r="V30" s="26">
        <f>IF(_xlfn.MAXIFS(Sets!$H$2:$H$2000,Sets!$A$2:$A$2000,$A30,Sets!$D$2:$D$2000,V$1,Sets!$J$2:$J$2000,"N")=0,"",_xlfn.MAXIFS(Sets!$H$2:$H$2000,Sets!$A$2:$A$2000,$A30,Sets!$D$2:$D$2000,V$1,Sets!$J$2:$J$2000,"N"))</f>
        <v/>
      </c>
      <c r="W30" s="26">
        <f>IF(_xlfn.MAXIFS(Sets!$H$2:$H$2000,Sets!$A$2:$A$2000,$A30,Sets!$D$2:$D$2000,W$1,Sets!$J$2:$J$2000,"N")=0,"",_xlfn.MAXIFS(Sets!$H$2:$H$2000,Sets!$A$2:$A$2000,$A30,Sets!$D$2:$D$2000,W$1,Sets!$J$2:$J$2000,"N"))</f>
        <v/>
      </c>
      <c r="X30" s="26">
        <f>IF(_xlfn.MAXIFS(Sets!$H$2:$H$2000,Sets!$A$2:$A$2000,$A30,Sets!$D$2:$D$2000,X$1,Sets!$J$2:$J$2000,"N")=0,"",_xlfn.MAXIFS(Sets!$H$2:$H$2000,Sets!$A$2:$A$2000,$A30,Sets!$D$2:$D$2000,X$1,Sets!$J$2:$J$2000,"N"))</f>
        <v/>
      </c>
      <c r="Y30" s="26">
        <f>IF(_xlfn.MAXIFS(Sets!$H$2:$H$2000,Sets!$A$2:$A$2000,$A30,Sets!$D$2:$D$2000,Y$1,Sets!$J$2:$J$2000,"N")=0,"",_xlfn.MAXIFS(Sets!$H$2:$H$2000,Sets!$A$2:$A$2000,$A30,Sets!$D$2:$D$2000,Y$1,Sets!$J$2:$J$2000,"N"))</f>
        <v/>
      </c>
      <c r="Z30" s="26">
        <f>IF(_xlfn.MAXIFS(Sets!$H$2:$H$2000,Sets!$A$2:$A$2000,$A30,Sets!$D$2:$D$2000,Z$1,Sets!$J$2:$J$2000,"N")=0,"",_xlfn.MAXIFS(Sets!$H$2:$H$2000,Sets!$A$2:$A$2000,$A30,Sets!$D$2:$D$2000,Z$1,Sets!$J$2:$J$2000,"N"))</f>
        <v/>
      </c>
      <c r="AA30" s="26">
        <f>IF(_xlfn.MAXIFS(Sets!$H$2:$H$2000,Sets!$A$2:$A$2000,$A30,Sets!$D$2:$D$2000,AA$1,Sets!$J$2:$J$2000,"N")=0,"",_xlfn.MAXIFS(Sets!$H$2:$H$2000,Sets!$A$2:$A$2000,$A30,Sets!$D$2:$D$2000,AA$1,Sets!$J$2:$J$2000,"N"))</f>
        <v/>
      </c>
      <c r="AB30" s="26">
        <f>IF(_xlfn.MAXIFS(Sets!$H$2:$H$2000,Sets!$A$2:$A$2000,$A30,Sets!$D$2:$D$2000,AB$1,Sets!$J$2:$J$2000,"N")=0,"",_xlfn.MAXIFS(Sets!$H$2:$H$2000,Sets!$A$2:$A$2000,$A30,Sets!$D$2:$D$2000,AB$1,Sets!$J$2:$J$2000,"N"))</f>
        <v/>
      </c>
      <c r="AC30" s="26">
        <f>IF(_xlfn.MAXIFS(Sets!$H$2:$H$2000,Sets!$A$2:$A$2000,$A30,Sets!$D$2:$D$2000,AC$1,Sets!$J$2:$J$2000,"N")=0,"",_xlfn.MAXIFS(Sets!$H$2:$H$2000,Sets!$A$2:$A$2000,$A30,Sets!$D$2:$D$2000,AC$1,Sets!$J$2:$J$2000,"N"))</f>
        <v/>
      </c>
      <c r="AD30" s="26">
        <f>IF(_xlfn.MAXIFS(Sets!$H$2:$H$2000,Sets!$A$2:$A$2000,$A30,Sets!$D$2:$D$2000,AD$1,Sets!$J$2:$J$2000,"N")=0,"",_xlfn.MAXIFS(Sets!$H$2:$H$2000,Sets!$A$2:$A$2000,$A30,Sets!$D$2:$D$2000,AD$1,Sets!$J$2:$J$2000,"N"))</f>
        <v/>
      </c>
      <c r="AE30" s="26">
        <f>IF(_xlfn.MAXIFS(Sets!$H$2:$H$2000,Sets!$A$2:$A$2000,$A30,Sets!$D$2:$D$2000,AE$1,Sets!$J$2:$J$2000,"N")=0,"",_xlfn.MAXIFS(Sets!$H$2:$H$2000,Sets!$A$2:$A$2000,$A30,Sets!$D$2:$D$2000,AE$1,Sets!$J$2:$J$2000,"N"))</f>
        <v/>
      </c>
      <c r="AF30" s="26">
        <f>IF(_xlfn.MAXIFS(Sets!$H$2:$H$2000,Sets!$A$2:$A$2000,$A30,Sets!$D$2:$D$2000,AF$1,Sets!$J$2:$J$2000,"N")=0,"",_xlfn.MAXIFS(Sets!$H$2:$H$2000,Sets!$A$2:$A$2000,$A30,Sets!$D$2:$D$2000,AF$1,Sets!$J$2:$J$2000,"N"))</f>
        <v/>
      </c>
      <c r="AG30" s="26">
        <f>IF(_xlfn.MAXIFS(Sets!$H$2:$H$2000,Sets!$A$2:$A$2000,$A30,Sets!$D$2:$D$2000,AG$1,Sets!$J$2:$J$2000,"N")=0,"",_xlfn.MAXIFS(Sets!$H$2:$H$2000,Sets!$A$2:$A$2000,$A30,Sets!$D$2:$D$2000,AG$1,Sets!$J$2:$J$2000,"N"))</f>
        <v/>
      </c>
      <c r="AH30" s="26">
        <f>IF(_xlfn.MAXIFS(Sets!$H$2:$H$2000,Sets!$A$2:$A$2000,$A30,Sets!$D$2:$D$2000,AH$1,Sets!$J$2:$J$2000,"N")=0,"",_xlfn.MAXIFS(Sets!$H$2:$H$2000,Sets!$A$2:$A$2000,$A30,Sets!$D$2:$D$2000,AH$1,Sets!$J$2:$J$2000,"N"))</f>
        <v/>
      </c>
      <c r="AI30">
        <f>IF(_xlfn.MAXIFS(Sets!$H$2:$H$2000,Sets!$A$2:$A$2000,$A30,Sets!$D$2:$D$2000,AI$1,Sets!$J$2:$J$2000,"N")=0,"",_xlfn.MAXIFS(Sets!$H$2:$H$2000,Sets!$A$2:$A$2000,$A30,Sets!$D$2:$D$2000,AI$1,Sets!$J$2:$J$2000,"N"))</f>
        <v/>
      </c>
      <c r="AJ30">
        <f>IF(_xlfn.MAXIFS(Sets!$H$2:$H$2000,Sets!$A$2:$A$2000,$A30,Sets!$D$2:$D$2000,AJ$1,Sets!$J$2:$J$2000,"N")=0,"",_xlfn.MAXIFS(Sets!$H$2:$H$2000,Sets!$A$2:$A$2000,$A30,Sets!$D$2:$D$2000,AJ$1,Sets!$J$2:$J$2000,"N"))</f>
        <v/>
      </c>
      <c r="AK30">
        <f>IF(_xlfn.MAXIFS(Sets!$H$2:$H$2000,Sets!$A$2:$A$2000,$A30,Sets!$D$2:$D$2000,AK$1,Sets!$J$2:$J$2000,"N")=0,"",_xlfn.MAXIFS(Sets!$H$2:$H$2000,Sets!$A$2:$A$2000,$A30,Sets!$D$2:$D$2000,AK$1,Sets!$J$2:$J$2000,"N"))</f>
        <v/>
      </c>
      <c r="AL30">
        <f>IF(_xlfn.MAXIFS(Sets!$H$2:$H$2000,Sets!$A$2:$A$2000,$A30,Sets!$D$2:$D$2000,AL$1,Sets!$J$2:$J$2000,"N")=0,"",_xlfn.MAXIFS(Sets!$H$2:$H$2000,Sets!$A$2:$A$2000,$A30,Sets!$D$2:$D$2000,AL$1,Sets!$J$2:$J$2000,"N"))</f>
        <v/>
      </c>
      <c r="AM30">
        <f>IF(_xlfn.MAXIFS(Sets!$H$2:$H$2000,Sets!$A$2:$A$2000,$A30,Sets!$D$2:$D$2000,AM$1,Sets!$J$2:$J$2000,"N")=0,"",_xlfn.MAXIFS(Sets!$H$2:$H$2000,Sets!$A$2:$A$2000,$A30,Sets!$D$2:$D$2000,AM$1,Sets!$J$2:$J$2000,"N"))</f>
        <v/>
      </c>
      <c r="AN30">
        <f>IF(_xlfn.MAXIFS(Sets!$H$2:$H$2000,Sets!$A$2:$A$2000,$A30,Sets!$D$2:$D$2000,AN$1,Sets!$J$2:$J$2000,"N")=0,"",_xlfn.MAXIFS(Sets!$H$2:$H$2000,Sets!$A$2:$A$2000,$A30,Sets!$D$2:$D$2000,AN$1,Sets!$J$2:$J$2000,"N"))</f>
        <v/>
      </c>
      <c r="AO30">
        <f>IF(_xlfn.MAXIFS(Sets!$H$2:$H$2000,Sets!$A$2:$A$2000,$A30,Sets!$D$2:$D$2000,AO$1,Sets!$J$2:$J$2000,"N")=0,"",_xlfn.MAXIFS(Sets!$H$2:$H$2000,Sets!$A$2:$A$2000,$A30,Sets!$D$2:$D$2000,AO$1,Sets!$J$2:$J$2000,"N"))</f>
        <v/>
      </c>
      <c r="AP30">
        <f>IF(_xlfn.MAXIFS(Sets!$H$2:$H$2000,Sets!$A$2:$A$2000,$A30,Sets!$D$2:$D$2000,AP$1,Sets!$J$2:$J$2000,"N")=0,"",_xlfn.MAXIFS(Sets!$H$2:$H$2000,Sets!$A$2:$A$2000,$A30,Sets!$D$2:$D$2000,AP$1,Sets!$J$2:$J$2000,"N"))</f>
        <v/>
      </c>
    </row>
    <row r="31" ht="15" customHeight="1" s="22">
      <c r="A31" s="39" t="n">
        <v>46156</v>
      </c>
      <c r="B31" s="26">
        <f>IF(_xlfn.MAXIFS(Sets!$H$2:$H$2000,Sets!$A$2:$A$2000,$A31,Sets!$D$2:$D$2000,B$1,Sets!$J$2:$J$2000,"N")=0,"",_xlfn.MAXIFS(Sets!$H$2:$H$2000,Sets!$A$2:$A$2000,$A31,Sets!$D$2:$D$2000,B$1,Sets!$J$2:$J$2000,"N"))</f>
        <v/>
      </c>
      <c r="C31" s="26">
        <f>IF(_xlfn.MAXIFS(Sets!$H$2:$H$2000,Sets!$A$2:$A$2000,$A31,Sets!$D$2:$D$2000,C$1,Sets!$J$2:$J$2000,"N")=0,"",_xlfn.MAXIFS(Sets!$H$2:$H$2000,Sets!$A$2:$A$2000,$A31,Sets!$D$2:$D$2000,C$1,Sets!$J$2:$J$2000,"N"))</f>
        <v/>
      </c>
      <c r="D31" s="26">
        <f>IF(_xlfn.MAXIFS(Sets!$H$2:$H$2000,Sets!$A$2:$A$2000,$A31,Sets!$D$2:$D$2000,D$1,Sets!$J$2:$J$2000,"N")=0,"",_xlfn.MAXIFS(Sets!$H$2:$H$2000,Sets!$A$2:$A$2000,$A31,Sets!$D$2:$D$2000,D$1,Sets!$J$2:$J$2000,"N"))</f>
        <v/>
      </c>
      <c r="E31" s="26">
        <f>IF(_xlfn.MAXIFS(Sets!$H$2:$H$2000,Sets!$A$2:$A$2000,$A31,Sets!$D$2:$D$2000,E$1,Sets!$J$2:$J$2000,"N")=0,"",_xlfn.MAXIFS(Sets!$H$2:$H$2000,Sets!$A$2:$A$2000,$A31,Sets!$D$2:$D$2000,E$1,Sets!$J$2:$J$2000,"N"))</f>
        <v/>
      </c>
      <c r="F31" s="26">
        <f>IF(_xlfn.MAXIFS(Sets!$H$2:$H$2000,Sets!$A$2:$A$2000,$A31,Sets!$D$2:$D$2000,F$1,Sets!$J$2:$J$2000,"N")=0,"",_xlfn.MAXIFS(Sets!$H$2:$H$2000,Sets!$A$2:$A$2000,$A31,Sets!$D$2:$D$2000,F$1,Sets!$J$2:$J$2000,"N"))</f>
        <v/>
      </c>
      <c r="G31" s="26">
        <f>IF(_xlfn.MAXIFS(Sets!$H$2:$H$2000,Sets!$A$2:$A$2000,$A31,Sets!$D$2:$D$2000,G$1,Sets!$J$2:$J$2000,"N")=0,"",_xlfn.MAXIFS(Sets!$H$2:$H$2000,Sets!$A$2:$A$2000,$A31,Sets!$D$2:$D$2000,G$1,Sets!$J$2:$J$2000,"N"))</f>
        <v/>
      </c>
      <c r="H31" s="26">
        <f>IF(_xlfn.MAXIFS(Sets!$H$2:$H$2000,Sets!$A$2:$A$2000,$A31,Sets!$D$2:$D$2000,H$1,Sets!$J$2:$J$2000,"N")=0,"",_xlfn.MAXIFS(Sets!$H$2:$H$2000,Sets!$A$2:$A$2000,$A31,Sets!$D$2:$D$2000,H$1,Sets!$J$2:$J$2000,"N"))</f>
        <v/>
      </c>
      <c r="I31" s="26">
        <f>IF(_xlfn.MAXIFS(Sets!$H$2:$H$2000,Sets!$A$2:$A$2000,$A31,Sets!$D$2:$D$2000,I$1,Sets!$J$2:$J$2000,"N")=0,"",_xlfn.MAXIFS(Sets!$H$2:$H$2000,Sets!$A$2:$A$2000,$A31,Sets!$D$2:$D$2000,I$1,Sets!$J$2:$J$2000,"N"))</f>
        <v/>
      </c>
      <c r="J31" s="26">
        <f>IF(_xlfn.MAXIFS(Sets!$H$2:$H$2000,Sets!$A$2:$A$2000,$A31,Sets!$D$2:$D$2000,J$1,Sets!$J$2:$J$2000,"N")=0,"",_xlfn.MAXIFS(Sets!$H$2:$H$2000,Sets!$A$2:$A$2000,$A31,Sets!$D$2:$D$2000,J$1,Sets!$J$2:$J$2000,"N"))</f>
        <v/>
      </c>
      <c r="K31" s="26">
        <f>IF(_xlfn.MAXIFS(Sets!$H$2:$H$2000,Sets!$A$2:$A$2000,$A31,Sets!$D$2:$D$2000,K$1,Sets!$J$2:$J$2000,"N")=0,"",_xlfn.MAXIFS(Sets!$H$2:$H$2000,Sets!$A$2:$A$2000,$A31,Sets!$D$2:$D$2000,K$1,Sets!$J$2:$J$2000,"N"))</f>
        <v/>
      </c>
      <c r="L31" s="26">
        <f>IF(_xlfn.MAXIFS(Sets!$H$2:$H$2000,Sets!$A$2:$A$2000,$A31,Sets!$D$2:$D$2000,L$1,Sets!$J$2:$J$2000,"N")=0,"",_xlfn.MAXIFS(Sets!$H$2:$H$2000,Sets!$A$2:$A$2000,$A31,Sets!$D$2:$D$2000,L$1,Sets!$J$2:$J$2000,"N"))</f>
        <v/>
      </c>
      <c r="M31" s="26">
        <f>IF(_xlfn.MAXIFS(Sets!$H$2:$H$2000,Sets!$A$2:$A$2000,$A31,Sets!$D$2:$D$2000,M$1,Sets!$J$2:$J$2000,"N")=0,"",_xlfn.MAXIFS(Sets!$H$2:$H$2000,Sets!$A$2:$A$2000,$A31,Sets!$D$2:$D$2000,M$1,Sets!$J$2:$J$2000,"N"))</f>
        <v/>
      </c>
      <c r="N31" s="26">
        <f>IF(_xlfn.MAXIFS(Sets!$H$2:$H$2000,Sets!$A$2:$A$2000,$A31,Sets!$D$2:$D$2000,N$1,Sets!$J$2:$J$2000,"N")=0,"",_xlfn.MAXIFS(Sets!$H$2:$H$2000,Sets!$A$2:$A$2000,$A31,Sets!$D$2:$D$2000,N$1,Sets!$J$2:$J$2000,"N"))</f>
        <v/>
      </c>
      <c r="O31" s="26">
        <f>IF(_xlfn.MAXIFS(Sets!$H$2:$H$2000,Sets!$A$2:$A$2000,$A31,Sets!$D$2:$D$2000,O$1,Sets!$J$2:$J$2000,"N")=0,"",_xlfn.MAXIFS(Sets!$H$2:$H$2000,Sets!$A$2:$A$2000,$A31,Sets!$D$2:$D$2000,O$1,Sets!$J$2:$J$2000,"N"))</f>
        <v/>
      </c>
      <c r="P31" s="26">
        <f>IF(_xlfn.MAXIFS(Sets!$H$2:$H$2000,Sets!$A$2:$A$2000,$A31,Sets!$D$2:$D$2000,P$1,Sets!$J$2:$J$2000,"N")=0,"",_xlfn.MAXIFS(Sets!$H$2:$H$2000,Sets!$A$2:$A$2000,$A31,Sets!$D$2:$D$2000,P$1,Sets!$J$2:$J$2000,"N"))</f>
        <v/>
      </c>
      <c r="Q31" s="26">
        <f>IF(_xlfn.MAXIFS(Sets!$H$2:$H$2000,Sets!$A$2:$A$2000,$A31,Sets!$D$2:$D$2000,Q$1,Sets!$J$2:$J$2000,"N")=0,"",_xlfn.MAXIFS(Sets!$H$2:$H$2000,Sets!$A$2:$A$2000,$A31,Sets!$D$2:$D$2000,Q$1,Sets!$J$2:$J$2000,"N"))</f>
        <v/>
      </c>
      <c r="R31" s="26">
        <f>IF(_xlfn.MAXIFS(Sets!$H$2:$H$2000,Sets!$A$2:$A$2000,$A31,Sets!$D$2:$D$2000,R$1,Sets!$J$2:$J$2000,"N")=0,"",_xlfn.MAXIFS(Sets!$H$2:$H$2000,Sets!$A$2:$A$2000,$A31,Sets!$D$2:$D$2000,R$1,Sets!$J$2:$J$2000,"N"))</f>
        <v/>
      </c>
      <c r="S31" s="26">
        <f>IF(_xlfn.MAXIFS(Sets!$H$2:$H$2000,Sets!$A$2:$A$2000,$A31,Sets!$D$2:$D$2000,S$1,Sets!$J$2:$J$2000,"N")=0,"",_xlfn.MAXIFS(Sets!$H$2:$H$2000,Sets!$A$2:$A$2000,$A31,Sets!$D$2:$D$2000,S$1,Sets!$J$2:$J$2000,"N"))</f>
        <v/>
      </c>
      <c r="T31" s="26">
        <f>IF(_xlfn.MAXIFS(Sets!$H$2:$H$2000,Sets!$A$2:$A$2000,$A31,Sets!$D$2:$D$2000,T$1,Sets!$J$2:$J$2000,"N")=0,"",_xlfn.MAXIFS(Sets!$H$2:$H$2000,Sets!$A$2:$A$2000,$A31,Sets!$D$2:$D$2000,T$1,Sets!$J$2:$J$2000,"N"))</f>
        <v/>
      </c>
      <c r="U31" s="26">
        <f>IF(_xlfn.MAXIFS(Sets!$H$2:$H$2000,Sets!$A$2:$A$2000,$A31,Sets!$D$2:$D$2000,U$1,Sets!$J$2:$J$2000,"N")=0,"",_xlfn.MAXIFS(Sets!$H$2:$H$2000,Sets!$A$2:$A$2000,$A31,Sets!$D$2:$D$2000,U$1,Sets!$J$2:$J$2000,"N"))</f>
        <v/>
      </c>
      <c r="V31" s="26">
        <f>IF(_xlfn.MAXIFS(Sets!$H$2:$H$2000,Sets!$A$2:$A$2000,$A31,Sets!$D$2:$D$2000,V$1,Sets!$J$2:$J$2000,"N")=0,"",_xlfn.MAXIFS(Sets!$H$2:$H$2000,Sets!$A$2:$A$2000,$A31,Sets!$D$2:$D$2000,V$1,Sets!$J$2:$J$2000,"N"))</f>
        <v/>
      </c>
      <c r="W31" s="26">
        <f>IF(_xlfn.MAXIFS(Sets!$H$2:$H$2000,Sets!$A$2:$A$2000,$A31,Sets!$D$2:$D$2000,W$1,Sets!$J$2:$J$2000,"N")=0,"",_xlfn.MAXIFS(Sets!$H$2:$H$2000,Sets!$A$2:$A$2000,$A31,Sets!$D$2:$D$2000,W$1,Sets!$J$2:$J$2000,"N"))</f>
        <v/>
      </c>
      <c r="X31" s="26">
        <f>IF(_xlfn.MAXIFS(Sets!$H$2:$H$2000,Sets!$A$2:$A$2000,$A31,Sets!$D$2:$D$2000,X$1,Sets!$J$2:$J$2000,"N")=0,"",_xlfn.MAXIFS(Sets!$H$2:$H$2000,Sets!$A$2:$A$2000,$A31,Sets!$D$2:$D$2000,X$1,Sets!$J$2:$J$2000,"N"))</f>
        <v/>
      </c>
      <c r="Y31" s="26">
        <f>IF(_xlfn.MAXIFS(Sets!$H$2:$H$2000,Sets!$A$2:$A$2000,$A31,Sets!$D$2:$D$2000,Y$1,Sets!$J$2:$J$2000,"N")=0,"",_xlfn.MAXIFS(Sets!$H$2:$H$2000,Sets!$A$2:$A$2000,$A31,Sets!$D$2:$D$2000,Y$1,Sets!$J$2:$J$2000,"N"))</f>
        <v/>
      </c>
      <c r="Z31" s="26">
        <f>IF(_xlfn.MAXIFS(Sets!$H$2:$H$2000,Sets!$A$2:$A$2000,$A31,Sets!$D$2:$D$2000,Z$1,Sets!$J$2:$J$2000,"N")=0,"",_xlfn.MAXIFS(Sets!$H$2:$H$2000,Sets!$A$2:$A$2000,$A31,Sets!$D$2:$D$2000,Z$1,Sets!$J$2:$J$2000,"N"))</f>
        <v/>
      </c>
      <c r="AA31" s="26">
        <f>IF(_xlfn.MAXIFS(Sets!$H$2:$H$2000,Sets!$A$2:$A$2000,$A31,Sets!$D$2:$D$2000,AA$1,Sets!$J$2:$J$2000,"N")=0,"",_xlfn.MAXIFS(Sets!$H$2:$H$2000,Sets!$A$2:$A$2000,$A31,Sets!$D$2:$D$2000,AA$1,Sets!$J$2:$J$2000,"N"))</f>
        <v/>
      </c>
      <c r="AB31" s="26">
        <f>IF(_xlfn.MAXIFS(Sets!$H$2:$H$2000,Sets!$A$2:$A$2000,$A31,Sets!$D$2:$D$2000,AB$1,Sets!$J$2:$J$2000,"N")=0,"",_xlfn.MAXIFS(Sets!$H$2:$H$2000,Sets!$A$2:$A$2000,$A31,Sets!$D$2:$D$2000,AB$1,Sets!$J$2:$J$2000,"N"))</f>
        <v/>
      </c>
      <c r="AC31" s="26">
        <f>IF(_xlfn.MAXIFS(Sets!$H$2:$H$2000,Sets!$A$2:$A$2000,$A31,Sets!$D$2:$D$2000,AC$1,Sets!$J$2:$J$2000,"N")=0,"",_xlfn.MAXIFS(Sets!$H$2:$H$2000,Sets!$A$2:$A$2000,$A31,Sets!$D$2:$D$2000,AC$1,Sets!$J$2:$J$2000,"N"))</f>
        <v/>
      </c>
      <c r="AD31" s="26">
        <f>IF(_xlfn.MAXIFS(Sets!$H$2:$H$2000,Sets!$A$2:$A$2000,$A31,Sets!$D$2:$D$2000,AD$1,Sets!$J$2:$J$2000,"N")=0,"",_xlfn.MAXIFS(Sets!$H$2:$H$2000,Sets!$A$2:$A$2000,$A31,Sets!$D$2:$D$2000,AD$1,Sets!$J$2:$J$2000,"N"))</f>
        <v/>
      </c>
      <c r="AE31" s="26">
        <f>IF(_xlfn.MAXIFS(Sets!$H$2:$H$2000,Sets!$A$2:$A$2000,$A31,Sets!$D$2:$D$2000,AE$1,Sets!$J$2:$J$2000,"N")=0,"",_xlfn.MAXIFS(Sets!$H$2:$H$2000,Sets!$A$2:$A$2000,$A31,Sets!$D$2:$D$2000,AE$1,Sets!$J$2:$J$2000,"N"))</f>
        <v/>
      </c>
      <c r="AF31" s="26">
        <f>IF(_xlfn.MAXIFS(Sets!$H$2:$H$2000,Sets!$A$2:$A$2000,$A31,Sets!$D$2:$D$2000,AF$1,Sets!$J$2:$J$2000,"N")=0,"",_xlfn.MAXIFS(Sets!$H$2:$H$2000,Sets!$A$2:$A$2000,$A31,Sets!$D$2:$D$2000,AF$1,Sets!$J$2:$J$2000,"N"))</f>
        <v/>
      </c>
      <c r="AG31" s="26">
        <f>IF(_xlfn.MAXIFS(Sets!$H$2:$H$2000,Sets!$A$2:$A$2000,$A31,Sets!$D$2:$D$2000,AG$1,Sets!$J$2:$J$2000,"N")=0,"",_xlfn.MAXIFS(Sets!$H$2:$H$2000,Sets!$A$2:$A$2000,$A31,Sets!$D$2:$D$2000,AG$1,Sets!$J$2:$J$2000,"N"))</f>
        <v/>
      </c>
      <c r="AH31" s="26">
        <f>IF(_xlfn.MAXIFS(Sets!$H$2:$H$2000,Sets!$A$2:$A$2000,$A31,Sets!$D$2:$D$2000,AH$1,Sets!$J$2:$J$2000,"N")=0,"",_xlfn.MAXIFS(Sets!$H$2:$H$2000,Sets!$A$2:$A$2000,$A31,Sets!$D$2:$D$2000,AH$1,Sets!$J$2:$J$2000,"N"))</f>
        <v/>
      </c>
      <c r="AI31">
        <f>IF(_xlfn.MAXIFS(Sets!$H$2:$H$2000,Sets!$A$2:$A$2000,$A31,Sets!$D$2:$D$2000,AI$1,Sets!$J$2:$J$2000,"N")=0,"",_xlfn.MAXIFS(Sets!$H$2:$H$2000,Sets!$A$2:$A$2000,$A31,Sets!$D$2:$D$2000,AI$1,Sets!$J$2:$J$2000,"N"))</f>
        <v/>
      </c>
      <c r="AJ31">
        <f>IF(_xlfn.MAXIFS(Sets!$H$2:$H$2000,Sets!$A$2:$A$2000,$A31,Sets!$D$2:$D$2000,AJ$1,Sets!$J$2:$J$2000,"N")=0,"",_xlfn.MAXIFS(Sets!$H$2:$H$2000,Sets!$A$2:$A$2000,$A31,Sets!$D$2:$D$2000,AJ$1,Sets!$J$2:$J$2000,"N"))</f>
        <v/>
      </c>
      <c r="AK31">
        <f>IF(_xlfn.MAXIFS(Sets!$H$2:$H$2000,Sets!$A$2:$A$2000,$A31,Sets!$D$2:$D$2000,AK$1,Sets!$J$2:$J$2000,"N")=0,"",_xlfn.MAXIFS(Sets!$H$2:$H$2000,Sets!$A$2:$A$2000,$A31,Sets!$D$2:$D$2000,AK$1,Sets!$J$2:$J$2000,"N"))</f>
        <v/>
      </c>
      <c r="AL31">
        <f>IF(_xlfn.MAXIFS(Sets!$H$2:$H$2000,Sets!$A$2:$A$2000,$A31,Sets!$D$2:$D$2000,AL$1,Sets!$J$2:$J$2000,"N")=0,"",_xlfn.MAXIFS(Sets!$H$2:$H$2000,Sets!$A$2:$A$2000,$A31,Sets!$D$2:$D$2000,AL$1,Sets!$J$2:$J$2000,"N"))</f>
        <v/>
      </c>
      <c r="AM31">
        <f>IF(_xlfn.MAXIFS(Sets!$H$2:$H$2000,Sets!$A$2:$A$2000,$A31,Sets!$D$2:$D$2000,AM$1,Sets!$J$2:$J$2000,"N")=0,"",_xlfn.MAXIFS(Sets!$H$2:$H$2000,Sets!$A$2:$A$2000,$A31,Sets!$D$2:$D$2000,AM$1,Sets!$J$2:$J$2000,"N"))</f>
        <v/>
      </c>
      <c r="AN31">
        <f>IF(_xlfn.MAXIFS(Sets!$H$2:$H$2000,Sets!$A$2:$A$2000,$A31,Sets!$D$2:$D$2000,AN$1,Sets!$J$2:$J$2000,"N")=0,"",_xlfn.MAXIFS(Sets!$H$2:$H$2000,Sets!$A$2:$A$2000,$A31,Sets!$D$2:$D$2000,AN$1,Sets!$J$2:$J$2000,"N"))</f>
        <v/>
      </c>
      <c r="AO31">
        <f>IF(_xlfn.MAXIFS(Sets!$H$2:$H$2000,Sets!$A$2:$A$2000,$A31,Sets!$D$2:$D$2000,AO$1,Sets!$J$2:$J$2000,"N")=0,"",_xlfn.MAXIFS(Sets!$H$2:$H$2000,Sets!$A$2:$A$2000,$A31,Sets!$D$2:$D$2000,AO$1,Sets!$J$2:$J$2000,"N"))</f>
        <v/>
      </c>
      <c r="AP31">
        <f>IF(_xlfn.MAXIFS(Sets!$H$2:$H$2000,Sets!$A$2:$A$2000,$A31,Sets!$D$2:$D$2000,AP$1,Sets!$J$2:$J$2000,"N")=0,"",_xlfn.MAXIFS(Sets!$H$2:$H$2000,Sets!$A$2:$A$2000,$A31,Sets!$D$2:$D$2000,AP$1,Sets!$J$2:$J$2000,"N"))</f>
        <v/>
      </c>
    </row>
    <row r="32" ht="15" customHeight="1" s="22">
      <c r="A32" s="39" t="n">
        <v>46157</v>
      </c>
      <c r="B32" s="26">
        <f>IF(_xlfn.MAXIFS(Sets!$H$2:$H$2000,Sets!$A$2:$A$2000,$A32,Sets!$D$2:$D$2000,B$1,Sets!$J$2:$J$2000,"N")=0,"",_xlfn.MAXIFS(Sets!$H$2:$H$2000,Sets!$A$2:$A$2000,$A32,Sets!$D$2:$D$2000,B$1,Sets!$J$2:$J$2000,"N"))</f>
        <v/>
      </c>
      <c r="C32" s="26">
        <f>IF(_xlfn.MAXIFS(Sets!$H$2:$H$2000,Sets!$A$2:$A$2000,$A32,Sets!$D$2:$D$2000,C$1,Sets!$J$2:$J$2000,"N")=0,"",_xlfn.MAXIFS(Sets!$H$2:$H$2000,Sets!$A$2:$A$2000,$A32,Sets!$D$2:$D$2000,C$1,Sets!$J$2:$J$2000,"N"))</f>
        <v/>
      </c>
      <c r="D32" s="26">
        <f>IF(_xlfn.MAXIFS(Sets!$H$2:$H$2000,Sets!$A$2:$A$2000,$A32,Sets!$D$2:$D$2000,D$1,Sets!$J$2:$J$2000,"N")=0,"",_xlfn.MAXIFS(Sets!$H$2:$H$2000,Sets!$A$2:$A$2000,$A32,Sets!$D$2:$D$2000,D$1,Sets!$J$2:$J$2000,"N"))</f>
        <v/>
      </c>
      <c r="E32" s="26">
        <f>IF(_xlfn.MAXIFS(Sets!$H$2:$H$2000,Sets!$A$2:$A$2000,$A32,Sets!$D$2:$D$2000,E$1,Sets!$J$2:$J$2000,"N")=0,"",_xlfn.MAXIFS(Sets!$H$2:$H$2000,Sets!$A$2:$A$2000,$A32,Sets!$D$2:$D$2000,E$1,Sets!$J$2:$J$2000,"N"))</f>
        <v/>
      </c>
      <c r="F32" s="26">
        <f>IF(_xlfn.MAXIFS(Sets!$H$2:$H$2000,Sets!$A$2:$A$2000,$A32,Sets!$D$2:$D$2000,F$1,Sets!$J$2:$J$2000,"N")=0,"",_xlfn.MAXIFS(Sets!$H$2:$H$2000,Sets!$A$2:$A$2000,$A32,Sets!$D$2:$D$2000,F$1,Sets!$J$2:$J$2000,"N"))</f>
        <v/>
      </c>
      <c r="G32" s="26">
        <f>IF(_xlfn.MAXIFS(Sets!$H$2:$H$2000,Sets!$A$2:$A$2000,$A32,Sets!$D$2:$D$2000,G$1,Sets!$J$2:$J$2000,"N")=0,"",_xlfn.MAXIFS(Sets!$H$2:$H$2000,Sets!$A$2:$A$2000,$A32,Sets!$D$2:$D$2000,G$1,Sets!$J$2:$J$2000,"N"))</f>
        <v/>
      </c>
      <c r="H32" s="26">
        <f>IF(_xlfn.MAXIFS(Sets!$H$2:$H$2000,Sets!$A$2:$A$2000,$A32,Sets!$D$2:$D$2000,H$1,Sets!$J$2:$J$2000,"N")=0,"",_xlfn.MAXIFS(Sets!$H$2:$H$2000,Sets!$A$2:$A$2000,$A32,Sets!$D$2:$D$2000,H$1,Sets!$J$2:$J$2000,"N"))</f>
        <v/>
      </c>
      <c r="I32" s="26">
        <f>IF(_xlfn.MAXIFS(Sets!$H$2:$H$2000,Sets!$A$2:$A$2000,$A32,Sets!$D$2:$D$2000,I$1,Sets!$J$2:$J$2000,"N")=0,"",_xlfn.MAXIFS(Sets!$H$2:$H$2000,Sets!$A$2:$A$2000,$A32,Sets!$D$2:$D$2000,I$1,Sets!$J$2:$J$2000,"N"))</f>
        <v/>
      </c>
      <c r="J32" s="26">
        <f>IF(_xlfn.MAXIFS(Sets!$H$2:$H$2000,Sets!$A$2:$A$2000,$A32,Sets!$D$2:$D$2000,J$1,Sets!$J$2:$J$2000,"N")=0,"",_xlfn.MAXIFS(Sets!$H$2:$H$2000,Sets!$A$2:$A$2000,$A32,Sets!$D$2:$D$2000,J$1,Sets!$J$2:$J$2000,"N"))</f>
        <v/>
      </c>
      <c r="K32" s="26">
        <f>IF(_xlfn.MAXIFS(Sets!$H$2:$H$2000,Sets!$A$2:$A$2000,$A32,Sets!$D$2:$D$2000,K$1,Sets!$J$2:$J$2000,"N")=0,"",_xlfn.MAXIFS(Sets!$H$2:$H$2000,Sets!$A$2:$A$2000,$A32,Sets!$D$2:$D$2000,K$1,Sets!$J$2:$J$2000,"N"))</f>
        <v/>
      </c>
      <c r="L32" s="26">
        <f>IF(_xlfn.MAXIFS(Sets!$H$2:$H$2000,Sets!$A$2:$A$2000,$A32,Sets!$D$2:$D$2000,L$1,Sets!$J$2:$J$2000,"N")=0,"",_xlfn.MAXIFS(Sets!$H$2:$H$2000,Sets!$A$2:$A$2000,$A32,Sets!$D$2:$D$2000,L$1,Sets!$J$2:$J$2000,"N"))</f>
        <v/>
      </c>
      <c r="M32" s="26">
        <f>IF(_xlfn.MAXIFS(Sets!$H$2:$H$2000,Sets!$A$2:$A$2000,$A32,Sets!$D$2:$D$2000,M$1,Sets!$J$2:$J$2000,"N")=0,"",_xlfn.MAXIFS(Sets!$H$2:$H$2000,Sets!$A$2:$A$2000,$A32,Sets!$D$2:$D$2000,M$1,Sets!$J$2:$J$2000,"N"))</f>
        <v/>
      </c>
      <c r="N32" s="26">
        <f>IF(_xlfn.MAXIFS(Sets!$H$2:$H$2000,Sets!$A$2:$A$2000,$A32,Sets!$D$2:$D$2000,N$1,Sets!$J$2:$J$2000,"N")=0,"",_xlfn.MAXIFS(Sets!$H$2:$H$2000,Sets!$A$2:$A$2000,$A32,Sets!$D$2:$D$2000,N$1,Sets!$J$2:$J$2000,"N"))</f>
        <v/>
      </c>
      <c r="O32" s="26">
        <f>IF(_xlfn.MAXIFS(Sets!$H$2:$H$2000,Sets!$A$2:$A$2000,$A32,Sets!$D$2:$D$2000,O$1,Sets!$J$2:$J$2000,"N")=0,"",_xlfn.MAXIFS(Sets!$H$2:$H$2000,Sets!$A$2:$A$2000,$A32,Sets!$D$2:$D$2000,O$1,Sets!$J$2:$J$2000,"N"))</f>
        <v/>
      </c>
      <c r="P32" s="26">
        <f>IF(_xlfn.MAXIFS(Sets!$H$2:$H$2000,Sets!$A$2:$A$2000,$A32,Sets!$D$2:$D$2000,P$1,Sets!$J$2:$J$2000,"N")=0,"",_xlfn.MAXIFS(Sets!$H$2:$H$2000,Sets!$A$2:$A$2000,$A32,Sets!$D$2:$D$2000,P$1,Sets!$J$2:$J$2000,"N"))</f>
        <v/>
      </c>
      <c r="Q32" s="26">
        <f>IF(_xlfn.MAXIFS(Sets!$H$2:$H$2000,Sets!$A$2:$A$2000,$A32,Sets!$D$2:$D$2000,Q$1,Sets!$J$2:$J$2000,"N")=0,"",_xlfn.MAXIFS(Sets!$H$2:$H$2000,Sets!$A$2:$A$2000,$A32,Sets!$D$2:$D$2000,Q$1,Sets!$J$2:$J$2000,"N"))</f>
        <v/>
      </c>
      <c r="R32" s="26">
        <f>IF(_xlfn.MAXIFS(Sets!$H$2:$H$2000,Sets!$A$2:$A$2000,$A32,Sets!$D$2:$D$2000,R$1,Sets!$J$2:$J$2000,"N")=0,"",_xlfn.MAXIFS(Sets!$H$2:$H$2000,Sets!$A$2:$A$2000,$A32,Sets!$D$2:$D$2000,R$1,Sets!$J$2:$J$2000,"N"))</f>
        <v/>
      </c>
      <c r="S32" s="26">
        <f>IF(_xlfn.MAXIFS(Sets!$H$2:$H$2000,Sets!$A$2:$A$2000,$A32,Sets!$D$2:$D$2000,S$1,Sets!$J$2:$J$2000,"N")=0,"",_xlfn.MAXIFS(Sets!$H$2:$H$2000,Sets!$A$2:$A$2000,$A32,Sets!$D$2:$D$2000,S$1,Sets!$J$2:$J$2000,"N"))</f>
        <v/>
      </c>
      <c r="T32" s="26">
        <f>IF(_xlfn.MAXIFS(Sets!$H$2:$H$2000,Sets!$A$2:$A$2000,$A32,Sets!$D$2:$D$2000,T$1,Sets!$J$2:$J$2000,"N")=0,"",_xlfn.MAXIFS(Sets!$H$2:$H$2000,Sets!$A$2:$A$2000,$A32,Sets!$D$2:$D$2000,T$1,Sets!$J$2:$J$2000,"N"))</f>
        <v/>
      </c>
      <c r="U32" s="26">
        <f>IF(_xlfn.MAXIFS(Sets!$H$2:$H$2000,Sets!$A$2:$A$2000,$A32,Sets!$D$2:$D$2000,U$1,Sets!$J$2:$J$2000,"N")=0,"",_xlfn.MAXIFS(Sets!$H$2:$H$2000,Sets!$A$2:$A$2000,$A32,Sets!$D$2:$D$2000,U$1,Sets!$J$2:$J$2000,"N"))</f>
        <v/>
      </c>
      <c r="V32" s="26">
        <f>IF(_xlfn.MAXIFS(Sets!$H$2:$H$2000,Sets!$A$2:$A$2000,$A32,Sets!$D$2:$D$2000,V$1,Sets!$J$2:$J$2000,"N")=0,"",_xlfn.MAXIFS(Sets!$H$2:$H$2000,Sets!$A$2:$A$2000,$A32,Sets!$D$2:$D$2000,V$1,Sets!$J$2:$J$2000,"N"))</f>
        <v/>
      </c>
      <c r="W32" s="26">
        <f>IF(_xlfn.MAXIFS(Sets!$H$2:$H$2000,Sets!$A$2:$A$2000,$A32,Sets!$D$2:$D$2000,W$1,Sets!$J$2:$J$2000,"N")=0,"",_xlfn.MAXIFS(Sets!$H$2:$H$2000,Sets!$A$2:$A$2000,$A32,Sets!$D$2:$D$2000,W$1,Sets!$J$2:$J$2000,"N"))</f>
        <v/>
      </c>
      <c r="X32" s="26">
        <f>IF(_xlfn.MAXIFS(Sets!$H$2:$H$2000,Sets!$A$2:$A$2000,$A32,Sets!$D$2:$D$2000,X$1,Sets!$J$2:$J$2000,"N")=0,"",_xlfn.MAXIFS(Sets!$H$2:$H$2000,Sets!$A$2:$A$2000,$A32,Sets!$D$2:$D$2000,X$1,Sets!$J$2:$J$2000,"N"))</f>
        <v/>
      </c>
      <c r="Y32" s="26">
        <f>IF(_xlfn.MAXIFS(Sets!$H$2:$H$2000,Sets!$A$2:$A$2000,$A32,Sets!$D$2:$D$2000,Y$1,Sets!$J$2:$J$2000,"N")=0,"",_xlfn.MAXIFS(Sets!$H$2:$H$2000,Sets!$A$2:$A$2000,$A32,Sets!$D$2:$D$2000,Y$1,Sets!$J$2:$J$2000,"N"))</f>
        <v/>
      </c>
      <c r="Z32" s="26">
        <f>IF(_xlfn.MAXIFS(Sets!$H$2:$H$2000,Sets!$A$2:$A$2000,$A32,Sets!$D$2:$D$2000,Z$1,Sets!$J$2:$J$2000,"N")=0,"",_xlfn.MAXIFS(Sets!$H$2:$H$2000,Sets!$A$2:$A$2000,$A32,Sets!$D$2:$D$2000,Z$1,Sets!$J$2:$J$2000,"N"))</f>
        <v/>
      </c>
      <c r="AA32" s="26">
        <f>IF(_xlfn.MAXIFS(Sets!$H$2:$H$2000,Sets!$A$2:$A$2000,$A32,Sets!$D$2:$D$2000,AA$1,Sets!$J$2:$J$2000,"N")=0,"",_xlfn.MAXIFS(Sets!$H$2:$H$2000,Sets!$A$2:$A$2000,$A32,Sets!$D$2:$D$2000,AA$1,Sets!$J$2:$J$2000,"N"))</f>
        <v/>
      </c>
      <c r="AB32" s="26">
        <f>IF(_xlfn.MAXIFS(Sets!$H$2:$H$2000,Sets!$A$2:$A$2000,$A32,Sets!$D$2:$D$2000,AB$1,Sets!$J$2:$J$2000,"N")=0,"",_xlfn.MAXIFS(Sets!$H$2:$H$2000,Sets!$A$2:$A$2000,$A32,Sets!$D$2:$D$2000,AB$1,Sets!$J$2:$J$2000,"N"))</f>
        <v/>
      </c>
      <c r="AC32" s="26">
        <f>IF(_xlfn.MAXIFS(Sets!$H$2:$H$2000,Sets!$A$2:$A$2000,$A32,Sets!$D$2:$D$2000,AC$1,Sets!$J$2:$J$2000,"N")=0,"",_xlfn.MAXIFS(Sets!$H$2:$H$2000,Sets!$A$2:$A$2000,$A32,Sets!$D$2:$D$2000,AC$1,Sets!$J$2:$J$2000,"N"))</f>
        <v/>
      </c>
      <c r="AD32" s="26">
        <f>IF(_xlfn.MAXIFS(Sets!$H$2:$H$2000,Sets!$A$2:$A$2000,$A32,Sets!$D$2:$D$2000,AD$1,Sets!$J$2:$J$2000,"N")=0,"",_xlfn.MAXIFS(Sets!$H$2:$H$2000,Sets!$A$2:$A$2000,$A32,Sets!$D$2:$D$2000,AD$1,Sets!$J$2:$J$2000,"N"))</f>
        <v/>
      </c>
      <c r="AE32" s="26">
        <f>IF(_xlfn.MAXIFS(Sets!$H$2:$H$2000,Sets!$A$2:$A$2000,$A32,Sets!$D$2:$D$2000,AE$1,Sets!$J$2:$J$2000,"N")=0,"",_xlfn.MAXIFS(Sets!$H$2:$H$2000,Sets!$A$2:$A$2000,$A32,Sets!$D$2:$D$2000,AE$1,Sets!$J$2:$J$2000,"N"))</f>
        <v/>
      </c>
      <c r="AF32" s="26">
        <f>IF(_xlfn.MAXIFS(Sets!$H$2:$H$2000,Sets!$A$2:$A$2000,$A32,Sets!$D$2:$D$2000,AF$1,Sets!$J$2:$J$2000,"N")=0,"",_xlfn.MAXIFS(Sets!$H$2:$H$2000,Sets!$A$2:$A$2000,$A32,Sets!$D$2:$D$2000,AF$1,Sets!$J$2:$J$2000,"N"))</f>
        <v/>
      </c>
      <c r="AG32" s="26">
        <f>IF(_xlfn.MAXIFS(Sets!$H$2:$H$2000,Sets!$A$2:$A$2000,$A32,Sets!$D$2:$D$2000,AG$1,Sets!$J$2:$J$2000,"N")=0,"",_xlfn.MAXIFS(Sets!$H$2:$H$2000,Sets!$A$2:$A$2000,$A32,Sets!$D$2:$D$2000,AG$1,Sets!$J$2:$J$2000,"N"))</f>
        <v/>
      </c>
      <c r="AH32" s="26">
        <f>IF(_xlfn.MAXIFS(Sets!$H$2:$H$2000,Sets!$A$2:$A$2000,$A32,Sets!$D$2:$D$2000,AH$1,Sets!$J$2:$J$2000,"N")=0,"",_xlfn.MAXIFS(Sets!$H$2:$H$2000,Sets!$A$2:$A$2000,$A32,Sets!$D$2:$D$2000,AH$1,Sets!$J$2:$J$2000,"N"))</f>
        <v/>
      </c>
      <c r="AI32">
        <f>IF(_xlfn.MAXIFS(Sets!$H$2:$H$2000,Sets!$A$2:$A$2000,$A32,Sets!$D$2:$D$2000,AI$1,Sets!$J$2:$J$2000,"N")=0,"",_xlfn.MAXIFS(Sets!$H$2:$H$2000,Sets!$A$2:$A$2000,$A32,Sets!$D$2:$D$2000,AI$1,Sets!$J$2:$J$2000,"N"))</f>
        <v/>
      </c>
      <c r="AJ32">
        <f>IF(_xlfn.MAXIFS(Sets!$H$2:$H$2000,Sets!$A$2:$A$2000,$A32,Sets!$D$2:$D$2000,AJ$1,Sets!$J$2:$J$2000,"N")=0,"",_xlfn.MAXIFS(Sets!$H$2:$H$2000,Sets!$A$2:$A$2000,$A32,Sets!$D$2:$D$2000,AJ$1,Sets!$J$2:$J$2000,"N"))</f>
        <v/>
      </c>
      <c r="AK32">
        <f>IF(_xlfn.MAXIFS(Sets!$H$2:$H$2000,Sets!$A$2:$A$2000,$A32,Sets!$D$2:$D$2000,AK$1,Sets!$J$2:$J$2000,"N")=0,"",_xlfn.MAXIFS(Sets!$H$2:$H$2000,Sets!$A$2:$A$2000,$A32,Sets!$D$2:$D$2000,AK$1,Sets!$J$2:$J$2000,"N"))</f>
        <v/>
      </c>
      <c r="AL32">
        <f>IF(_xlfn.MAXIFS(Sets!$H$2:$H$2000,Sets!$A$2:$A$2000,$A32,Sets!$D$2:$D$2000,AL$1,Sets!$J$2:$J$2000,"N")=0,"",_xlfn.MAXIFS(Sets!$H$2:$H$2000,Sets!$A$2:$A$2000,$A32,Sets!$D$2:$D$2000,AL$1,Sets!$J$2:$J$2000,"N"))</f>
        <v/>
      </c>
      <c r="AM32">
        <f>IF(_xlfn.MAXIFS(Sets!$H$2:$H$2000,Sets!$A$2:$A$2000,$A32,Sets!$D$2:$D$2000,AM$1,Sets!$J$2:$J$2000,"N")=0,"",_xlfn.MAXIFS(Sets!$H$2:$H$2000,Sets!$A$2:$A$2000,$A32,Sets!$D$2:$D$2000,AM$1,Sets!$J$2:$J$2000,"N"))</f>
        <v/>
      </c>
      <c r="AN32">
        <f>IF(_xlfn.MAXIFS(Sets!$H$2:$H$2000,Sets!$A$2:$A$2000,$A32,Sets!$D$2:$D$2000,AN$1,Sets!$J$2:$J$2000,"N")=0,"",_xlfn.MAXIFS(Sets!$H$2:$H$2000,Sets!$A$2:$A$2000,$A32,Sets!$D$2:$D$2000,AN$1,Sets!$J$2:$J$2000,"N"))</f>
        <v/>
      </c>
      <c r="AO32">
        <f>IF(_xlfn.MAXIFS(Sets!$H$2:$H$2000,Sets!$A$2:$A$2000,$A32,Sets!$D$2:$D$2000,AO$1,Sets!$J$2:$J$2000,"N")=0,"",_xlfn.MAXIFS(Sets!$H$2:$H$2000,Sets!$A$2:$A$2000,$A32,Sets!$D$2:$D$2000,AO$1,Sets!$J$2:$J$2000,"N"))</f>
        <v/>
      </c>
      <c r="AP32">
        <f>IF(_xlfn.MAXIFS(Sets!$H$2:$H$2000,Sets!$A$2:$A$2000,$A32,Sets!$D$2:$D$2000,AP$1,Sets!$J$2:$J$2000,"N")=0,"",_xlfn.MAXIFS(Sets!$H$2:$H$2000,Sets!$A$2:$A$2000,$A32,Sets!$D$2:$D$2000,AP$1,Sets!$J$2:$J$2000,"N"))</f>
        <v/>
      </c>
    </row>
    <row r="33" ht="15" customHeight="1" s="22">
      <c r="A33" s="39" t="n">
        <v>46159</v>
      </c>
      <c r="B33" s="26">
        <f>IF(_xlfn.MAXIFS(Sets!$H$2:$H$2000,Sets!$A$2:$A$2000,$A33,Sets!$D$2:$D$2000,B$1,Sets!$J$2:$J$2000,"N")=0,"",_xlfn.MAXIFS(Sets!$H$2:$H$2000,Sets!$A$2:$A$2000,$A33,Sets!$D$2:$D$2000,B$1,Sets!$J$2:$J$2000,"N"))</f>
        <v/>
      </c>
      <c r="C33" s="26">
        <f>IF(_xlfn.MAXIFS(Sets!$H$2:$H$2000,Sets!$A$2:$A$2000,$A33,Sets!$D$2:$D$2000,C$1,Sets!$J$2:$J$2000,"N")=0,"",_xlfn.MAXIFS(Sets!$H$2:$H$2000,Sets!$A$2:$A$2000,$A33,Sets!$D$2:$D$2000,C$1,Sets!$J$2:$J$2000,"N"))</f>
        <v/>
      </c>
      <c r="D33" s="26">
        <f>IF(_xlfn.MAXIFS(Sets!$H$2:$H$2000,Sets!$A$2:$A$2000,$A33,Sets!$D$2:$D$2000,D$1,Sets!$J$2:$J$2000,"N")=0,"",_xlfn.MAXIFS(Sets!$H$2:$H$2000,Sets!$A$2:$A$2000,$A33,Sets!$D$2:$D$2000,D$1,Sets!$J$2:$J$2000,"N"))</f>
        <v/>
      </c>
      <c r="E33" s="26">
        <f>IF(_xlfn.MAXIFS(Sets!$H$2:$H$2000,Sets!$A$2:$A$2000,$A33,Sets!$D$2:$D$2000,E$1,Sets!$J$2:$J$2000,"N")=0,"",_xlfn.MAXIFS(Sets!$H$2:$H$2000,Sets!$A$2:$A$2000,$A33,Sets!$D$2:$D$2000,E$1,Sets!$J$2:$J$2000,"N"))</f>
        <v/>
      </c>
      <c r="F33" s="26">
        <f>IF(_xlfn.MAXIFS(Sets!$H$2:$H$2000,Sets!$A$2:$A$2000,$A33,Sets!$D$2:$D$2000,F$1,Sets!$J$2:$J$2000,"N")=0,"",_xlfn.MAXIFS(Sets!$H$2:$H$2000,Sets!$A$2:$A$2000,$A33,Sets!$D$2:$D$2000,F$1,Sets!$J$2:$J$2000,"N"))</f>
        <v/>
      </c>
      <c r="G33" s="26">
        <f>IF(_xlfn.MAXIFS(Sets!$H$2:$H$2000,Sets!$A$2:$A$2000,$A33,Sets!$D$2:$D$2000,G$1,Sets!$J$2:$J$2000,"N")=0,"",_xlfn.MAXIFS(Sets!$H$2:$H$2000,Sets!$A$2:$A$2000,$A33,Sets!$D$2:$D$2000,G$1,Sets!$J$2:$J$2000,"N"))</f>
        <v/>
      </c>
      <c r="H33" s="26">
        <f>IF(_xlfn.MAXIFS(Sets!$H$2:$H$2000,Sets!$A$2:$A$2000,$A33,Sets!$D$2:$D$2000,H$1,Sets!$J$2:$J$2000,"N")=0,"",_xlfn.MAXIFS(Sets!$H$2:$H$2000,Sets!$A$2:$A$2000,$A33,Sets!$D$2:$D$2000,H$1,Sets!$J$2:$J$2000,"N"))</f>
        <v/>
      </c>
      <c r="I33" s="26">
        <f>IF(_xlfn.MAXIFS(Sets!$H$2:$H$2000,Sets!$A$2:$A$2000,$A33,Sets!$D$2:$D$2000,I$1,Sets!$J$2:$J$2000,"N")=0,"",_xlfn.MAXIFS(Sets!$H$2:$H$2000,Sets!$A$2:$A$2000,$A33,Sets!$D$2:$D$2000,I$1,Sets!$J$2:$J$2000,"N"))</f>
        <v/>
      </c>
      <c r="J33" s="26">
        <f>IF(_xlfn.MAXIFS(Sets!$H$2:$H$2000,Sets!$A$2:$A$2000,$A33,Sets!$D$2:$D$2000,J$1,Sets!$J$2:$J$2000,"N")=0,"",_xlfn.MAXIFS(Sets!$H$2:$H$2000,Sets!$A$2:$A$2000,$A33,Sets!$D$2:$D$2000,J$1,Sets!$J$2:$J$2000,"N"))</f>
        <v/>
      </c>
      <c r="K33" s="26">
        <f>IF(_xlfn.MAXIFS(Sets!$H$2:$H$2000,Sets!$A$2:$A$2000,$A33,Sets!$D$2:$D$2000,K$1,Sets!$J$2:$J$2000,"N")=0,"",_xlfn.MAXIFS(Sets!$H$2:$H$2000,Sets!$A$2:$A$2000,$A33,Sets!$D$2:$D$2000,K$1,Sets!$J$2:$J$2000,"N"))</f>
        <v/>
      </c>
      <c r="L33" s="26">
        <f>IF(_xlfn.MAXIFS(Sets!$H$2:$H$2000,Sets!$A$2:$A$2000,$A33,Sets!$D$2:$D$2000,L$1,Sets!$J$2:$J$2000,"N")=0,"",_xlfn.MAXIFS(Sets!$H$2:$H$2000,Sets!$A$2:$A$2000,$A33,Sets!$D$2:$D$2000,L$1,Sets!$J$2:$J$2000,"N"))</f>
        <v/>
      </c>
      <c r="M33" s="26">
        <f>IF(_xlfn.MAXIFS(Sets!$H$2:$H$2000,Sets!$A$2:$A$2000,$A33,Sets!$D$2:$D$2000,M$1,Sets!$J$2:$J$2000,"N")=0,"",_xlfn.MAXIFS(Sets!$H$2:$H$2000,Sets!$A$2:$A$2000,$A33,Sets!$D$2:$D$2000,M$1,Sets!$J$2:$J$2000,"N"))</f>
        <v/>
      </c>
      <c r="N33" s="26">
        <f>IF(_xlfn.MAXIFS(Sets!$H$2:$H$2000,Sets!$A$2:$A$2000,$A33,Sets!$D$2:$D$2000,N$1,Sets!$J$2:$J$2000,"N")=0,"",_xlfn.MAXIFS(Sets!$H$2:$H$2000,Sets!$A$2:$A$2000,$A33,Sets!$D$2:$D$2000,N$1,Sets!$J$2:$J$2000,"N"))</f>
        <v/>
      </c>
      <c r="O33" s="26">
        <f>IF(_xlfn.MAXIFS(Sets!$H$2:$H$2000,Sets!$A$2:$A$2000,$A33,Sets!$D$2:$D$2000,O$1,Sets!$J$2:$J$2000,"N")=0,"",_xlfn.MAXIFS(Sets!$H$2:$H$2000,Sets!$A$2:$A$2000,$A33,Sets!$D$2:$D$2000,O$1,Sets!$J$2:$J$2000,"N"))</f>
        <v/>
      </c>
      <c r="P33" s="26">
        <f>IF(_xlfn.MAXIFS(Sets!$H$2:$H$2000,Sets!$A$2:$A$2000,$A33,Sets!$D$2:$D$2000,P$1,Sets!$J$2:$J$2000,"N")=0,"",_xlfn.MAXIFS(Sets!$H$2:$H$2000,Sets!$A$2:$A$2000,$A33,Sets!$D$2:$D$2000,P$1,Sets!$J$2:$J$2000,"N"))</f>
        <v/>
      </c>
      <c r="Q33" s="26">
        <f>IF(_xlfn.MAXIFS(Sets!$H$2:$H$2000,Sets!$A$2:$A$2000,$A33,Sets!$D$2:$D$2000,Q$1,Sets!$J$2:$J$2000,"N")=0,"",_xlfn.MAXIFS(Sets!$H$2:$H$2000,Sets!$A$2:$A$2000,$A33,Sets!$D$2:$D$2000,Q$1,Sets!$J$2:$J$2000,"N"))</f>
        <v/>
      </c>
      <c r="R33" s="26">
        <f>IF(_xlfn.MAXIFS(Sets!$H$2:$H$2000,Sets!$A$2:$A$2000,$A33,Sets!$D$2:$D$2000,R$1,Sets!$J$2:$J$2000,"N")=0,"",_xlfn.MAXIFS(Sets!$H$2:$H$2000,Sets!$A$2:$A$2000,$A33,Sets!$D$2:$D$2000,R$1,Sets!$J$2:$J$2000,"N"))</f>
        <v/>
      </c>
      <c r="S33" s="26">
        <f>IF(_xlfn.MAXIFS(Sets!$H$2:$H$2000,Sets!$A$2:$A$2000,$A33,Sets!$D$2:$D$2000,S$1,Sets!$J$2:$J$2000,"N")=0,"",_xlfn.MAXIFS(Sets!$H$2:$H$2000,Sets!$A$2:$A$2000,$A33,Sets!$D$2:$D$2000,S$1,Sets!$J$2:$J$2000,"N"))</f>
        <v/>
      </c>
      <c r="T33" s="26">
        <f>IF(_xlfn.MAXIFS(Sets!$H$2:$H$2000,Sets!$A$2:$A$2000,$A33,Sets!$D$2:$D$2000,T$1,Sets!$J$2:$J$2000,"N")=0,"",_xlfn.MAXIFS(Sets!$H$2:$H$2000,Sets!$A$2:$A$2000,$A33,Sets!$D$2:$D$2000,T$1,Sets!$J$2:$J$2000,"N"))</f>
        <v/>
      </c>
      <c r="U33" s="26">
        <f>IF(_xlfn.MAXIFS(Sets!$H$2:$H$2000,Sets!$A$2:$A$2000,$A33,Sets!$D$2:$D$2000,U$1,Sets!$J$2:$J$2000,"N")=0,"",_xlfn.MAXIFS(Sets!$H$2:$H$2000,Sets!$A$2:$A$2000,$A33,Sets!$D$2:$D$2000,U$1,Sets!$J$2:$J$2000,"N"))</f>
        <v/>
      </c>
      <c r="V33" s="26">
        <f>IF(_xlfn.MAXIFS(Sets!$H$2:$H$2000,Sets!$A$2:$A$2000,$A33,Sets!$D$2:$D$2000,V$1,Sets!$J$2:$J$2000,"N")=0,"",_xlfn.MAXIFS(Sets!$H$2:$H$2000,Sets!$A$2:$A$2000,$A33,Sets!$D$2:$D$2000,V$1,Sets!$J$2:$J$2000,"N"))</f>
        <v/>
      </c>
      <c r="W33" s="26">
        <f>IF(_xlfn.MAXIFS(Sets!$H$2:$H$2000,Sets!$A$2:$A$2000,$A33,Sets!$D$2:$D$2000,W$1,Sets!$J$2:$J$2000,"N")=0,"",_xlfn.MAXIFS(Sets!$H$2:$H$2000,Sets!$A$2:$A$2000,$A33,Sets!$D$2:$D$2000,W$1,Sets!$J$2:$J$2000,"N"))</f>
        <v/>
      </c>
      <c r="X33" s="26">
        <f>IF(_xlfn.MAXIFS(Sets!$H$2:$H$2000,Sets!$A$2:$A$2000,$A33,Sets!$D$2:$D$2000,X$1,Sets!$J$2:$J$2000,"N")=0,"",_xlfn.MAXIFS(Sets!$H$2:$H$2000,Sets!$A$2:$A$2000,$A33,Sets!$D$2:$D$2000,X$1,Sets!$J$2:$J$2000,"N"))</f>
        <v/>
      </c>
      <c r="Y33" s="26">
        <f>IF(_xlfn.MAXIFS(Sets!$H$2:$H$2000,Sets!$A$2:$A$2000,$A33,Sets!$D$2:$D$2000,Y$1,Sets!$J$2:$J$2000,"N")=0,"",_xlfn.MAXIFS(Sets!$H$2:$H$2000,Sets!$A$2:$A$2000,$A33,Sets!$D$2:$D$2000,Y$1,Sets!$J$2:$J$2000,"N"))</f>
        <v/>
      </c>
      <c r="Z33" s="26">
        <f>IF(_xlfn.MAXIFS(Sets!$H$2:$H$2000,Sets!$A$2:$A$2000,$A33,Sets!$D$2:$D$2000,Z$1,Sets!$J$2:$J$2000,"N")=0,"",_xlfn.MAXIFS(Sets!$H$2:$H$2000,Sets!$A$2:$A$2000,$A33,Sets!$D$2:$D$2000,Z$1,Sets!$J$2:$J$2000,"N"))</f>
        <v/>
      </c>
      <c r="AA33" s="26">
        <f>IF(_xlfn.MAXIFS(Sets!$H$2:$H$2000,Sets!$A$2:$A$2000,$A33,Sets!$D$2:$D$2000,AA$1,Sets!$J$2:$J$2000,"N")=0,"",_xlfn.MAXIFS(Sets!$H$2:$H$2000,Sets!$A$2:$A$2000,$A33,Sets!$D$2:$D$2000,AA$1,Sets!$J$2:$J$2000,"N"))</f>
        <v/>
      </c>
      <c r="AB33" s="26">
        <f>IF(_xlfn.MAXIFS(Sets!$H$2:$H$2000,Sets!$A$2:$A$2000,$A33,Sets!$D$2:$D$2000,AB$1,Sets!$J$2:$J$2000,"N")=0,"",_xlfn.MAXIFS(Sets!$H$2:$H$2000,Sets!$A$2:$A$2000,$A33,Sets!$D$2:$D$2000,AB$1,Sets!$J$2:$J$2000,"N"))</f>
        <v/>
      </c>
      <c r="AC33" s="26">
        <f>IF(_xlfn.MAXIFS(Sets!$H$2:$H$2000,Sets!$A$2:$A$2000,$A33,Sets!$D$2:$D$2000,AC$1,Sets!$J$2:$J$2000,"N")=0,"",_xlfn.MAXIFS(Sets!$H$2:$H$2000,Sets!$A$2:$A$2000,$A33,Sets!$D$2:$D$2000,AC$1,Sets!$J$2:$J$2000,"N"))</f>
        <v/>
      </c>
      <c r="AD33" s="26">
        <f>IF(_xlfn.MAXIFS(Sets!$H$2:$H$2000,Sets!$A$2:$A$2000,$A33,Sets!$D$2:$D$2000,AD$1,Sets!$J$2:$J$2000,"N")=0,"",_xlfn.MAXIFS(Sets!$H$2:$H$2000,Sets!$A$2:$A$2000,$A33,Sets!$D$2:$D$2000,AD$1,Sets!$J$2:$J$2000,"N"))</f>
        <v/>
      </c>
      <c r="AE33" s="26">
        <f>IF(_xlfn.MAXIFS(Sets!$H$2:$H$2000,Sets!$A$2:$A$2000,$A33,Sets!$D$2:$D$2000,AE$1,Sets!$J$2:$J$2000,"N")=0,"",_xlfn.MAXIFS(Sets!$H$2:$H$2000,Sets!$A$2:$A$2000,$A33,Sets!$D$2:$D$2000,AE$1,Sets!$J$2:$J$2000,"N"))</f>
        <v/>
      </c>
      <c r="AF33" s="26">
        <f>IF(_xlfn.MAXIFS(Sets!$H$2:$H$2000,Sets!$A$2:$A$2000,$A33,Sets!$D$2:$D$2000,AF$1,Sets!$J$2:$J$2000,"N")=0,"",_xlfn.MAXIFS(Sets!$H$2:$H$2000,Sets!$A$2:$A$2000,$A33,Sets!$D$2:$D$2000,AF$1,Sets!$J$2:$J$2000,"N"))</f>
        <v/>
      </c>
      <c r="AG33" s="26">
        <f>IF(_xlfn.MAXIFS(Sets!$H$2:$H$2000,Sets!$A$2:$A$2000,$A33,Sets!$D$2:$D$2000,AG$1,Sets!$J$2:$J$2000,"N")=0,"",_xlfn.MAXIFS(Sets!$H$2:$H$2000,Sets!$A$2:$A$2000,$A33,Sets!$D$2:$D$2000,AG$1,Sets!$J$2:$J$2000,"N"))</f>
        <v/>
      </c>
      <c r="AH33" s="26">
        <f>IF(_xlfn.MAXIFS(Sets!$H$2:$H$2000,Sets!$A$2:$A$2000,$A33,Sets!$D$2:$D$2000,AH$1,Sets!$J$2:$J$2000,"N")=0,"",_xlfn.MAXIFS(Sets!$H$2:$H$2000,Sets!$A$2:$A$2000,$A33,Sets!$D$2:$D$2000,AH$1,Sets!$J$2:$J$2000,"N"))</f>
        <v/>
      </c>
      <c r="AI33">
        <f>IF(_xlfn.MAXIFS(Sets!$H$2:$H$2000,Sets!$A$2:$A$2000,$A33,Sets!$D$2:$D$2000,AI$1,Sets!$J$2:$J$2000,"N")=0,"",_xlfn.MAXIFS(Sets!$H$2:$H$2000,Sets!$A$2:$A$2000,$A33,Sets!$D$2:$D$2000,AI$1,Sets!$J$2:$J$2000,"N"))</f>
        <v/>
      </c>
      <c r="AJ33">
        <f>IF(_xlfn.MAXIFS(Sets!$H$2:$H$2000,Sets!$A$2:$A$2000,$A33,Sets!$D$2:$D$2000,AJ$1,Sets!$J$2:$J$2000,"N")=0,"",_xlfn.MAXIFS(Sets!$H$2:$H$2000,Sets!$A$2:$A$2000,$A33,Sets!$D$2:$D$2000,AJ$1,Sets!$J$2:$J$2000,"N"))</f>
        <v/>
      </c>
      <c r="AK33">
        <f>IF(_xlfn.MAXIFS(Sets!$H$2:$H$2000,Sets!$A$2:$A$2000,$A33,Sets!$D$2:$D$2000,AK$1,Sets!$J$2:$J$2000,"N")=0,"",_xlfn.MAXIFS(Sets!$H$2:$H$2000,Sets!$A$2:$A$2000,$A33,Sets!$D$2:$D$2000,AK$1,Sets!$J$2:$J$2000,"N"))</f>
        <v/>
      </c>
      <c r="AL33">
        <f>IF(_xlfn.MAXIFS(Sets!$H$2:$H$2000,Sets!$A$2:$A$2000,$A33,Sets!$D$2:$D$2000,AL$1,Sets!$J$2:$J$2000,"N")=0,"",_xlfn.MAXIFS(Sets!$H$2:$H$2000,Sets!$A$2:$A$2000,$A33,Sets!$D$2:$D$2000,AL$1,Sets!$J$2:$J$2000,"N"))</f>
        <v/>
      </c>
      <c r="AM33">
        <f>IF(_xlfn.MAXIFS(Sets!$H$2:$H$2000,Sets!$A$2:$A$2000,$A33,Sets!$D$2:$D$2000,AM$1,Sets!$J$2:$J$2000,"N")=0,"",_xlfn.MAXIFS(Sets!$H$2:$H$2000,Sets!$A$2:$A$2000,$A33,Sets!$D$2:$D$2000,AM$1,Sets!$J$2:$J$2000,"N"))</f>
        <v/>
      </c>
      <c r="AN33">
        <f>IF(_xlfn.MAXIFS(Sets!$H$2:$H$2000,Sets!$A$2:$A$2000,$A33,Sets!$D$2:$D$2000,AN$1,Sets!$J$2:$J$2000,"N")=0,"",_xlfn.MAXIFS(Sets!$H$2:$H$2000,Sets!$A$2:$A$2000,$A33,Sets!$D$2:$D$2000,AN$1,Sets!$J$2:$J$2000,"N"))</f>
        <v/>
      </c>
      <c r="AO33">
        <f>IF(_xlfn.MAXIFS(Sets!$H$2:$H$2000,Sets!$A$2:$A$2000,$A33,Sets!$D$2:$D$2000,AO$1,Sets!$J$2:$J$2000,"N")=0,"",_xlfn.MAXIFS(Sets!$H$2:$H$2000,Sets!$A$2:$A$2000,$A33,Sets!$D$2:$D$2000,AO$1,Sets!$J$2:$J$2000,"N"))</f>
        <v/>
      </c>
      <c r="AP33">
        <f>IF(_xlfn.MAXIFS(Sets!$H$2:$H$2000,Sets!$A$2:$A$2000,$A33,Sets!$D$2:$D$2000,AP$1,Sets!$J$2:$J$2000,"N")=0,"",_xlfn.MAXIFS(Sets!$H$2:$H$2000,Sets!$A$2:$A$2000,$A33,Sets!$D$2:$D$2000,AP$1,Sets!$J$2:$J$2000,"N"))</f>
        <v/>
      </c>
    </row>
    <row r="34" ht="15" customHeight="1" s="22">
      <c r="A34" s="39" t="n">
        <v>46164</v>
      </c>
      <c r="B34" s="26">
        <f>IF(_xlfn.MAXIFS(Sets!$H$2:$H$2000,Sets!$A$2:$A$2000,$A34,Sets!$D$2:$D$2000,B$1,Sets!$J$2:$J$2000,"N")=0,"",_xlfn.MAXIFS(Sets!$H$2:$H$2000,Sets!$A$2:$A$2000,$A34,Sets!$D$2:$D$2000,B$1,Sets!$J$2:$J$2000,"N"))</f>
        <v/>
      </c>
      <c r="C34" s="26">
        <f>IF(_xlfn.MAXIFS(Sets!$H$2:$H$2000,Sets!$A$2:$A$2000,$A34,Sets!$D$2:$D$2000,C$1,Sets!$J$2:$J$2000,"N")=0,"",_xlfn.MAXIFS(Sets!$H$2:$H$2000,Sets!$A$2:$A$2000,$A34,Sets!$D$2:$D$2000,C$1,Sets!$J$2:$J$2000,"N"))</f>
        <v/>
      </c>
      <c r="D34" s="26">
        <f>IF(_xlfn.MAXIFS(Sets!$H$2:$H$2000,Sets!$A$2:$A$2000,$A34,Sets!$D$2:$D$2000,D$1,Sets!$J$2:$J$2000,"N")=0,"",_xlfn.MAXIFS(Sets!$H$2:$H$2000,Sets!$A$2:$A$2000,$A34,Sets!$D$2:$D$2000,D$1,Sets!$J$2:$J$2000,"N"))</f>
        <v/>
      </c>
      <c r="E34" s="26">
        <f>IF(_xlfn.MAXIFS(Sets!$H$2:$H$2000,Sets!$A$2:$A$2000,$A34,Sets!$D$2:$D$2000,E$1,Sets!$J$2:$J$2000,"N")=0,"",_xlfn.MAXIFS(Sets!$H$2:$H$2000,Sets!$A$2:$A$2000,$A34,Sets!$D$2:$D$2000,E$1,Sets!$J$2:$J$2000,"N"))</f>
        <v/>
      </c>
      <c r="F34" s="26">
        <f>IF(_xlfn.MAXIFS(Sets!$H$2:$H$2000,Sets!$A$2:$A$2000,$A34,Sets!$D$2:$D$2000,F$1,Sets!$J$2:$J$2000,"N")=0,"",_xlfn.MAXIFS(Sets!$H$2:$H$2000,Sets!$A$2:$A$2000,$A34,Sets!$D$2:$D$2000,F$1,Sets!$J$2:$J$2000,"N"))</f>
        <v/>
      </c>
      <c r="G34" s="26">
        <f>IF(_xlfn.MAXIFS(Sets!$H$2:$H$2000,Sets!$A$2:$A$2000,$A34,Sets!$D$2:$D$2000,G$1,Sets!$J$2:$J$2000,"N")=0,"",_xlfn.MAXIFS(Sets!$H$2:$H$2000,Sets!$A$2:$A$2000,$A34,Sets!$D$2:$D$2000,G$1,Sets!$J$2:$J$2000,"N"))</f>
        <v/>
      </c>
      <c r="H34" s="26">
        <f>IF(_xlfn.MAXIFS(Sets!$H$2:$H$2000,Sets!$A$2:$A$2000,$A34,Sets!$D$2:$D$2000,H$1,Sets!$J$2:$J$2000,"N")=0,"",_xlfn.MAXIFS(Sets!$H$2:$H$2000,Sets!$A$2:$A$2000,$A34,Sets!$D$2:$D$2000,H$1,Sets!$J$2:$J$2000,"N"))</f>
        <v/>
      </c>
      <c r="I34" s="26">
        <f>IF(_xlfn.MAXIFS(Sets!$H$2:$H$2000,Sets!$A$2:$A$2000,$A34,Sets!$D$2:$D$2000,I$1,Sets!$J$2:$J$2000,"N")=0,"",_xlfn.MAXIFS(Sets!$H$2:$H$2000,Sets!$A$2:$A$2000,$A34,Sets!$D$2:$D$2000,I$1,Sets!$J$2:$J$2000,"N"))</f>
        <v/>
      </c>
      <c r="J34" s="26">
        <f>IF(_xlfn.MAXIFS(Sets!$H$2:$H$2000,Sets!$A$2:$A$2000,$A34,Sets!$D$2:$D$2000,J$1,Sets!$J$2:$J$2000,"N")=0,"",_xlfn.MAXIFS(Sets!$H$2:$H$2000,Sets!$A$2:$A$2000,$A34,Sets!$D$2:$D$2000,J$1,Sets!$J$2:$J$2000,"N"))</f>
        <v/>
      </c>
      <c r="K34" s="26">
        <f>IF(_xlfn.MAXIFS(Sets!$H$2:$H$2000,Sets!$A$2:$A$2000,$A34,Sets!$D$2:$D$2000,K$1,Sets!$J$2:$J$2000,"N")=0,"",_xlfn.MAXIFS(Sets!$H$2:$H$2000,Sets!$A$2:$A$2000,$A34,Sets!$D$2:$D$2000,K$1,Sets!$J$2:$J$2000,"N"))</f>
        <v/>
      </c>
      <c r="L34" s="26">
        <f>IF(_xlfn.MAXIFS(Sets!$H$2:$H$2000,Sets!$A$2:$A$2000,$A34,Sets!$D$2:$D$2000,L$1,Sets!$J$2:$J$2000,"N")=0,"",_xlfn.MAXIFS(Sets!$H$2:$H$2000,Sets!$A$2:$A$2000,$A34,Sets!$D$2:$D$2000,L$1,Sets!$J$2:$J$2000,"N"))</f>
        <v/>
      </c>
      <c r="M34" s="26">
        <f>IF(_xlfn.MAXIFS(Sets!$H$2:$H$2000,Sets!$A$2:$A$2000,$A34,Sets!$D$2:$D$2000,M$1,Sets!$J$2:$J$2000,"N")=0,"",_xlfn.MAXIFS(Sets!$H$2:$H$2000,Sets!$A$2:$A$2000,$A34,Sets!$D$2:$D$2000,M$1,Sets!$J$2:$J$2000,"N"))</f>
        <v/>
      </c>
      <c r="N34" s="26">
        <f>IF(_xlfn.MAXIFS(Sets!$H$2:$H$2000,Sets!$A$2:$A$2000,$A34,Sets!$D$2:$D$2000,N$1,Sets!$J$2:$J$2000,"N")=0,"",_xlfn.MAXIFS(Sets!$H$2:$H$2000,Sets!$A$2:$A$2000,$A34,Sets!$D$2:$D$2000,N$1,Sets!$J$2:$J$2000,"N"))</f>
        <v/>
      </c>
      <c r="O34" s="26">
        <f>IF(_xlfn.MAXIFS(Sets!$H$2:$H$2000,Sets!$A$2:$A$2000,$A34,Sets!$D$2:$D$2000,O$1,Sets!$J$2:$J$2000,"N")=0,"",_xlfn.MAXIFS(Sets!$H$2:$H$2000,Sets!$A$2:$A$2000,$A34,Sets!$D$2:$D$2000,O$1,Sets!$J$2:$J$2000,"N"))</f>
        <v/>
      </c>
      <c r="P34" s="26">
        <f>IF(_xlfn.MAXIFS(Sets!$H$2:$H$2000,Sets!$A$2:$A$2000,$A34,Sets!$D$2:$D$2000,P$1,Sets!$J$2:$J$2000,"N")=0,"",_xlfn.MAXIFS(Sets!$H$2:$H$2000,Sets!$A$2:$A$2000,$A34,Sets!$D$2:$D$2000,P$1,Sets!$J$2:$J$2000,"N"))</f>
        <v/>
      </c>
      <c r="Q34" s="26">
        <f>IF(_xlfn.MAXIFS(Sets!$H$2:$H$2000,Sets!$A$2:$A$2000,$A34,Sets!$D$2:$D$2000,Q$1,Sets!$J$2:$J$2000,"N")=0,"",_xlfn.MAXIFS(Sets!$H$2:$H$2000,Sets!$A$2:$A$2000,$A34,Sets!$D$2:$D$2000,Q$1,Sets!$J$2:$J$2000,"N"))</f>
        <v/>
      </c>
      <c r="R34" s="26">
        <f>IF(_xlfn.MAXIFS(Sets!$H$2:$H$2000,Sets!$A$2:$A$2000,$A34,Sets!$D$2:$D$2000,R$1,Sets!$J$2:$J$2000,"N")=0,"",_xlfn.MAXIFS(Sets!$H$2:$H$2000,Sets!$A$2:$A$2000,$A34,Sets!$D$2:$D$2000,R$1,Sets!$J$2:$J$2000,"N"))</f>
        <v/>
      </c>
      <c r="S34" s="26">
        <f>IF(_xlfn.MAXIFS(Sets!$H$2:$H$2000,Sets!$A$2:$A$2000,$A34,Sets!$D$2:$D$2000,S$1,Sets!$J$2:$J$2000,"N")=0,"",_xlfn.MAXIFS(Sets!$H$2:$H$2000,Sets!$A$2:$A$2000,$A34,Sets!$D$2:$D$2000,S$1,Sets!$J$2:$J$2000,"N"))</f>
        <v/>
      </c>
      <c r="T34" s="26">
        <f>IF(_xlfn.MAXIFS(Sets!$H$2:$H$2000,Sets!$A$2:$A$2000,$A34,Sets!$D$2:$D$2000,T$1,Sets!$J$2:$J$2000,"N")=0,"",_xlfn.MAXIFS(Sets!$H$2:$H$2000,Sets!$A$2:$A$2000,$A34,Sets!$D$2:$D$2000,T$1,Sets!$J$2:$J$2000,"N"))</f>
        <v/>
      </c>
      <c r="U34" s="26">
        <f>IF(_xlfn.MAXIFS(Sets!$H$2:$H$2000,Sets!$A$2:$A$2000,$A34,Sets!$D$2:$D$2000,U$1,Sets!$J$2:$J$2000,"N")=0,"",_xlfn.MAXIFS(Sets!$H$2:$H$2000,Sets!$A$2:$A$2000,$A34,Sets!$D$2:$D$2000,U$1,Sets!$J$2:$J$2000,"N"))</f>
        <v/>
      </c>
      <c r="V34" s="26">
        <f>IF(_xlfn.MAXIFS(Sets!$H$2:$H$2000,Sets!$A$2:$A$2000,$A34,Sets!$D$2:$D$2000,V$1,Sets!$J$2:$J$2000,"N")=0,"",_xlfn.MAXIFS(Sets!$H$2:$H$2000,Sets!$A$2:$A$2000,$A34,Sets!$D$2:$D$2000,V$1,Sets!$J$2:$J$2000,"N"))</f>
        <v/>
      </c>
      <c r="W34" s="26">
        <f>IF(_xlfn.MAXIFS(Sets!$H$2:$H$2000,Sets!$A$2:$A$2000,$A34,Sets!$D$2:$D$2000,W$1,Sets!$J$2:$J$2000,"N")=0,"",_xlfn.MAXIFS(Sets!$H$2:$H$2000,Sets!$A$2:$A$2000,$A34,Sets!$D$2:$D$2000,W$1,Sets!$J$2:$J$2000,"N"))</f>
        <v/>
      </c>
      <c r="X34" s="26">
        <f>IF(_xlfn.MAXIFS(Sets!$H$2:$H$2000,Sets!$A$2:$A$2000,$A34,Sets!$D$2:$D$2000,X$1,Sets!$J$2:$J$2000,"N")=0,"",_xlfn.MAXIFS(Sets!$H$2:$H$2000,Sets!$A$2:$A$2000,$A34,Sets!$D$2:$D$2000,X$1,Sets!$J$2:$J$2000,"N"))</f>
        <v/>
      </c>
      <c r="Y34" s="26">
        <f>IF(_xlfn.MAXIFS(Sets!$H$2:$H$2000,Sets!$A$2:$A$2000,$A34,Sets!$D$2:$D$2000,Y$1,Sets!$J$2:$J$2000,"N")=0,"",_xlfn.MAXIFS(Sets!$H$2:$H$2000,Sets!$A$2:$A$2000,$A34,Sets!$D$2:$D$2000,Y$1,Sets!$J$2:$J$2000,"N"))</f>
        <v/>
      </c>
      <c r="Z34" s="26">
        <f>IF(_xlfn.MAXIFS(Sets!$H$2:$H$2000,Sets!$A$2:$A$2000,$A34,Sets!$D$2:$D$2000,Z$1,Sets!$J$2:$J$2000,"N")=0,"",_xlfn.MAXIFS(Sets!$H$2:$H$2000,Sets!$A$2:$A$2000,$A34,Sets!$D$2:$D$2000,Z$1,Sets!$J$2:$J$2000,"N"))</f>
        <v/>
      </c>
      <c r="AA34" s="26">
        <f>IF(_xlfn.MAXIFS(Sets!$H$2:$H$2000,Sets!$A$2:$A$2000,$A34,Sets!$D$2:$D$2000,AA$1,Sets!$J$2:$J$2000,"N")=0,"",_xlfn.MAXIFS(Sets!$H$2:$H$2000,Sets!$A$2:$A$2000,$A34,Sets!$D$2:$D$2000,AA$1,Sets!$J$2:$J$2000,"N"))</f>
        <v/>
      </c>
      <c r="AB34" s="26">
        <f>IF(_xlfn.MAXIFS(Sets!$H$2:$H$2000,Sets!$A$2:$A$2000,$A34,Sets!$D$2:$D$2000,AB$1,Sets!$J$2:$J$2000,"N")=0,"",_xlfn.MAXIFS(Sets!$H$2:$H$2000,Sets!$A$2:$A$2000,$A34,Sets!$D$2:$D$2000,AB$1,Sets!$J$2:$J$2000,"N"))</f>
        <v/>
      </c>
      <c r="AC34" s="26">
        <f>IF(_xlfn.MAXIFS(Sets!$H$2:$H$2000,Sets!$A$2:$A$2000,$A34,Sets!$D$2:$D$2000,AC$1,Sets!$J$2:$J$2000,"N")=0,"",_xlfn.MAXIFS(Sets!$H$2:$H$2000,Sets!$A$2:$A$2000,$A34,Sets!$D$2:$D$2000,AC$1,Sets!$J$2:$J$2000,"N"))</f>
        <v/>
      </c>
      <c r="AD34" s="26">
        <f>IF(_xlfn.MAXIFS(Sets!$H$2:$H$2000,Sets!$A$2:$A$2000,$A34,Sets!$D$2:$D$2000,AD$1,Sets!$J$2:$J$2000,"N")=0,"",_xlfn.MAXIFS(Sets!$H$2:$H$2000,Sets!$A$2:$A$2000,$A34,Sets!$D$2:$D$2000,AD$1,Sets!$J$2:$J$2000,"N"))</f>
        <v/>
      </c>
      <c r="AE34" s="26">
        <f>IF(_xlfn.MAXIFS(Sets!$H$2:$H$2000,Sets!$A$2:$A$2000,$A34,Sets!$D$2:$D$2000,AE$1,Sets!$J$2:$J$2000,"N")=0,"",_xlfn.MAXIFS(Sets!$H$2:$H$2000,Sets!$A$2:$A$2000,$A34,Sets!$D$2:$D$2000,AE$1,Sets!$J$2:$J$2000,"N"))</f>
        <v/>
      </c>
      <c r="AF34" s="26">
        <f>IF(_xlfn.MAXIFS(Sets!$H$2:$H$2000,Sets!$A$2:$A$2000,$A34,Sets!$D$2:$D$2000,AF$1,Sets!$J$2:$J$2000,"N")=0,"",_xlfn.MAXIFS(Sets!$H$2:$H$2000,Sets!$A$2:$A$2000,$A34,Sets!$D$2:$D$2000,AF$1,Sets!$J$2:$J$2000,"N"))</f>
        <v/>
      </c>
      <c r="AG34" s="26">
        <f>IF(_xlfn.MAXIFS(Sets!$H$2:$H$2000,Sets!$A$2:$A$2000,$A34,Sets!$D$2:$D$2000,AG$1,Sets!$J$2:$J$2000,"N")=0,"",_xlfn.MAXIFS(Sets!$H$2:$H$2000,Sets!$A$2:$A$2000,$A34,Sets!$D$2:$D$2000,AG$1,Sets!$J$2:$J$2000,"N"))</f>
        <v/>
      </c>
      <c r="AH34" s="26">
        <f>IF(_xlfn.MAXIFS(Sets!$H$2:$H$2000,Sets!$A$2:$A$2000,$A34,Sets!$D$2:$D$2000,AH$1,Sets!$J$2:$J$2000,"N")=0,"",_xlfn.MAXIFS(Sets!$H$2:$H$2000,Sets!$A$2:$A$2000,$A34,Sets!$D$2:$D$2000,AH$1,Sets!$J$2:$J$2000,"N"))</f>
        <v/>
      </c>
      <c r="AI34">
        <f>IF(_xlfn.MAXIFS(Sets!$H$2:$H$2000,Sets!$A$2:$A$2000,$A34,Sets!$D$2:$D$2000,AI$1,Sets!$J$2:$J$2000,"N")=0,"",_xlfn.MAXIFS(Sets!$H$2:$H$2000,Sets!$A$2:$A$2000,$A34,Sets!$D$2:$D$2000,AI$1,Sets!$J$2:$J$2000,"N"))</f>
        <v/>
      </c>
      <c r="AJ34">
        <f>IF(_xlfn.MAXIFS(Sets!$H$2:$H$2000,Sets!$A$2:$A$2000,$A34,Sets!$D$2:$D$2000,AJ$1,Sets!$J$2:$J$2000,"N")=0,"",_xlfn.MAXIFS(Sets!$H$2:$H$2000,Sets!$A$2:$A$2000,$A34,Sets!$D$2:$D$2000,AJ$1,Sets!$J$2:$J$2000,"N"))</f>
        <v/>
      </c>
      <c r="AK34">
        <f>IF(_xlfn.MAXIFS(Sets!$H$2:$H$2000,Sets!$A$2:$A$2000,$A34,Sets!$D$2:$D$2000,AK$1,Sets!$J$2:$J$2000,"N")=0,"",_xlfn.MAXIFS(Sets!$H$2:$H$2000,Sets!$A$2:$A$2000,$A34,Sets!$D$2:$D$2000,AK$1,Sets!$J$2:$J$2000,"N"))</f>
        <v/>
      </c>
      <c r="AL34">
        <f>IF(_xlfn.MAXIFS(Sets!$H$2:$H$2000,Sets!$A$2:$A$2000,$A34,Sets!$D$2:$D$2000,AL$1,Sets!$J$2:$J$2000,"N")=0,"",_xlfn.MAXIFS(Sets!$H$2:$H$2000,Sets!$A$2:$A$2000,$A34,Sets!$D$2:$D$2000,AL$1,Sets!$J$2:$J$2000,"N"))</f>
        <v/>
      </c>
      <c r="AM34">
        <f>IF(_xlfn.MAXIFS(Sets!$H$2:$H$2000,Sets!$A$2:$A$2000,$A34,Sets!$D$2:$D$2000,AM$1,Sets!$J$2:$J$2000,"N")=0,"",_xlfn.MAXIFS(Sets!$H$2:$H$2000,Sets!$A$2:$A$2000,$A34,Sets!$D$2:$D$2000,AM$1,Sets!$J$2:$J$2000,"N"))</f>
        <v/>
      </c>
      <c r="AN34">
        <f>IF(_xlfn.MAXIFS(Sets!$H$2:$H$2000,Sets!$A$2:$A$2000,$A34,Sets!$D$2:$D$2000,AN$1,Sets!$J$2:$J$2000,"N")=0,"",_xlfn.MAXIFS(Sets!$H$2:$H$2000,Sets!$A$2:$A$2000,$A34,Sets!$D$2:$D$2000,AN$1,Sets!$J$2:$J$2000,"N"))</f>
        <v/>
      </c>
      <c r="AO34">
        <f>IF(_xlfn.MAXIFS(Sets!$H$2:$H$2000,Sets!$A$2:$A$2000,$A34,Sets!$D$2:$D$2000,AO$1,Sets!$J$2:$J$2000,"N")=0,"",_xlfn.MAXIFS(Sets!$H$2:$H$2000,Sets!$A$2:$A$2000,$A34,Sets!$D$2:$D$2000,AO$1,Sets!$J$2:$J$2000,"N"))</f>
        <v/>
      </c>
      <c r="AP34">
        <f>IF(_xlfn.MAXIFS(Sets!$H$2:$H$2000,Sets!$A$2:$A$2000,$A34,Sets!$D$2:$D$2000,AP$1,Sets!$J$2:$J$2000,"N")=0,"",_xlfn.MAXIFS(Sets!$H$2:$H$2000,Sets!$A$2:$A$2000,$A34,Sets!$D$2:$D$2000,AP$1,Sets!$J$2:$J$2000,"N"))</f>
        <v/>
      </c>
    </row>
    <row r="35" ht="15" customHeight="1" s="22">
      <c r="A35" s="39" t="n">
        <v>46165</v>
      </c>
      <c r="B35" s="26">
        <f>IF(_xlfn.MAXIFS(Sets!$H$2:$H$2000,Sets!$A$2:$A$2000,$A35,Sets!$D$2:$D$2000,B$1,Sets!$J$2:$J$2000,"N")=0,"",_xlfn.MAXIFS(Sets!$H$2:$H$2000,Sets!$A$2:$A$2000,$A35,Sets!$D$2:$D$2000,B$1,Sets!$J$2:$J$2000,"N"))</f>
        <v/>
      </c>
      <c r="C35" s="26">
        <f>IF(_xlfn.MAXIFS(Sets!$H$2:$H$2000,Sets!$A$2:$A$2000,$A35,Sets!$D$2:$D$2000,C$1,Sets!$J$2:$J$2000,"N")=0,"",_xlfn.MAXIFS(Sets!$H$2:$H$2000,Sets!$A$2:$A$2000,$A35,Sets!$D$2:$D$2000,C$1,Sets!$J$2:$J$2000,"N"))</f>
        <v/>
      </c>
      <c r="D35" s="26">
        <f>IF(_xlfn.MAXIFS(Sets!$H$2:$H$2000,Sets!$A$2:$A$2000,$A35,Sets!$D$2:$D$2000,D$1,Sets!$J$2:$J$2000,"N")=0,"",_xlfn.MAXIFS(Sets!$H$2:$H$2000,Sets!$A$2:$A$2000,$A35,Sets!$D$2:$D$2000,D$1,Sets!$J$2:$J$2000,"N"))</f>
        <v/>
      </c>
      <c r="E35" s="26">
        <f>IF(_xlfn.MAXIFS(Sets!$H$2:$H$2000,Sets!$A$2:$A$2000,$A35,Sets!$D$2:$D$2000,E$1,Sets!$J$2:$J$2000,"N")=0,"",_xlfn.MAXIFS(Sets!$H$2:$H$2000,Sets!$A$2:$A$2000,$A35,Sets!$D$2:$D$2000,E$1,Sets!$J$2:$J$2000,"N"))</f>
        <v/>
      </c>
      <c r="F35" s="26">
        <f>IF(_xlfn.MAXIFS(Sets!$H$2:$H$2000,Sets!$A$2:$A$2000,$A35,Sets!$D$2:$D$2000,F$1,Sets!$J$2:$J$2000,"N")=0,"",_xlfn.MAXIFS(Sets!$H$2:$H$2000,Sets!$A$2:$A$2000,$A35,Sets!$D$2:$D$2000,F$1,Sets!$J$2:$J$2000,"N"))</f>
        <v/>
      </c>
      <c r="G35" s="26">
        <f>IF(_xlfn.MAXIFS(Sets!$H$2:$H$2000,Sets!$A$2:$A$2000,$A35,Sets!$D$2:$D$2000,G$1,Sets!$J$2:$J$2000,"N")=0,"",_xlfn.MAXIFS(Sets!$H$2:$H$2000,Sets!$A$2:$A$2000,$A35,Sets!$D$2:$D$2000,G$1,Sets!$J$2:$J$2000,"N"))</f>
        <v/>
      </c>
      <c r="H35" s="26">
        <f>IF(_xlfn.MAXIFS(Sets!$H$2:$H$2000,Sets!$A$2:$A$2000,$A35,Sets!$D$2:$D$2000,H$1,Sets!$J$2:$J$2000,"N")=0,"",_xlfn.MAXIFS(Sets!$H$2:$H$2000,Sets!$A$2:$A$2000,$A35,Sets!$D$2:$D$2000,H$1,Sets!$J$2:$J$2000,"N"))</f>
        <v/>
      </c>
      <c r="I35" s="26">
        <f>IF(_xlfn.MAXIFS(Sets!$H$2:$H$2000,Sets!$A$2:$A$2000,$A35,Sets!$D$2:$D$2000,I$1,Sets!$J$2:$J$2000,"N")=0,"",_xlfn.MAXIFS(Sets!$H$2:$H$2000,Sets!$A$2:$A$2000,$A35,Sets!$D$2:$D$2000,I$1,Sets!$J$2:$J$2000,"N"))</f>
        <v/>
      </c>
      <c r="J35" s="26">
        <f>IF(_xlfn.MAXIFS(Sets!$H$2:$H$2000,Sets!$A$2:$A$2000,$A35,Sets!$D$2:$D$2000,J$1,Sets!$J$2:$J$2000,"N")=0,"",_xlfn.MAXIFS(Sets!$H$2:$H$2000,Sets!$A$2:$A$2000,$A35,Sets!$D$2:$D$2000,J$1,Sets!$J$2:$J$2000,"N"))</f>
        <v/>
      </c>
      <c r="K35" s="26">
        <f>IF(_xlfn.MAXIFS(Sets!$H$2:$H$2000,Sets!$A$2:$A$2000,$A35,Sets!$D$2:$D$2000,K$1,Sets!$J$2:$J$2000,"N")=0,"",_xlfn.MAXIFS(Sets!$H$2:$H$2000,Sets!$A$2:$A$2000,$A35,Sets!$D$2:$D$2000,K$1,Sets!$J$2:$J$2000,"N"))</f>
        <v/>
      </c>
      <c r="L35" s="26">
        <f>IF(_xlfn.MAXIFS(Sets!$H$2:$H$2000,Sets!$A$2:$A$2000,$A35,Sets!$D$2:$D$2000,L$1,Sets!$J$2:$J$2000,"N")=0,"",_xlfn.MAXIFS(Sets!$H$2:$H$2000,Sets!$A$2:$A$2000,$A35,Sets!$D$2:$D$2000,L$1,Sets!$J$2:$J$2000,"N"))</f>
        <v/>
      </c>
      <c r="M35" s="26">
        <f>IF(_xlfn.MAXIFS(Sets!$H$2:$H$2000,Sets!$A$2:$A$2000,$A35,Sets!$D$2:$D$2000,M$1,Sets!$J$2:$J$2000,"N")=0,"",_xlfn.MAXIFS(Sets!$H$2:$H$2000,Sets!$A$2:$A$2000,$A35,Sets!$D$2:$D$2000,M$1,Sets!$J$2:$J$2000,"N"))</f>
        <v/>
      </c>
      <c r="N35" s="26">
        <f>IF(_xlfn.MAXIFS(Sets!$H$2:$H$2000,Sets!$A$2:$A$2000,$A35,Sets!$D$2:$D$2000,N$1,Sets!$J$2:$J$2000,"N")=0,"",_xlfn.MAXIFS(Sets!$H$2:$H$2000,Sets!$A$2:$A$2000,$A35,Sets!$D$2:$D$2000,N$1,Sets!$J$2:$J$2000,"N"))</f>
        <v/>
      </c>
      <c r="O35" s="26">
        <f>IF(_xlfn.MAXIFS(Sets!$H$2:$H$2000,Sets!$A$2:$A$2000,$A35,Sets!$D$2:$D$2000,O$1,Sets!$J$2:$J$2000,"N")=0,"",_xlfn.MAXIFS(Sets!$H$2:$H$2000,Sets!$A$2:$A$2000,$A35,Sets!$D$2:$D$2000,O$1,Sets!$J$2:$J$2000,"N"))</f>
        <v/>
      </c>
      <c r="P35" s="26">
        <f>IF(_xlfn.MAXIFS(Sets!$H$2:$H$2000,Sets!$A$2:$A$2000,$A35,Sets!$D$2:$D$2000,P$1,Sets!$J$2:$J$2000,"N")=0,"",_xlfn.MAXIFS(Sets!$H$2:$H$2000,Sets!$A$2:$A$2000,$A35,Sets!$D$2:$D$2000,P$1,Sets!$J$2:$J$2000,"N"))</f>
        <v/>
      </c>
      <c r="Q35" s="26">
        <f>IF(_xlfn.MAXIFS(Sets!$H$2:$H$2000,Sets!$A$2:$A$2000,$A35,Sets!$D$2:$D$2000,Q$1,Sets!$J$2:$J$2000,"N")=0,"",_xlfn.MAXIFS(Sets!$H$2:$H$2000,Sets!$A$2:$A$2000,$A35,Sets!$D$2:$D$2000,Q$1,Sets!$J$2:$J$2000,"N"))</f>
        <v/>
      </c>
      <c r="R35" s="26">
        <f>IF(_xlfn.MAXIFS(Sets!$H$2:$H$2000,Sets!$A$2:$A$2000,$A35,Sets!$D$2:$D$2000,R$1,Sets!$J$2:$J$2000,"N")=0,"",_xlfn.MAXIFS(Sets!$H$2:$H$2000,Sets!$A$2:$A$2000,$A35,Sets!$D$2:$D$2000,R$1,Sets!$J$2:$J$2000,"N"))</f>
        <v/>
      </c>
      <c r="S35" s="26">
        <f>IF(_xlfn.MAXIFS(Sets!$H$2:$H$2000,Sets!$A$2:$A$2000,$A35,Sets!$D$2:$D$2000,S$1,Sets!$J$2:$J$2000,"N")=0,"",_xlfn.MAXIFS(Sets!$H$2:$H$2000,Sets!$A$2:$A$2000,$A35,Sets!$D$2:$D$2000,S$1,Sets!$J$2:$J$2000,"N"))</f>
        <v/>
      </c>
      <c r="T35" s="26">
        <f>IF(_xlfn.MAXIFS(Sets!$H$2:$H$2000,Sets!$A$2:$A$2000,$A35,Sets!$D$2:$D$2000,T$1,Sets!$J$2:$J$2000,"N")=0,"",_xlfn.MAXIFS(Sets!$H$2:$H$2000,Sets!$A$2:$A$2000,$A35,Sets!$D$2:$D$2000,T$1,Sets!$J$2:$J$2000,"N"))</f>
        <v/>
      </c>
      <c r="U35" s="26">
        <f>IF(_xlfn.MAXIFS(Sets!$H$2:$H$2000,Sets!$A$2:$A$2000,$A35,Sets!$D$2:$D$2000,U$1,Sets!$J$2:$J$2000,"N")=0,"",_xlfn.MAXIFS(Sets!$H$2:$H$2000,Sets!$A$2:$A$2000,$A35,Sets!$D$2:$D$2000,U$1,Sets!$J$2:$J$2000,"N"))</f>
        <v/>
      </c>
      <c r="V35" s="26">
        <f>IF(_xlfn.MAXIFS(Sets!$H$2:$H$2000,Sets!$A$2:$A$2000,$A35,Sets!$D$2:$D$2000,V$1,Sets!$J$2:$J$2000,"N")=0,"",_xlfn.MAXIFS(Sets!$H$2:$H$2000,Sets!$A$2:$A$2000,$A35,Sets!$D$2:$D$2000,V$1,Sets!$J$2:$J$2000,"N"))</f>
        <v/>
      </c>
      <c r="W35" s="26">
        <f>IF(_xlfn.MAXIFS(Sets!$H$2:$H$2000,Sets!$A$2:$A$2000,$A35,Sets!$D$2:$D$2000,W$1,Sets!$J$2:$J$2000,"N")=0,"",_xlfn.MAXIFS(Sets!$H$2:$H$2000,Sets!$A$2:$A$2000,$A35,Sets!$D$2:$D$2000,W$1,Sets!$J$2:$J$2000,"N"))</f>
        <v/>
      </c>
      <c r="X35" s="26">
        <f>IF(_xlfn.MAXIFS(Sets!$H$2:$H$2000,Sets!$A$2:$A$2000,$A35,Sets!$D$2:$D$2000,X$1,Sets!$J$2:$J$2000,"N")=0,"",_xlfn.MAXIFS(Sets!$H$2:$H$2000,Sets!$A$2:$A$2000,$A35,Sets!$D$2:$D$2000,X$1,Sets!$J$2:$J$2000,"N"))</f>
        <v/>
      </c>
      <c r="Y35" s="26">
        <f>IF(_xlfn.MAXIFS(Sets!$H$2:$H$2000,Sets!$A$2:$A$2000,$A35,Sets!$D$2:$D$2000,Y$1,Sets!$J$2:$J$2000,"N")=0,"",_xlfn.MAXIFS(Sets!$H$2:$H$2000,Sets!$A$2:$A$2000,$A35,Sets!$D$2:$D$2000,Y$1,Sets!$J$2:$J$2000,"N"))</f>
        <v/>
      </c>
      <c r="Z35" s="26">
        <f>IF(_xlfn.MAXIFS(Sets!$H$2:$H$2000,Sets!$A$2:$A$2000,$A35,Sets!$D$2:$D$2000,Z$1,Sets!$J$2:$J$2000,"N")=0,"",_xlfn.MAXIFS(Sets!$H$2:$H$2000,Sets!$A$2:$A$2000,$A35,Sets!$D$2:$D$2000,Z$1,Sets!$J$2:$J$2000,"N"))</f>
        <v/>
      </c>
      <c r="AA35" s="26">
        <f>IF(_xlfn.MAXIFS(Sets!$H$2:$H$2000,Sets!$A$2:$A$2000,$A35,Sets!$D$2:$D$2000,AA$1,Sets!$J$2:$J$2000,"N")=0,"",_xlfn.MAXIFS(Sets!$H$2:$H$2000,Sets!$A$2:$A$2000,$A35,Sets!$D$2:$D$2000,AA$1,Sets!$J$2:$J$2000,"N"))</f>
        <v/>
      </c>
      <c r="AB35" s="26">
        <f>IF(_xlfn.MAXIFS(Sets!$H$2:$H$2000,Sets!$A$2:$A$2000,$A35,Sets!$D$2:$D$2000,AB$1,Sets!$J$2:$J$2000,"N")=0,"",_xlfn.MAXIFS(Sets!$H$2:$H$2000,Sets!$A$2:$A$2000,$A35,Sets!$D$2:$D$2000,AB$1,Sets!$J$2:$J$2000,"N"))</f>
        <v/>
      </c>
      <c r="AC35" s="26">
        <f>IF(_xlfn.MAXIFS(Sets!$H$2:$H$2000,Sets!$A$2:$A$2000,$A35,Sets!$D$2:$D$2000,AC$1,Sets!$J$2:$J$2000,"N")=0,"",_xlfn.MAXIFS(Sets!$H$2:$H$2000,Sets!$A$2:$A$2000,$A35,Sets!$D$2:$D$2000,AC$1,Sets!$J$2:$J$2000,"N"))</f>
        <v/>
      </c>
      <c r="AD35" s="26">
        <f>IF(_xlfn.MAXIFS(Sets!$H$2:$H$2000,Sets!$A$2:$A$2000,$A35,Sets!$D$2:$D$2000,AD$1,Sets!$J$2:$J$2000,"N")=0,"",_xlfn.MAXIFS(Sets!$H$2:$H$2000,Sets!$A$2:$A$2000,$A35,Sets!$D$2:$D$2000,AD$1,Sets!$J$2:$J$2000,"N"))</f>
        <v/>
      </c>
      <c r="AE35" s="26">
        <f>IF(_xlfn.MAXIFS(Sets!$H$2:$H$2000,Sets!$A$2:$A$2000,$A35,Sets!$D$2:$D$2000,AE$1,Sets!$J$2:$J$2000,"N")=0,"",_xlfn.MAXIFS(Sets!$H$2:$H$2000,Sets!$A$2:$A$2000,$A35,Sets!$D$2:$D$2000,AE$1,Sets!$J$2:$J$2000,"N"))</f>
        <v/>
      </c>
      <c r="AF35" s="26">
        <f>IF(_xlfn.MAXIFS(Sets!$H$2:$H$2000,Sets!$A$2:$A$2000,$A35,Sets!$D$2:$D$2000,AF$1,Sets!$J$2:$J$2000,"N")=0,"",_xlfn.MAXIFS(Sets!$H$2:$H$2000,Sets!$A$2:$A$2000,$A35,Sets!$D$2:$D$2000,AF$1,Sets!$J$2:$J$2000,"N"))</f>
        <v/>
      </c>
      <c r="AG35" s="26">
        <f>IF(_xlfn.MAXIFS(Sets!$H$2:$H$2000,Sets!$A$2:$A$2000,$A35,Sets!$D$2:$D$2000,AG$1,Sets!$J$2:$J$2000,"N")=0,"",_xlfn.MAXIFS(Sets!$H$2:$H$2000,Sets!$A$2:$A$2000,$A35,Sets!$D$2:$D$2000,AG$1,Sets!$J$2:$J$2000,"N"))</f>
        <v/>
      </c>
      <c r="AH35" s="26">
        <f>IF(_xlfn.MAXIFS(Sets!$H$2:$H$2000,Sets!$A$2:$A$2000,$A35,Sets!$D$2:$D$2000,AH$1,Sets!$J$2:$J$2000,"N")=0,"",_xlfn.MAXIFS(Sets!$H$2:$H$2000,Sets!$A$2:$A$2000,$A35,Sets!$D$2:$D$2000,AH$1,Sets!$J$2:$J$2000,"N"))</f>
        <v/>
      </c>
      <c r="AI35">
        <f>IF(_xlfn.MAXIFS(Sets!$H$2:$H$2000,Sets!$A$2:$A$2000,$A35,Sets!$D$2:$D$2000,AI$1,Sets!$J$2:$J$2000,"N")=0,"",_xlfn.MAXIFS(Sets!$H$2:$H$2000,Sets!$A$2:$A$2000,$A35,Sets!$D$2:$D$2000,AI$1,Sets!$J$2:$J$2000,"N"))</f>
        <v/>
      </c>
      <c r="AJ35">
        <f>IF(_xlfn.MAXIFS(Sets!$H$2:$H$2000,Sets!$A$2:$A$2000,$A35,Sets!$D$2:$D$2000,AJ$1,Sets!$J$2:$J$2000,"N")=0,"",_xlfn.MAXIFS(Sets!$H$2:$H$2000,Sets!$A$2:$A$2000,$A35,Sets!$D$2:$D$2000,AJ$1,Sets!$J$2:$J$2000,"N"))</f>
        <v/>
      </c>
      <c r="AK35">
        <f>IF(_xlfn.MAXIFS(Sets!$H$2:$H$2000,Sets!$A$2:$A$2000,$A35,Sets!$D$2:$D$2000,AK$1,Sets!$J$2:$J$2000,"N")=0,"",_xlfn.MAXIFS(Sets!$H$2:$H$2000,Sets!$A$2:$A$2000,$A35,Sets!$D$2:$D$2000,AK$1,Sets!$J$2:$J$2000,"N"))</f>
        <v/>
      </c>
      <c r="AL35">
        <f>IF(_xlfn.MAXIFS(Sets!$H$2:$H$2000,Sets!$A$2:$A$2000,$A35,Sets!$D$2:$D$2000,AL$1,Sets!$J$2:$J$2000,"N")=0,"",_xlfn.MAXIFS(Sets!$H$2:$H$2000,Sets!$A$2:$A$2000,$A35,Sets!$D$2:$D$2000,AL$1,Sets!$J$2:$J$2000,"N"))</f>
        <v/>
      </c>
      <c r="AM35">
        <f>IF(_xlfn.MAXIFS(Sets!$H$2:$H$2000,Sets!$A$2:$A$2000,$A35,Sets!$D$2:$D$2000,AM$1,Sets!$J$2:$J$2000,"N")=0,"",_xlfn.MAXIFS(Sets!$H$2:$H$2000,Sets!$A$2:$A$2000,$A35,Sets!$D$2:$D$2000,AM$1,Sets!$J$2:$J$2000,"N"))</f>
        <v/>
      </c>
      <c r="AN35">
        <f>IF(_xlfn.MAXIFS(Sets!$H$2:$H$2000,Sets!$A$2:$A$2000,$A35,Sets!$D$2:$D$2000,AN$1,Sets!$J$2:$J$2000,"N")=0,"",_xlfn.MAXIFS(Sets!$H$2:$H$2000,Sets!$A$2:$A$2000,$A35,Sets!$D$2:$D$2000,AN$1,Sets!$J$2:$J$2000,"N"))</f>
        <v/>
      </c>
      <c r="AO35">
        <f>IF(_xlfn.MAXIFS(Sets!$H$2:$H$2000,Sets!$A$2:$A$2000,$A35,Sets!$D$2:$D$2000,AO$1,Sets!$J$2:$J$2000,"N")=0,"",_xlfn.MAXIFS(Sets!$H$2:$H$2000,Sets!$A$2:$A$2000,$A35,Sets!$D$2:$D$2000,AO$1,Sets!$J$2:$J$2000,"N"))</f>
        <v/>
      </c>
      <c r="AP35">
        <f>IF(_xlfn.MAXIFS(Sets!$H$2:$H$2000,Sets!$A$2:$A$2000,$A35,Sets!$D$2:$D$2000,AP$1,Sets!$J$2:$J$2000,"N")=0,"",_xlfn.MAXIFS(Sets!$H$2:$H$2000,Sets!$A$2:$A$2000,$A35,Sets!$D$2:$D$2000,AP$1,Sets!$J$2:$J$2000,"N"))</f>
        <v/>
      </c>
    </row>
    <row r="36" ht="15" customHeight="1" s="22">
      <c r="A36" s="39" t="n">
        <v>46172</v>
      </c>
      <c r="B36" s="26">
        <f>IF(_xlfn.MAXIFS(Sets!$H$2:$H$2000,Sets!$A$2:$A$2000,$A36,Sets!$D$2:$D$2000,B$1,Sets!$J$2:$J$2000,"N")=0,"",_xlfn.MAXIFS(Sets!$H$2:$H$2000,Sets!$A$2:$A$2000,$A36,Sets!$D$2:$D$2000,B$1,Sets!$J$2:$J$2000,"N"))</f>
        <v/>
      </c>
      <c r="C36" s="26">
        <f>IF(_xlfn.MAXIFS(Sets!$H$2:$H$2000,Sets!$A$2:$A$2000,$A36,Sets!$D$2:$D$2000,C$1,Sets!$J$2:$J$2000,"N")=0,"",_xlfn.MAXIFS(Sets!$H$2:$H$2000,Sets!$A$2:$A$2000,$A36,Sets!$D$2:$D$2000,C$1,Sets!$J$2:$J$2000,"N"))</f>
        <v/>
      </c>
      <c r="D36" s="26">
        <f>IF(_xlfn.MAXIFS(Sets!$H$2:$H$2000,Sets!$A$2:$A$2000,$A36,Sets!$D$2:$D$2000,D$1,Sets!$J$2:$J$2000,"N")=0,"",_xlfn.MAXIFS(Sets!$H$2:$H$2000,Sets!$A$2:$A$2000,$A36,Sets!$D$2:$D$2000,D$1,Sets!$J$2:$J$2000,"N"))</f>
        <v/>
      </c>
      <c r="E36" s="26">
        <f>IF(_xlfn.MAXIFS(Sets!$H$2:$H$2000,Sets!$A$2:$A$2000,$A36,Sets!$D$2:$D$2000,E$1,Sets!$J$2:$J$2000,"N")=0,"",_xlfn.MAXIFS(Sets!$H$2:$H$2000,Sets!$A$2:$A$2000,$A36,Sets!$D$2:$D$2000,E$1,Sets!$J$2:$J$2000,"N"))</f>
        <v/>
      </c>
      <c r="F36" s="26">
        <f>IF(_xlfn.MAXIFS(Sets!$H$2:$H$2000,Sets!$A$2:$A$2000,$A36,Sets!$D$2:$D$2000,F$1,Sets!$J$2:$J$2000,"N")=0,"",_xlfn.MAXIFS(Sets!$H$2:$H$2000,Sets!$A$2:$A$2000,$A36,Sets!$D$2:$D$2000,F$1,Sets!$J$2:$J$2000,"N"))</f>
        <v/>
      </c>
      <c r="G36" s="26">
        <f>IF(_xlfn.MAXIFS(Sets!$H$2:$H$2000,Sets!$A$2:$A$2000,$A36,Sets!$D$2:$D$2000,G$1,Sets!$J$2:$J$2000,"N")=0,"",_xlfn.MAXIFS(Sets!$H$2:$H$2000,Sets!$A$2:$A$2000,$A36,Sets!$D$2:$D$2000,G$1,Sets!$J$2:$J$2000,"N"))</f>
        <v/>
      </c>
      <c r="H36" s="26">
        <f>IF(_xlfn.MAXIFS(Sets!$H$2:$H$2000,Sets!$A$2:$A$2000,$A36,Sets!$D$2:$D$2000,H$1,Sets!$J$2:$J$2000,"N")=0,"",_xlfn.MAXIFS(Sets!$H$2:$H$2000,Sets!$A$2:$A$2000,$A36,Sets!$D$2:$D$2000,H$1,Sets!$J$2:$J$2000,"N"))</f>
        <v/>
      </c>
      <c r="I36" s="26">
        <f>IF(_xlfn.MAXIFS(Sets!$H$2:$H$2000,Sets!$A$2:$A$2000,$A36,Sets!$D$2:$D$2000,I$1,Sets!$J$2:$J$2000,"N")=0,"",_xlfn.MAXIFS(Sets!$H$2:$H$2000,Sets!$A$2:$A$2000,$A36,Sets!$D$2:$D$2000,I$1,Sets!$J$2:$J$2000,"N"))</f>
        <v/>
      </c>
      <c r="J36" s="26">
        <f>IF(_xlfn.MAXIFS(Sets!$H$2:$H$2000,Sets!$A$2:$A$2000,$A36,Sets!$D$2:$D$2000,J$1,Sets!$J$2:$J$2000,"N")=0,"",_xlfn.MAXIFS(Sets!$H$2:$H$2000,Sets!$A$2:$A$2000,$A36,Sets!$D$2:$D$2000,J$1,Sets!$J$2:$J$2000,"N"))</f>
        <v/>
      </c>
      <c r="K36" s="26">
        <f>IF(_xlfn.MAXIFS(Sets!$H$2:$H$2000,Sets!$A$2:$A$2000,$A36,Sets!$D$2:$D$2000,K$1,Sets!$J$2:$J$2000,"N")=0,"",_xlfn.MAXIFS(Sets!$H$2:$H$2000,Sets!$A$2:$A$2000,$A36,Sets!$D$2:$D$2000,K$1,Sets!$J$2:$J$2000,"N"))</f>
        <v/>
      </c>
      <c r="L36" s="26">
        <f>IF(_xlfn.MAXIFS(Sets!$H$2:$H$2000,Sets!$A$2:$A$2000,$A36,Sets!$D$2:$D$2000,L$1,Sets!$J$2:$J$2000,"N")=0,"",_xlfn.MAXIFS(Sets!$H$2:$H$2000,Sets!$A$2:$A$2000,$A36,Sets!$D$2:$D$2000,L$1,Sets!$J$2:$J$2000,"N"))</f>
        <v/>
      </c>
      <c r="M36" s="26">
        <f>IF(_xlfn.MAXIFS(Sets!$H$2:$H$2000,Sets!$A$2:$A$2000,$A36,Sets!$D$2:$D$2000,M$1,Sets!$J$2:$J$2000,"N")=0,"",_xlfn.MAXIFS(Sets!$H$2:$H$2000,Sets!$A$2:$A$2000,$A36,Sets!$D$2:$D$2000,M$1,Sets!$J$2:$J$2000,"N"))</f>
        <v/>
      </c>
      <c r="N36" s="26">
        <f>IF(_xlfn.MAXIFS(Sets!$H$2:$H$2000,Sets!$A$2:$A$2000,$A36,Sets!$D$2:$D$2000,N$1,Sets!$J$2:$J$2000,"N")=0,"",_xlfn.MAXIFS(Sets!$H$2:$H$2000,Sets!$A$2:$A$2000,$A36,Sets!$D$2:$D$2000,N$1,Sets!$J$2:$J$2000,"N"))</f>
        <v/>
      </c>
      <c r="O36" s="26">
        <f>IF(_xlfn.MAXIFS(Sets!$H$2:$H$2000,Sets!$A$2:$A$2000,$A36,Sets!$D$2:$D$2000,O$1,Sets!$J$2:$J$2000,"N")=0,"",_xlfn.MAXIFS(Sets!$H$2:$H$2000,Sets!$A$2:$A$2000,$A36,Sets!$D$2:$D$2000,O$1,Sets!$J$2:$J$2000,"N"))</f>
        <v/>
      </c>
      <c r="P36" s="26">
        <f>IF(_xlfn.MAXIFS(Sets!$H$2:$H$2000,Sets!$A$2:$A$2000,$A36,Sets!$D$2:$D$2000,P$1,Sets!$J$2:$J$2000,"N")=0,"",_xlfn.MAXIFS(Sets!$H$2:$H$2000,Sets!$A$2:$A$2000,$A36,Sets!$D$2:$D$2000,P$1,Sets!$J$2:$J$2000,"N"))</f>
        <v/>
      </c>
      <c r="Q36" s="26">
        <f>IF(_xlfn.MAXIFS(Sets!$H$2:$H$2000,Sets!$A$2:$A$2000,$A36,Sets!$D$2:$D$2000,Q$1,Sets!$J$2:$J$2000,"N")=0,"",_xlfn.MAXIFS(Sets!$H$2:$H$2000,Sets!$A$2:$A$2000,$A36,Sets!$D$2:$D$2000,Q$1,Sets!$J$2:$J$2000,"N"))</f>
        <v/>
      </c>
      <c r="R36" s="26">
        <f>IF(_xlfn.MAXIFS(Sets!$H$2:$H$2000,Sets!$A$2:$A$2000,$A36,Sets!$D$2:$D$2000,R$1,Sets!$J$2:$J$2000,"N")=0,"",_xlfn.MAXIFS(Sets!$H$2:$H$2000,Sets!$A$2:$A$2000,$A36,Sets!$D$2:$D$2000,R$1,Sets!$J$2:$J$2000,"N"))</f>
        <v/>
      </c>
      <c r="S36" s="26">
        <f>IF(_xlfn.MAXIFS(Sets!$H$2:$H$2000,Sets!$A$2:$A$2000,$A36,Sets!$D$2:$D$2000,S$1,Sets!$J$2:$J$2000,"N")=0,"",_xlfn.MAXIFS(Sets!$H$2:$H$2000,Sets!$A$2:$A$2000,$A36,Sets!$D$2:$D$2000,S$1,Sets!$J$2:$J$2000,"N"))</f>
        <v/>
      </c>
      <c r="T36" s="26">
        <f>IF(_xlfn.MAXIFS(Sets!$H$2:$H$2000,Sets!$A$2:$A$2000,$A36,Sets!$D$2:$D$2000,T$1,Sets!$J$2:$J$2000,"N")=0,"",_xlfn.MAXIFS(Sets!$H$2:$H$2000,Sets!$A$2:$A$2000,$A36,Sets!$D$2:$D$2000,T$1,Sets!$J$2:$J$2000,"N"))</f>
        <v/>
      </c>
      <c r="U36" s="26">
        <f>IF(_xlfn.MAXIFS(Sets!$H$2:$H$2000,Sets!$A$2:$A$2000,$A36,Sets!$D$2:$D$2000,U$1,Sets!$J$2:$J$2000,"N")=0,"",_xlfn.MAXIFS(Sets!$H$2:$H$2000,Sets!$A$2:$A$2000,$A36,Sets!$D$2:$D$2000,U$1,Sets!$J$2:$J$2000,"N"))</f>
        <v/>
      </c>
      <c r="V36" s="26">
        <f>IF(_xlfn.MAXIFS(Sets!$H$2:$H$2000,Sets!$A$2:$A$2000,$A36,Sets!$D$2:$D$2000,V$1,Sets!$J$2:$J$2000,"N")=0,"",_xlfn.MAXIFS(Sets!$H$2:$H$2000,Sets!$A$2:$A$2000,$A36,Sets!$D$2:$D$2000,V$1,Sets!$J$2:$J$2000,"N"))</f>
        <v/>
      </c>
      <c r="W36" s="26">
        <f>IF(_xlfn.MAXIFS(Sets!$H$2:$H$2000,Sets!$A$2:$A$2000,$A36,Sets!$D$2:$D$2000,W$1,Sets!$J$2:$J$2000,"N")=0,"",_xlfn.MAXIFS(Sets!$H$2:$H$2000,Sets!$A$2:$A$2000,$A36,Sets!$D$2:$D$2000,W$1,Sets!$J$2:$J$2000,"N"))</f>
        <v/>
      </c>
      <c r="X36" s="26">
        <f>IF(_xlfn.MAXIFS(Sets!$H$2:$H$2000,Sets!$A$2:$A$2000,$A36,Sets!$D$2:$D$2000,X$1,Sets!$J$2:$J$2000,"N")=0,"",_xlfn.MAXIFS(Sets!$H$2:$H$2000,Sets!$A$2:$A$2000,$A36,Sets!$D$2:$D$2000,X$1,Sets!$J$2:$J$2000,"N"))</f>
        <v/>
      </c>
      <c r="Y36" s="26">
        <f>IF(_xlfn.MAXIFS(Sets!$H$2:$H$2000,Sets!$A$2:$A$2000,$A36,Sets!$D$2:$D$2000,Y$1,Sets!$J$2:$J$2000,"N")=0,"",_xlfn.MAXIFS(Sets!$H$2:$H$2000,Sets!$A$2:$A$2000,$A36,Sets!$D$2:$D$2000,Y$1,Sets!$J$2:$J$2000,"N"))</f>
        <v/>
      </c>
      <c r="Z36" s="26">
        <f>IF(_xlfn.MAXIFS(Sets!$H$2:$H$2000,Sets!$A$2:$A$2000,$A36,Sets!$D$2:$D$2000,Z$1,Sets!$J$2:$J$2000,"N")=0,"",_xlfn.MAXIFS(Sets!$H$2:$H$2000,Sets!$A$2:$A$2000,$A36,Sets!$D$2:$D$2000,Z$1,Sets!$J$2:$J$2000,"N"))</f>
        <v/>
      </c>
      <c r="AA36" s="26">
        <f>IF(_xlfn.MAXIFS(Sets!$H$2:$H$2000,Sets!$A$2:$A$2000,$A36,Sets!$D$2:$D$2000,AA$1,Sets!$J$2:$J$2000,"N")=0,"",_xlfn.MAXIFS(Sets!$H$2:$H$2000,Sets!$A$2:$A$2000,$A36,Sets!$D$2:$D$2000,AA$1,Sets!$J$2:$J$2000,"N"))</f>
        <v/>
      </c>
      <c r="AB36" s="26">
        <f>IF(_xlfn.MAXIFS(Sets!$H$2:$H$2000,Sets!$A$2:$A$2000,$A36,Sets!$D$2:$D$2000,AB$1,Sets!$J$2:$J$2000,"N")=0,"",_xlfn.MAXIFS(Sets!$H$2:$H$2000,Sets!$A$2:$A$2000,$A36,Sets!$D$2:$D$2000,AB$1,Sets!$J$2:$J$2000,"N"))</f>
        <v/>
      </c>
      <c r="AC36" s="26">
        <f>IF(_xlfn.MAXIFS(Sets!$H$2:$H$2000,Sets!$A$2:$A$2000,$A36,Sets!$D$2:$D$2000,AC$1,Sets!$J$2:$J$2000,"N")=0,"",_xlfn.MAXIFS(Sets!$H$2:$H$2000,Sets!$A$2:$A$2000,$A36,Sets!$D$2:$D$2000,AC$1,Sets!$J$2:$J$2000,"N"))</f>
        <v/>
      </c>
      <c r="AD36" s="26">
        <f>IF(_xlfn.MAXIFS(Sets!$H$2:$H$2000,Sets!$A$2:$A$2000,$A36,Sets!$D$2:$D$2000,AD$1,Sets!$J$2:$J$2000,"N")=0,"",_xlfn.MAXIFS(Sets!$H$2:$H$2000,Sets!$A$2:$A$2000,$A36,Sets!$D$2:$D$2000,AD$1,Sets!$J$2:$J$2000,"N"))</f>
        <v/>
      </c>
      <c r="AE36" s="26">
        <f>IF(_xlfn.MAXIFS(Sets!$H$2:$H$2000,Sets!$A$2:$A$2000,$A36,Sets!$D$2:$D$2000,AE$1,Sets!$J$2:$J$2000,"N")=0,"",_xlfn.MAXIFS(Sets!$H$2:$H$2000,Sets!$A$2:$A$2000,$A36,Sets!$D$2:$D$2000,AE$1,Sets!$J$2:$J$2000,"N"))</f>
        <v/>
      </c>
      <c r="AF36" s="26">
        <f>IF(_xlfn.MAXIFS(Sets!$H$2:$H$2000,Sets!$A$2:$A$2000,$A36,Sets!$D$2:$D$2000,AF$1,Sets!$J$2:$J$2000,"N")=0,"",_xlfn.MAXIFS(Sets!$H$2:$H$2000,Sets!$A$2:$A$2000,$A36,Sets!$D$2:$D$2000,AF$1,Sets!$J$2:$J$2000,"N"))</f>
        <v/>
      </c>
      <c r="AG36" s="26">
        <f>IF(_xlfn.MAXIFS(Sets!$H$2:$H$2000,Sets!$A$2:$A$2000,$A36,Sets!$D$2:$D$2000,AG$1,Sets!$J$2:$J$2000,"N")=0,"",_xlfn.MAXIFS(Sets!$H$2:$H$2000,Sets!$A$2:$A$2000,$A36,Sets!$D$2:$D$2000,AG$1,Sets!$J$2:$J$2000,"N"))</f>
        <v/>
      </c>
      <c r="AH36" s="26">
        <f>IF(_xlfn.MAXIFS(Sets!$H$2:$H$2000,Sets!$A$2:$A$2000,$A36,Sets!$D$2:$D$2000,AH$1,Sets!$J$2:$J$2000,"N")=0,"",_xlfn.MAXIFS(Sets!$H$2:$H$2000,Sets!$A$2:$A$2000,$A36,Sets!$D$2:$D$2000,AH$1,Sets!$J$2:$J$2000,"N"))</f>
        <v/>
      </c>
      <c r="AI36">
        <f>IF(_xlfn.MAXIFS(Sets!$H$2:$H$2000,Sets!$A$2:$A$2000,$A36,Sets!$D$2:$D$2000,AI$1,Sets!$J$2:$J$2000,"N")=0,"",_xlfn.MAXIFS(Sets!$H$2:$H$2000,Sets!$A$2:$A$2000,$A36,Sets!$D$2:$D$2000,AI$1,Sets!$J$2:$J$2000,"N"))</f>
        <v/>
      </c>
      <c r="AJ36">
        <f>IF(_xlfn.MAXIFS(Sets!$H$2:$H$2000,Sets!$A$2:$A$2000,$A36,Sets!$D$2:$D$2000,AJ$1,Sets!$J$2:$J$2000,"N")=0,"",_xlfn.MAXIFS(Sets!$H$2:$H$2000,Sets!$A$2:$A$2000,$A36,Sets!$D$2:$D$2000,AJ$1,Sets!$J$2:$J$2000,"N"))</f>
        <v/>
      </c>
      <c r="AK36">
        <f>IF(_xlfn.MAXIFS(Sets!$H$2:$H$2000,Sets!$A$2:$A$2000,$A36,Sets!$D$2:$D$2000,AK$1,Sets!$J$2:$J$2000,"N")=0,"",_xlfn.MAXIFS(Sets!$H$2:$H$2000,Sets!$A$2:$A$2000,$A36,Sets!$D$2:$D$2000,AK$1,Sets!$J$2:$J$2000,"N"))</f>
        <v/>
      </c>
      <c r="AL36">
        <f>IF(_xlfn.MAXIFS(Sets!$H$2:$H$2000,Sets!$A$2:$A$2000,$A36,Sets!$D$2:$D$2000,AL$1,Sets!$J$2:$J$2000,"N")=0,"",_xlfn.MAXIFS(Sets!$H$2:$H$2000,Sets!$A$2:$A$2000,$A36,Sets!$D$2:$D$2000,AL$1,Sets!$J$2:$J$2000,"N"))</f>
        <v/>
      </c>
      <c r="AM36">
        <f>IF(_xlfn.MAXIFS(Sets!$H$2:$H$2000,Sets!$A$2:$A$2000,$A36,Sets!$D$2:$D$2000,AM$1,Sets!$J$2:$J$2000,"N")=0,"",_xlfn.MAXIFS(Sets!$H$2:$H$2000,Sets!$A$2:$A$2000,$A36,Sets!$D$2:$D$2000,AM$1,Sets!$J$2:$J$2000,"N"))</f>
        <v/>
      </c>
      <c r="AN36">
        <f>IF(_xlfn.MAXIFS(Sets!$H$2:$H$2000,Sets!$A$2:$A$2000,$A36,Sets!$D$2:$D$2000,AN$1,Sets!$J$2:$J$2000,"N")=0,"",_xlfn.MAXIFS(Sets!$H$2:$H$2000,Sets!$A$2:$A$2000,$A36,Sets!$D$2:$D$2000,AN$1,Sets!$J$2:$J$2000,"N"))</f>
        <v/>
      </c>
      <c r="AO36">
        <f>IF(_xlfn.MAXIFS(Sets!$H$2:$H$2000,Sets!$A$2:$A$2000,$A36,Sets!$D$2:$D$2000,AO$1,Sets!$J$2:$J$2000,"N")=0,"",_xlfn.MAXIFS(Sets!$H$2:$H$2000,Sets!$A$2:$A$2000,$A36,Sets!$D$2:$D$2000,AO$1,Sets!$J$2:$J$2000,"N"))</f>
        <v/>
      </c>
      <c r="AP36">
        <f>IF(_xlfn.MAXIFS(Sets!$H$2:$H$2000,Sets!$A$2:$A$2000,$A36,Sets!$D$2:$D$2000,AP$1,Sets!$J$2:$J$2000,"N")=0,"",_xlfn.MAXIFS(Sets!$H$2:$H$2000,Sets!$A$2:$A$2000,$A36,Sets!$D$2:$D$2000,AP$1,Sets!$J$2:$J$2000,"N"))</f>
        <v/>
      </c>
    </row>
    <row r="37" ht="15" customHeight="1" s="22">
      <c r="A37" s="39" t="n">
        <v>46177</v>
      </c>
      <c r="B37" s="26">
        <f>IF(_xlfn.MAXIFS(Sets!$H$2:$H$2000,Sets!$A$2:$A$2000,$A37,Sets!$D$2:$D$2000,B$1,Sets!$J$2:$J$2000,"N")=0,"",_xlfn.MAXIFS(Sets!$H$2:$H$2000,Sets!$A$2:$A$2000,$A37,Sets!$D$2:$D$2000,B$1,Sets!$J$2:$J$2000,"N"))</f>
        <v/>
      </c>
      <c r="C37" s="26">
        <f>IF(_xlfn.MAXIFS(Sets!$H$2:$H$2000,Sets!$A$2:$A$2000,$A37,Sets!$D$2:$D$2000,C$1,Sets!$J$2:$J$2000,"N")=0,"",_xlfn.MAXIFS(Sets!$H$2:$H$2000,Sets!$A$2:$A$2000,$A37,Sets!$D$2:$D$2000,C$1,Sets!$J$2:$J$2000,"N"))</f>
        <v/>
      </c>
      <c r="D37" s="26">
        <f>IF(_xlfn.MAXIFS(Sets!$H$2:$H$2000,Sets!$A$2:$A$2000,$A37,Sets!$D$2:$D$2000,D$1,Sets!$J$2:$J$2000,"N")=0,"",_xlfn.MAXIFS(Sets!$H$2:$H$2000,Sets!$A$2:$A$2000,$A37,Sets!$D$2:$D$2000,D$1,Sets!$J$2:$J$2000,"N"))</f>
        <v/>
      </c>
      <c r="E37" s="26">
        <f>IF(_xlfn.MAXIFS(Sets!$H$2:$H$2000,Sets!$A$2:$A$2000,$A37,Sets!$D$2:$D$2000,E$1,Sets!$J$2:$J$2000,"N")=0,"",_xlfn.MAXIFS(Sets!$H$2:$H$2000,Sets!$A$2:$A$2000,$A37,Sets!$D$2:$D$2000,E$1,Sets!$J$2:$J$2000,"N"))</f>
        <v/>
      </c>
      <c r="F37" s="26">
        <f>IF(_xlfn.MAXIFS(Sets!$H$2:$H$2000,Sets!$A$2:$A$2000,$A37,Sets!$D$2:$D$2000,F$1,Sets!$J$2:$J$2000,"N")=0,"",_xlfn.MAXIFS(Sets!$H$2:$H$2000,Sets!$A$2:$A$2000,$A37,Sets!$D$2:$D$2000,F$1,Sets!$J$2:$J$2000,"N"))</f>
        <v/>
      </c>
      <c r="G37" s="26">
        <f>IF(_xlfn.MAXIFS(Sets!$H$2:$H$2000,Sets!$A$2:$A$2000,$A37,Sets!$D$2:$D$2000,G$1,Sets!$J$2:$J$2000,"N")=0,"",_xlfn.MAXIFS(Sets!$H$2:$H$2000,Sets!$A$2:$A$2000,$A37,Sets!$D$2:$D$2000,G$1,Sets!$J$2:$J$2000,"N"))</f>
        <v/>
      </c>
      <c r="H37" s="26">
        <f>IF(_xlfn.MAXIFS(Sets!$H$2:$H$2000,Sets!$A$2:$A$2000,$A37,Sets!$D$2:$D$2000,H$1,Sets!$J$2:$J$2000,"N")=0,"",_xlfn.MAXIFS(Sets!$H$2:$H$2000,Sets!$A$2:$A$2000,$A37,Sets!$D$2:$D$2000,H$1,Sets!$J$2:$J$2000,"N"))</f>
        <v/>
      </c>
      <c r="I37" s="26">
        <f>IF(_xlfn.MAXIFS(Sets!$H$2:$H$2000,Sets!$A$2:$A$2000,$A37,Sets!$D$2:$D$2000,I$1,Sets!$J$2:$J$2000,"N")=0,"",_xlfn.MAXIFS(Sets!$H$2:$H$2000,Sets!$A$2:$A$2000,$A37,Sets!$D$2:$D$2000,I$1,Sets!$J$2:$J$2000,"N"))</f>
        <v/>
      </c>
      <c r="J37" s="26">
        <f>IF(_xlfn.MAXIFS(Sets!$H$2:$H$2000,Sets!$A$2:$A$2000,$A37,Sets!$D$2:$D$2000,J$1,Sets!$J$2:$J$2000,"N")=0,"",_xlfn.MAXIFS(Sets!$H$2:$H$2000,Sets!$A$2:$A$2000,$A37,Sets!$D$2:$D$2000,J$1,Sets!$J$2:$J$2000,"N"))</f>
        <v/>
      </c>
      <c r="K37" s="26">
        <f>IF(_xlfn.MAXIFS(Sets!$H$2:$H$2000,Sets!$A$2:$A$2000,$A37,Sets!$D$2:$D$2000,K$1,Sets!$J$2:$J$2000,"N")=0,"",_xlfn.MAXIFS(Sets!$H$2:$H$2000,Sets!$A$2:$A$2000,$A37,Sets!$D$2:$D$2000,K$1,Sets!$J$2:$J$2000,"N"))</f>
        <v/>
      </c>
      <c r="L37" s="26">
        <f>IF(_xlfn.MAXIFS(Sets!$H$2:$H$2000,Sets!$A$2:$A$2000,$A37,Sets!$D$2:$D$2000,L$1,Sets!$J$2:$J$2000,"N")=0,"",_xlfn.MAXIFS(Sets!$H$2:$H$2000,Sets!$A$2:$A$2000,$A37,Sets!$D$2:$D$2000,L$1,Sets!$J$2:$J$2000,"N"))</f>
        <v/>
      </c>
      <c r="M37" s="26">
        <f>IF(_xlfn.MAXIFS(Sets!$H$2:$H$2000,Sets!$A$2:$A$2000,$A37,Sets!$D$2:$D$2000,M$1,Sets!$J$2:$J$2000,"N")=0,"",_xlfn.MAXIFS(Sets!$H$2:$H$2000,Sets!$A$2:$A$2000,$A37,Sets!$D$2:$D$2000,M$1,Sets!$J$2:$J$2000,"N"))</f>
        <v/>
      </c>
      <c r="N37" s="26">
        <f>IF(_xlfn.MAXIFS(Sets!$H$2:$H$2000,Sets!$A$2:$A$2000,$A37,Sets!$D$2:$D$2000,N$1,Sets!$J$2:$J$2000,"N")=0,"",_xlfn.MAXIFS(Sets!$H$2:$H$2000,Sets!$A$2:$A$2000,$A37,Sets!$D$2:$D$2000,N$1,Sets!$J$2:$J$2000,"N"))</f>
        <v/>
      </c>
      <c r="O37" s="26">
        <f>IF(_xlfn.MAXIFS(Sets!$H$2:$H$2000,Sets!$A$2:$A$2000,$A37,Sets!$D$2:$D$2000,O$1,Sets!$J$2:$J$2000,"N")=0,"",_xlfn.MAXIFS(Sets!$H$2:$H$2000,Sets!$A$2:$A$2000,$A37,Sets!$D$2:$D$2000,O$1,Sets!$J$2:$J$2000,"N"))</f>
        <v/>
      </c>
      <c r="P37" s="26">
        <f>IF(_xlfn.MAXIFS(Sets!$H$2:$H$2000,Sets!$A$2:$A$2000,$A37,Sets!$D$2:$D$2000,P$1,Sets!$J$2:$J$2000,"N")=0,"",_xlfn.MAXIFS(Sets!$H$2:$H$2000,Sets!$A$2:$A$2000,$A37,Sets!$D$2:$D$2000,P$1,Sets!$J$2:$J$2000,"N"))</f>
        <v/>
      </c>
      <c r="Q37" s="26">
        <f>IF(_xlfn.MAXIFS(Sets!$H$2:$H$2000,Sets!$A$2:$A$2000,$A37,Sets!$D$2:$D$2000,Q$1,Sets!$J$2:$J$2000,"N")=0,"",_xlfn.MAXIFS(Sets!$H$2:$H$2000,Sets!$A$2:$A$2000,$A37,Sets!$D$2:$D$2000,Q$1,Sets!$J$2:$J$2000,"N"))</f>
        <v/>
      </c>
      <c r="R37" s="26">
        <f>IF(_xlfn.MAXIFS(Sets!$H$2:$H$2000,Sets!$A$2:$A$2000,$A37,Sets!$D$2:$D$2000,R$1,Sets!$J$2:$J$2000,"N")=0,"",_xlfn.MAXIFS(Sets!$H$2:$H$2000,Sets!$A$2:$A$2000,$A37,Sets!$D$2:$D$2000,R$1,Sets!$J$2:$J$2000,"N"))</f>
        <v/>
      </c>
      <c r="S37" s="26">
        <f>IF(_xlfn.MAXIFS(Sets!$H$2:$H$2000,Sets!$A$2:$A$2000,$A37,Sets!$D$2:$D$2000,S$1,Sets!$J$2:$J$2000,"N")=0,"",_xlfn.MAXIFS(Sets!$H$2:$H$2000,Sets!$A$2:$A$2000,$A37,Sets!$D$2:$D$2000,S$1,Sets!$J$2:$J$2000,"N"))</f>
        <v/>
      </c>
      <c r="T37" s="26">
        <f>IF(_xlfn.MAXIFS(Sets!$H$2:$H$2000,Sets!$A$2:$A$2000,$A37,Sets!$D$2:$D$2000,T$1,Sets!$J$2:$J$2000,"N")=0,"",_xlfn.MAXIFS(Sets!$H$2:$H$2000,Sets!$A$2:$A$2000,$A37,Sets!$D$2:$D$2000,T$1,Sets!$J$2:$J$2000,"N"))</f>
        <v/>
      </c>
      <c r="U37" s="26">
        <f>IF(_xlfn.MAXIFS(Sets!$H$2:$H$2000,Sets!$A$2:$A$2000,$A37,Sets!$D$2:$D$2000,U$1,Sets!$J$2:$J$2000,"N")=0,"",_xlfn.MAXIFS(Sets!$H$2:$H$2000,Sets!$A$2:$A$2000,$A37,Sets!$D$2:$D$2000,U$1,Sets!$J$2:$J$2000,"N"))</f>
        <v/>
      </c>
      <c r="V37" s="26">
        <f>IF(_xlfn.MAXIFS(Sets!$H$2:$H$2000,Sets!$A$2:$A$2000,$A37,Sets!$D$2:$D$2000,V$1,Sets!$J$2:$J$2000,"N")=0,"",_xlfn.MAXIFS(Sets!$H$2:$H$2000,Sets!$A$2:$A$2000,$A37,Sets!$D$2:$D$2000,V$1,Sets!$J$2:$J$2000,"N"))</f>
        <v/>
      </c>
      <c r="W37" s="26">
        <f>IF(_xlfn.MAXIFS(Sets!$H$2:$H$2000,Sets!$A$2:$A$2000,$A37,Sets!$D$2:$D$2000,W$1,Sets!$J$2:$J$2000,"N")=0,"",_xlfn.MAXIFS(Sets!$H$2:$H$2000,Sets!$A$2:$A$2000,$A37,Sets!$D$2:$D$2000,W$1,Sets!$J$2:$J$2000,"N"))</f>
        <v/>
      </c>
      <c r="X37" s="26">
        <f>IF(_xlfn.MAXIFS(Sets!$H$2:$H$2000,Sets!$A$2:$A$2000,$A37,Sets!$D$2:$D$2000,X$1,Sets!$J$2:$J$2000,"N")=0,"",_xlfn.MAXIFS(Sets!$H$2:$H$2000,Sets!$A$2:$A$2000,$A37,Sets!$D$2:$D$2000,X$1,Sets!$J$2:$J$2000,"N"))</f>
        <v/>
      </c>
      <c r="Y37" s="26">
        <f>IF(_xlfn.MAXIFS(Sets!$H$2:$H$2000,Sets!$A$2:$A$2000,$A37,Sets!$D$2:$D$2000,Y$1,Sets!$J$2:$J$2000,"N")=0,"",_xlfn.MAXIFS(Sets!$H$2:$H$2000,Sets!$A$2:$A$2000,$A37,Sets!$D$2:$D$2000,Y$1,Sets!$J$2:$J$2000,"N"))</f>
        <v/>
      </c>
      <c r="Z37" s="26">
        <f>IF(_xlfn.MAXIFS(Sets!$H$2:$H$2000,Sets!$A$2:$A$2000,$A37,Sets!$D$2:$D$2000,Z$1,Sets!$J$2:$J$2000,"N")=0,"",_xlfn.MAXIFS(Sets!$H$2:$H$2000,Sets!$A$2:$A$2000,$A37,Sets!$D$2:$D$2000,Z$1,Sets!$J$2:$J$2000,"N"))</f>
        <v/>
      </c>
      <c r="AA37" s="26">
        <f>IF(_xlfn.MAXIFS(Sets!$H$2:$H$2000,Sets!$A$2:$A$2000,$A37,Sets!$D$2:$D$2000,AA$1,Sets!$J$2:$J$2000,"N")=0,"",_xlfn.MAXIFS(Sets!$H$2:$H$2000,Sets!$A$2:$A$2000,$A37,Sets!$D$2:$D$2000,AA$1,Sets!$J$2:$J$2000,"N"))</f>
        <v/>
      </c>
      <c r="AB37" s="26">
        <f>IF(_xlfn.MAXIFS(Sets!$H$2:$H$2000,Sets!$A$2:$A$2000,$A37,Sets!$D$2:$D$2000,AB$1,Sets!$J$2:$J$2000,"N")=0,"",_xlfn.MAXIFS(Sets!$H$2:$H$2000,Sets!$A$2:$A$2000,$A37,Sets!$D$2:$D$2000,AB$1,Sets!$J$2:$J$2000,"N"))</f>
        <v/>
      </c>
      <c r="AC37" s="26">
        <f>IF(_xlfn.MAXIFS(Sets!$H$2:$H$2000,Sets!$A$2:$A$2000,$A37,Sets!$D$2:$D$2000,AC$1,Sets!$J$2:$J$2000,"N")=0,"",_xlfn.MAXIFS(Sets!$H$2:$H$2000,Sets!$A$2:$A$2000,$A37,Sets!$D$2:$D$2000,AC$1,Sets!$J$2:$J$2000,"N"))</f>
        <v/>
      </c>
      <c r="AD37" s="26">
        <f>IF(_xlfn.MAXIFS(Sets!$H$2:$H$2000,Sets!$A$2:$A$2000,$A37,Sets!$D$2:$D$2000,AD$1,Sets!$J$2:$J$2000,"N")=0,"",_xlfn.MAXIFS(Sets!$H$2:$H$2000,Sets!$A$2:$A$2000,$A37,Sets!$D$2:$D$2000,AD$1,Sets!$J$2:$J$2000,"N"))</f>
        <v/>
      </c>
      <c r="AE37" s="26">
        <f>IF(_xlfn.MAXIFS(Sets!$H$2:$H$2000,Sets!$A$2:$A$2000,$A37,Sets!$D$2:$D$2000,AE$1,Sets!$J$2:$J$2000,"N")=0,"",_xlfn.MAXIFS(Sets!$H$2:$H$2000,Sets!$A$2:$A$2000,$A37,Sets!$D$2:$D$2000,AE$1,Sets!$J$2:$J$2000,"N"))</f>
        <v/>
      </c>
      <c r="AF37" s="26">
        <f>IF(_xlfn.MAXIFS(Sets!$H$2:$H$2000,Sets!$A$2:$A$2000,$A37,Sets!$D$2:$D$2000,AF$1,Sets!$J$2:$J$2000,"N")=0,"",_xlfn.MAXIFS(Sets!$H$2:$H$2000,Sets!$A$2:$A$2000,$A37,Sets!$D$2:$D$2000,AF$1,Sets!$J$2:$J$2000,"N"))</f>
        <v/>
      </c>
      <c r="AG37" s="26">
        <f>IF(_xlfn.MAXIFS(Sets!$H$2:$H$2000,Sets!$A$2:$A$2000,$A37,Sets!$D$2:$D$2000,AG$1,Sets!$J$2:$J$2000,"N")=0,"",_xlfn.MAXIFS(Sets!$H$2:$H$2000,Sets!$A$2:$A$2000,$A37,Sets!$D$2:$D$2000,AG$1,Sets!$J$2:$J$2000,"N"))</f>
        <v/>
      </c>
      <c r="AH37" s="26">
        <f>IF(_xlfn.MAXIFS(Sets!$H$2:$H$2000,Sets!$A$2:$A$2000,$A37,Sets!$D$2:$D$2000,AH$1,Sets!$J$2:$J$2000,"N")=0,"",_xlfn.MAXIFS(Sets!$H$2:$H$2000,Sets!$A$2:$A$2000,$A37,Sets!$D$2:$D$2000,AH$1,Sets!$J$2:$J$2000,"N"))</f>
        <v/>
      </c>
      <c r="AI37">
        <f>IF(_xlfn.MAXIFS(Sets!$H$2:$H$2000,Sets!$A$2:$A$2000,$A37,Sets!$D$2:$D$2000,AI$1,Sets!$J$2:$J$2000,"N")=0,"",_xlfn.MAXIFS(Sets!$H$2:$H$2000,Sets!$A$2:$A$2000,$A37,Sets!$D$2:$D$2000,AI$1,Sets!$J$2:$J$2000,"N"))</f>
        <v/>
      </c>
      <c r="AJ37">
        <f>IF(_xlfn.MAXIFS(Sets!$H$2:$H$2000,Sets!$A$2:$A$2000,$A37,Sets!$D$2:$D$2000,AJ$1,Sets!$J$2:$J$2000,"N")=0,"",_xlfn.MAXIFS(Sets!$H$2:$H$2000,Sets!$A$2:$A$2000,$A37,Sets!$D$2:$D$2000,AJ$1,Sets!$J$2:$J$2000,"N"))</f>
        <v/>
      </c>
      <c r="AK37">
        <f>IF(_xlfn.MAXIFS(Sets!$H$2:$H$2000,Sets!$A$2:$A$2000,$A37,Sets!$D$2:$D$2000,AK$1,Sets!$J$2:$J$2000,"N")=0,"",_xlfn.MAXIFS(Sets!$H$2:$H$2000,Sets!$A$2:$A$2000,$A37,Sets!$D$2:$D$2000,AK$1,Sets!$J$2:$J$2000,"N"))</f>
        <v/>
      </c>
      <c r="AL37">
        <f>IF(_xlfn.MAXIFS(Sets!$H$2:$H$2000,Sets!$A$2:$A$2000,$A37,Sets!$D$2:$D$2000,AL$1,Sets!$J$2:$J$2000,"N")=0,"",_xlfn.MAXIFS(Sets!$H$2:$H$2000,Sets!$A$2:$A$2000,$A37,Sets!$D$2:$D$2000,AL$1,Sets!$J$2:$J$2000,"N"))</f>
        <v/>
      </c>
      <c r="AM37">
        <f>IF(_xlfn.MAXIFS(Sets!$H$2:$H$2000,Sets!$A$2:$A$2000,$A37,Sets!$D$2:$D$2000,AM$1,Sets!$J$2:$J$2000,"N")=0,"",_xlfn.MAXIFS(Sets!$H$2:$H$2000,Sets!$A$2:$A$2000,$A37,Sets!$D$2:$D$2000,AM$1,Sets!$J$2:$J$2000,"N"))</f>
        <v/>
      </c>
      <c r="AN37">
        <f>IF(_xlfn.MAXIFS(Sets!$H$2:$H$2000,Sets!$A$2:$A$2000,$A37,Sets!$D$2:$D$2000,AN$1,Sets!$J$2:$J$2000,"N")=0,"",_xlfn.MAXIFS(Sets!$H$2:$H$2000,Sets!$A$2:$A$2000,$A37,Sets!$D$2:$D$2000,AN$1,Sets!$J$2:$J$2000,"N"))</f>
        <v/>
      </c>
      <c r="AO37">
        <f>IF(_xlfn.MAXIFS(Sets!$H$2:$H$2000,Sets!$A$2:$A$2000,$A37,Sets!$D$2:$D$2000,AO$1,Sets!$J$2:$J$2000,"N")=0,"",_xlfn.MAXIFS(Sets!$H$2:$H$2000,Sets!$A$2:$A$2000,$A37,Sets!$D$2:$D$2000,AO$1,Sets!$J$2:$J$2000,"N"))</f>
        <v/>
      </c>
      <c r="AP37">
        <f>IF(_xlfn.MAXIFS(Sets!$H$2:$H$2000,Sets!$A$2:$A$2000,$A37,Sets!$D$2:$D$2000,AP$1,Sets!$J$2:$J$2000,"N")=0,"",_xlfn.MAXIFS(Sets!$H$2:$H$2000,Sets!$A$2:$A$2000,$A37,Sets!$D$2:$D$2000,AP$1,Sets!$J$2:$J$2000,"N"))</f>
        <v/>
      </c>
    </row>
    <row r="38" ht="15" customHeight="1" s="22">
      <c r="A38" s="39" t="n">
        <v>46180</v>
      </c>
      <c r="B38" s="26">
        <f>IF(_xlfn.MAXIFS(Sets!$H$2:$H$2000,Sets!$A$2:$A$2000,$A38,Sets!$D$2:$D$2000,B$1,Sets!$J$2:$J$2000,"N")=0,"",_xlfn.MAXIFS(Sets!$H$2:$H$2000,Sets!$A$2:$A$2000,$A38,Sets!$D$2:$D$2000,B$1,Sets!$J$2:$J$2000,"N"))</f>
        <v/>
      </c>
      <c r="C38" s="26">
        <f>IF(_xlfn.MAXIFS(Sets!$H$2:$H$2000,Sets!$A$2:$A$2000,$A38,Sets!$D$2:$D$2000,C$1,Sets!$J$2:$J$2000,"N")=0,"",_xlfn.MAXIFS(Sets!$H$2:$H$2000,Sets!$A$2:$A$2000,$A38,Sets!$D$2:$D$2000,C$1,Sets!$J$2:$J$2000,"N"))</f>
        <v/>
      </c>
      <c r="D38" s="26">
        <f>IF(_xlfn.MAXIFS(Sets!$H$2:$H$2000,Sets!$A$2:$A$2000,$A38,Sets!$D$2:$D$2000,D$1,Sets!$J$2:$J$2000,"N")=0,"",_xlfn.MAXIFS(Sets!$H$2:$H$2000,Sets!$A$2:$A$2000,$A38,Sets!$D$2:$D$2000,D$1,Sets!$J$2:$J$2000,"N"))</f>
        <v/>
      </c>
      <c r="E38" s="26">
        <f>IF(_xlfn.MAXIFS(Sets!$H$2:$H$2000,Sets!$A$2:$A$2000,$A38,Sets!$D$2:$D$2000,E$1,Sets!$J$2:$J$2000,"N")=0,"",_xlfn.MAXIFS(Sets!$H$2:$H$2000,Sets!$A$2:$A$2000,$A38,Sets!$D$2:$D$2000,E$1,Sets!$J$2:$J$2000,"N"))</f>
        <v/>
      </c>
      <c r="F38" s="26">
        <f>IF(_xlfn.MAXIFS(Sets!$H$2:$H$2000,Sets!$A$2:$A$2000,$A38,Sets!$D$2:$D$2000,F$1,Sets!$J$2:$J$2000,"N")=0,"",_xlfn.MAXIFS(Sets!$H$2:$H$2000,Sets!$A$2:$A$2000,$A38,Sets!$D$2:$D$2000,F$1,Sets!$J$2:$J$2000,"N"))</f>
        <v/>
      </c>
      <c r="G38" s="26">
        <f>IF(_xlfn.MAXIFS(Sets!$H$2:$H$2000,Sets!$A$2:$A$2000,$A38,Sets!$D$2:$D$2000,G$1,Sets!$J$2:$J$2000,"N")=0,"",_xlfn.MAXIFS(Sets!$H$2:$H$2000,Sets!$A$2:$A$2000,$A38,Sets!$D$2:$D$2000,G$1,Sets!$J$2:$J$2000,"N"))</f>
        <v/>
      </c>
      <c r="H38" s="26">
        <f>IF(_xlfn.MAXIFS(Sets!$H$2:$H$2000,Sets!$A$2:$A$2000,$A38,Sets!$D$2:$D$2000,H$1,Sets!$J$2:$J$2000,"N")=0,"",_xlfn.MAXIFS(Sets!$H$2:$H$2000,Sets!$A$2:$A$2000,$A38,Sets!$D$2:$D$2000,H$1,Sets!$J$2:$J$2000,"N"))</f>
        <v/>
      </c>
      <c r="I38" s="26">
        <f>IF(_xlfn.MAXIFS(Sets!$H$2:$H$2000,Sets!$A$2:$A$2000,$A38,Sets!$D$2:$D$2000,I$1,Sets!$J$2:$J$2000,"N")=0,"",_xlfn.MAXIFS(Sets!$H$2:$H$2000,Sets!$A$2:$A$2000,$A38,Sets!$D$2:$D$2000,I$1,Sets!$J$2:$J$2000,"N"))</f>
        <v/>
      </c>
      <c r="J38" s="26">
        <f>IF(_xlfn.MAXIFS(Sets!$H$2:$H$2000,Sets!$A$2:$A$2000,$A38,Sets!$D$2:$D$2000,J$1,Sets!$J$2:$J$2000,"N")=0,"",_xlfn.MAXIFS(Sets!$H$2:$H$2000,Sets!$A$2:$A$2000,$A38,Sets!$D$2:$D$2000,J$1,Sets!$J$2:$J$2000,"N"))</f>
        <v/>
      </c>
      <c r="K38" s="26">
        <f>IF(_xlfn.MAXIFS(Sets!$H$2:$H$2000,Sets!$A$2:$A$2000,$A38,Sets!$D$2:$D$2000,K$1,Sets!$J$2:$J$2000,"N")=0,"",_xlfn.MAXIFS(Sets!$H$2:$H$2000,Sets!$A$2:$A$2000,$A38,Sets!$D$2:$D$2000,K$1,Sets!$J$2:$J$2000,"N"))</f>
        <v/>
      </c>
      <c r="L38" s="26">
        <f>IF(_xlfn.MAXIFS(Sets!$H$2:$H$2000,Sets!$A$2:$A$2000,$A38,Sets!$D$2:$D$2000,L$1,Sets!$J$2:$J$2000,"N")=0,"",_xlfn.MAXIFS(Sets!$H$2:$H$2000,Sets!$A$2:$A$2000,$A38,Sets!$D$2:$D$2000,L$1,Sets!$J$2:$J$2000,"N"))</f>
        <v/>
      </c>
      <c r="M38" s="26">
        <f>IF(_xlfn.MAXIFS(Sets!$H$2:$H$2000,Sets!$A$2:$A$2000,$A38,Sets!$D$2:$D$2000,M$1,Sets!$J$2:$J$2000,"N")=0,"",_xlfn.MAXIFS(Sets!$H$2:$H$2000,Sets!$A$2:$A$2000,$A38,Sets!$D$2:$D$2000,M$1,Sets!$J$2:$J$2000,"N"))</f>
        <v/>
      </c>
      <c r="N38" s="26">
        <f>IF(_xlfn.MAXIFS(Sets!$H$2:$H$2000,Sets!$A$2:$A$2000,$A38,Sets!$D$2:$D$2000,N$1,Sets!$J$2:$J$2000,"N")=0,"",_xlfn.MAXIFS(Sets!$H$2:$H$2000,Sets!$A$2:$A$2000,$A38,Sets!$D$2:$D$2000,N$1,Sets!$J$2:$J$2000,"N"))</f>
        <v/>
      </c>
      <c r="O38" s="26">
        <f>IF(_xlfn.MAXIFS(Sets!$H$2:$H$2000,Sets!$A$2:$A$2000,$A38,Sets!$D$2:$D$2000,O$1,Sets!$J$2:$J$2000,"N")=0,"",_xlfn.MAXIFS(Sets!$H$2:$H$2000,Sets!$A$2:$A$2000,$A38,Sets!$D$2:$D$2000,O$1,Sets!$J$2:$J$2000,"N"))</f>
        <v/>
      </c>
      <c r="P38" s="26">
        <f>IF(_xlfn.MAXIFS(Sets!$H$2:$H$2000,Sets!$A$2:$A$2000,$A38,Sets!$D$2:$D$2000,P$1,Sets!$J$2:$J$2000,"N")=0,"",_xlfn.MAXIFS(Sets!$H$2:$H$2000,Sets!$A$2:$A$2000,$A38,Sets!$D$2:$D$2000,P$1,Sets!$J$2:$J$2000,"N"))</f>
        <v/>
      </c>
      <c r="Q38" s="26">
        <f>IF(_xlfn.MAXIFS(Sets!$H$2:$H$2000,Sets!$A$2:$A$2000,$A38,Sets!$D$2:$D$2000,Q$1,Sets!$J$2:$J$2000,"N")=0,"",_xlfn.MAXIFS(Sets!$H$2:$H$2000,Sets!$A$2:$A$2000,$A38,Sets!$D$2:$D$2000,Q$1,Sets!$J$2:$J$2000,"N"))</f>
        <v/>
      </c>
      <c r="R38" s="26">
        <f>IF(_xlfn.MAXIFS(Sets!$H$2:$H$2000,Sets!$A$2:$A$2000,$A38,Sets!$D$2:$D$2000,R$1,Sets!$J$2:$J$2000,"N")=0,"",_xlfn.MAXIFS(Sets!$H$2:$H$2000,Sets!$A$2:$A$2000,$A38,Sets!$D$2:$D$2000,R$1,Sets!$J$2:$J$2000,"N"))</f>
        <v/>
      </c>
      <c r="S38" s="26">
        <f>IF(_xlfn.MAXIFS(Sets!$H$2:$H$2000,Sets!$A$2:$A$2000,$A38,Sets!$D$2:$D$2000,S$1,Sets!$J$2:$J$2000,"N")=0,"",_xlfn.MAXIFS(Sets!$H$2:$H$2000,Sets!$A$2:$A$2000,$A38,Sets!$D$2:$D$2000,S$1,Sets!$J$2:$J$2000,"N"))</f>
        <v/>
      </c>
      <c r="T38" s="26">
        <f>IF(_xlfn.MAXIFS(Sets!$H$2:$H$2000,Sets!$A$2:$A$2000,$A38,Sets!$D$2:$D$2000,T$1,Sets!$J$2:$J$2000,"N")=0,"",_xlfn.MAXIFS(Sets!$H$2:$H$2000,Sets!$A$2:$A$2000,$A38,Sets!$D$2:$D$2000,T$1,Sets!$J$2:$J$2000,"N"))</f>
        <v/>
      </c>
      <c r="U38" s="26">
        <f>IF(_xlfn.MAXIFS(Sets!$H$2:$H$2000,Sets!$A$2:$A$2000,$A38,Sets!$D$2:$D$2000,U$1,Sets!$J$2:$J$2000,"N")=0,"",_xlfn.MAXIFS(Sets!$H$2:$H$2000,Sets!$A$2:$A$2000,$A38,Sets!$D$2:$D$2000,U$1,Sets!$J$2:$J$2000,"N"))</f>
        <v/>
      </c>
      <c r="V38" s="26">
        <f>IF(_xlfn.MAXIFS(Sets!$H$2:$H$2000,Sets!$A$2:$A$2000,$A38,Sets!$D$2:$D$2000,V$1,Sets!$J$2:$J$2000,"N")=0,"",_xlfn.MAXIFS(Sets!$H$2:$H$2000,Sets!$A$2:$A$2000,$A38,Sets!$D$2:$D$2000,V$1,Sets!$J$2:$J$2000,"N"))</f>
        <v/>
      </c>
      <c r="W38" s="26">
        <f>IF(_xlfn.MAXIFS(Sets!$H$2:$H$2000,Sets!$A$2:$A$2000,$A38,Sets!$D$2:$D$2000,W$1,Sets!$J$2:$J$2000,"N")=0,"",_xlfn.MAXIFS(Sets!$H$2:$H$2000,Sets!$A$2:$A$2000,$A38,Sets!$D$2:$D$2000,W$1,Sets!$J$2:$J$2000,"N"))</f>
        <v/>
      </c>
      <c r="X38" s="26">
        <f>IF(_xlfn.MAXIFS(Sets!$H$2:$H$2000,Sets!$A$2:$A$2000,$A38,Sets!$D$2:$D$2000,X$1,Sets!$J$2:$J$2000,"N")=0,"",_xlfn.MAXIFS(Sets!$H$2:$H$2000,Sets!$A$2:$A$2000,$A38,Sets!$D$2:$D$2000,X$1,Sets!$J$2:$J$2000,"N"))</f>
        <v/>
      </c>
      <c r="Y38" s="26">
        <f>IF(_xlfn.MAXIFS(Sets!$H$2:$H$2000,Sets!$A$2:$A$2000,$A38,Sets!$D$2:$D$2000,Y$1,Sets!$J$2:$J$2000,"N")=0,"",_xlfn.MAXIFS(Sets!$H$2:$H$2000,Sets!$A$2:$A$2000,$A38,Sets!$D$2:$D$2000,Y$1,Sets!$J$2:$J$2000,"N"))</f>
        <v/>
      </c>
      <c r="Z38" s="26">
        <f>IF(_xlfn.MAXIFS(Sets!$H$2:$H$2000,Sets!$A$2:$A$2000,$A38,Sets!$D$2:$D$2000,Z$1,Sets!$J$2:$J$2000,"N")=0,"",_xlfn.MAXIFS(Sets!$H$2:$H$2000,Sets!$A$2:$A$2000,$A38,Sets!$D$2:$D$2000,Z$1,Sets!$J$2:$J$2000,"N"))</f>
        <v/>
      </c>
      <c r="AA38" s="26">
        <f>IF(_xlfn.MAXIFS(Sets!$H$2:$H$2000,Sets!$A$2:$A$2000,$A38,Sets!$D$2:$D$2000,AA$1,Sets!$J$2:$J$2000,"N")=0,"",_xlfn.MAXIFS(Sets!$H$2:$H$2000,Sets!$A$2:$A$2000,$A38,Sets!$D$2:$D$2000,AA$1,Sets!$J$2:$J$2000,"N"))</f>
        <v/>
      </c>
      <c r="AB38" s="26">
        <f>IF(_xlfn.MAXIFS(Sets!$H$2:$H$2000,Sets!$A$2:$A$2000,$A38,Sets!$D$2:$D$2000,AB$1,Sets!$J$2:$J$2000,"N")=0,"",_xlfn.MAXIFS(Sets!$H$2:$H$2000,Sets!$A$2:$A$2000,$A38,Sets!$D$2:$D$2000,AB$1,Sets!$J$2:$J$2000,"N"))</f>
        <v/>
      </c>
      <c r="AC38" s="26">
        <f>IF(_xlfn.MAXIFS(Sets!$H$2:$H$2000,Sets!$A$2:$A$2000,$A38,Sets!$D$2:$D$2000,AC$1,Sets!$J$2:$J$2000,"N")=0,"",_xlfn.MAXIFS(Sets!$H$2:$H$2000,Sets!$A$2:$A$2000,$A38,Sets!$D$2:$D$2000,AC$1,Sets!$J$2:$J$2000,"N"))</f>
        <v/>
      </c>
      <c r="AD38" s="26">
        <f>IF(_xlfn.MAXIFS(Sets!$H$2:$H$2000,Sets!$A$2:$A$2000,$A38,Sets!$D$2:$D$2000,AD$1,Sets!$J$2:$J$2000,"N")=0,"",_xlfn.MAXIFS(Sets!$H$2:$H$2000,Sets!$A$2:$A$2000,$A38,Sets!$D$2:$D$2000,AD$1,Sets!$J$2:$J$2000,"N"))</f>
        <v/>
      </c>
      <c r="AE38" s="26">
        <f>IF(_xlfn.MAXIFS(Sets!$H$2:$H$2000,Sets!$A$2:$A$2000,$A38,Sets!$D$2:$D$2000,AE$1,Sets!$J$2:$J$2000,"N")=0,"",_xlfn.MAXIFS(Sets!$H$2:$H$2000,Sets!$A$2:$A$2000,$A38,Sets!$D$2:$D$2000,AE$1,Sets!$J$2:$J$2000,"N"))</f>
        <v/>
      </c>
      <c r="AF38" s="26">
        <f>IF(_xlfn.MAXIFS(Sets!$H$2:$H$2000,Sets!$A$2:$A$2000,$A38,Sets!$D$2:$D$2000,AF$1,Sets!$J$2:$J$2000,"N")=0,"",_xlfn.MAXIFS(Sets!$H$2:$H$2000,Sets!$A$2:$A$2000,$A38,Sets!$D$2:$D$2000,AF$1,Sets!$J$2:$J$2000,"N"))</f>
        <v/>
      </c>
      <c r="AG38" s="26">
        <f>IF(_xlfn.MAXIFS(Sets!$H$2:$H$2000,Sets!$A$2:$A$2000,$A38,Sets!$D$2:$D$2000,AG$1,Sets!$J$2:$J$2000,"N")=0,"",_xlfn.MAXIFS(Sets!$H$2:$H$2000,Sets!$A$2:$A$2000,$A38,Sets!$D$2:$D$2000,AG$1,Sets!$J$2:$J$2000,"N"))</f>
        <v/>
      </c>
      <c r="AH38" s="26">
        <f>IF(_xlfn.MAXIFS(Sets!$H$2:$H$2000,Sets!$A$2:$A$2000,$A38,Sets!$D$2:$D$2000,AH$1,Sets!$J$2:$J$2000,"N")=0,"",_xlfn.MAXIFS(Sets!$H$2:$H$2000,Sets!$A$2:$A$2000,$A38,Sets!$D$2:$D$2000,AH$1,Sets!$J$2:$J$2000,"N"))</f>
        <v/>
      </c>
      <c r="AI38">
        <f>IF(_xlfn.MAXIFS(Sets!$H$2:$H$2000,Sets!$A$2:$A$2000,$A38,Sets!$D$2:$D$2000,AI$1,Sets!$J$2:$J$2000,"N")=0,"",_xlfn.MAXIFS(Sets!$H$2:$H$2000,Sets!$A$2:$A$2000,$A38,Sets!$D$2:$D$2000,AI$1,Sets!$J$2:$J$2000,"N"))</f>
        <v/>
      </c>
      <c r="AJ38">
        <f>IF(_xlfn.MAXIFS(Sets!$H$2:$H$2000,Sets!$A$2:$A$2000,$A38,Sets!$D$2:$D$2000,AJ$1,Sets!$J$2:$J$2000,"N")=0,"",_xlfn.MAXIFS(Sets!$H$2:$H$2000,Sets!$A$2:$A$2000,$A38,Sets!$D$2:$D$2000,AJ$1,Sets!$J$2:$J$2000,"N"))</f>
        <v/>
      </c>
      <c r="AK38">
        <f>IF(_xlfn.MAXIFS(Sets!$H$2:$H$2000,Sets!$A$2:$A$2000,$A38,Sets!$D$2:$D$2000,AK$1,Sets!$J$2:$J$2000,"N")=0,"",_xlfn.MAXIFS(Sets!$H$2:$H$2000,Sets!$A$2:$A$2000,$A38,Sets!$D$2:$D$2000,AK$1,Sets!$J$2:$J$2000,"N"))</f>
        <v/>
      </c>
      <c r="AL38">
        <f>IF(_xlfn.MAXIFS(Sets!$H$2:$H$2000,Sets!$A$2:$A$2000,$A38,Sets!$D$2:$D$2000,AL$1,Sets!$J$2:$J$2000,"N")=0,"",_xlfn.MAXIFS(Sets!$H$2:$H$2000,Sets!$A$2:$A$2000,$A38,Sets!$D$2:$D$2000,AL$1,Sets!$J$2:$J$2000,"N"))</f>
        <v/>
      </c>
      <c r="AM38">
        <f>IF(_xlfn.MAXIFS(Sets!$H$2:$H$2000,Sets!$A$2:$A$2000,$A38,Sets!$D$2:$D$2000,AM$1,Sets!$J$2:$J$2000,"N")=0,"",_xlfn.MAXIFS(Sets!$H$2:$H$2000,Sets!$A$2:$A$2000,$A38,Sets!$D$2:$D$2000,AM$1,Sets!$J$2:$J$2000,"N"))</f>
        <v/>
      </c>
      <c r="AN38">
        <f>IF(_xlfn.MAXIFS(Sets!$H$2:$H$2000,Sets!$A$2:$A$2000,$A38,Sets!$D$2:$D$2000,AN$1,Sets!$J$2:$J$2000,"N")=0,"",_xlfn.MAXIFS(Sets!$H$2:$H$2000,Sets!$A$2:$A$2000,$A38,Sets!$D$2:$D$2000,AN$1,Sets!$J$2:$J$2000,"N"))</f>
        <v/>
      </c>
      <c r="AO38">
        <f>IF(_xlfn.MAXIFS(Sets!$H$2:$H$2000,Sets!$A$2:$A$2000,$A38,Sets!$D$2:$D$2000,AO$1,Sets!$J$2:$J$2000,"N")=0,"",_xlfn.MAXIFS(Sets!$H$2:$H$2000,Sets!$A$2:$A$2000,$A38,Sets!$D$2:$D$2000,AO$1,Sets!$J$2:$J$2000,"N"))</f>
        <v/>
      </c>
      <c r="AP38">
        <f>IF(_xlfn.MAXIFS(Sets!$H$2:$H$2000,Sets!$A$2:$A$2000,$A38,Sets!$D$2:$D$2000,AP$1,Sets!$J$2:$J$2000,"N")=0,"",_xlfn.MAXIFS(Sets!$H$2:$H$2000,Sets!$A$2:$A$2000,$A38,Sets!$D$2:$D$2000,AP$1,Sets!$J$2:$J$2000,"N"))</f>
        <v/>
      </c>
    </row>
    <row r="39" ht="15" customHeight="1" s="22">
      <c r="A39" s="39" t="n">
        <v>46184</v>
      </c>
      <c r="B39" s="26">
        <f>IF(_xlfn.MAXIFS(Sets!$H$2:$H$2000,Sets!$A$2:$A$2000,$A39,Sets!$D$2:$D$2000,B$1,Sets!$J$2:$J$2000,"N")=0,"",_xlfn.MAXIFS(Sets!$H$2:$H$2000,Sets!$A$2:$A$2000,$A39,Sets!$D$2:$D$2000,B$1,Sets!$J$2:$J$2000,"N"))</f>
        <v/>
      </c>
      <c r="C39" s="26">
        <f>IF(_xlfn.MAXIFS(Sets!$H$2:$H$2000,Sets!$A$2:$A$2000,$A39,Sets!$D$2:$D$2000,C$1,Sets!$J$2:$J$2000,"N")=0,"",_xlfn.MAXIFS(Sets!$H$2:$H$2000,Sets!$A$2:$A$2000,$A39,Sets!$D$2:$D$2000,C$1,Sets!$J$2:$J$2000,"N"))</f>
        <v/>
      </c>
      <c r="D39" s="26">
        <f>IF(_xlfn.MAXIFS(Sets!$H$2:$H$2000,Sets!$A$2:$A$2000,$A39,Sets!$D$2:$D$2000,D$1,Sets!$J$2:$J$2000,"N")=0,"",_xlfn.MAXIFS(Sets!$H$2:$H$2000,Sets!$A$2:$A$2000,$A39,Sets!$D$2:$D$2000,D$1,Sets!$J$2:$J$2000,"N"))</f>
        <v/>
      </c>
      <c r="E39" s="26">
        <f>IF(_xlfn.MAXIFS(Sets!$H$2:$H$2000,Sets!$A$2:$A$2000,$A39,Sets!$D$2:$D$2000,E$1,Sets!$J$2:$J$2000,"N")=0,"",_xlfn.MAXIFS(Sets!$H$2:$H$2000,Sets!$A$2:$A$2000,$A39,Sets!$D$2:$D$2000,E$1,Sets!$J$2:$J$2000,"N"))</f>
        <v/>
      </c>
      <c r="F39" s="26">
        <f>IF(_xlfn.MAXIFS(Sets!$H$2:$H$2000,Sets!$A$2:$A$2000,$A39,Sets!$D$2:$D$2000,F$1,Sets!$J$2:$J$2000,"N")=0,"",_xlfn.MAXIFS(Sets!$H$2:$H$2000,Sets!$A$2:$A$2000,$A39,Sets!$D$2:$D$2000,F$1,Sets!$J$2:$J$2000,"N"))</f>
        <v/>
      </c>
      <c r="G39" s="26">
        <f>IF(_xlfn.MAXIFS(Sets!$H$2:$H$2000,Sets!$A$2:$A$2000,$A39,Sets!$D$2:$D$2000,G$1,Sets!$J$2:$J$2000,"N")=0,"",_xlfn.MAXIFS(Sets!$H$2:$H$2000,Sets!$A$2:$A$2000,$A39,Sets!$D$2:$D$2000,G$1,Sets!$J$2:$J$2000,"N"))</f>
        <v/>
      </c>
      <c r="H39" s="26">
        <f>IF(_xlfn.MAXIFS(Sets!$H$2:$H$2000,Sets!$A$2:$A$2000,$A39,Sets!$D$2:$D$2000,H$1,Sets!$J$2:$J$2000,"N")=0,"",_xlfn.MAXIFS(Sets!$H$2:$H$2000,Sets!$A$2:$A$2000,$A39,Sets!$D$2:$D$2000,H$1,Sets!$J$2:$J$2000,"N"))</f>
        <v/>
      </c>
      <c r="I39" s="26">
        <f>IF(_xlfn.MAXIFS(Sets!$H$2:$H$2000,Sets!$A$2:$A$2000,$A39,Sets!$D$2:$D$2000,I$1,Sets!$J$2:$J$2000,"N")=0,"",_xlfn.MAXIFS(Sets!$H$2:$H$2000,Sets!$A$2:$A$2000,$A39,Sets!$D$2:$D$2000,I$1,Sets!$J$2:$J$2000,"N"))</f>
        <v/>
      </c>
      <c r="J39" s="26">
        <f>IF(_xlfn.MAXIFS(Sets!$H$2:$H$2000,Sets!$A$2:$A$2000,$A39,Sets!$D$2:$D$2000,J$1,Sets!$J$2:$J$2000,"N")=0,"",_xlfn.MAXIFS(Sets!$H$2:$H$2000,Sets!$A$2:$A$2000,$A39,Sets!$D$2:$D$2000,J$1,Sets!$J$2:$J$2000,"N"))</f>
        <v/>
      </c>
      <c r="K39" s="26">
        <f>IF(_xlfn.MAXIFS(Sets!$H$2:$H$2000,Sets!$A$2:$A$2000,$A39,Sets!$D$2:$D$2000,K$1,Sets!$J$2:$J$2000,"N")=0,"",_xlfn.MAXIFS(Sets!$H$2:$H$2000,Sets!$A$2:$A$2000,$A39,Sets!$D$2:$D$2000,K$1,Sets!$J$2:$J$2000,"N"))</f>
        <v/>
      </c>
      <c r="L39" s="26">
        <f>IF(_xlfn.MAXIFS(Sets!$H$2:$H$2000,Sets!$A$2:$A$2000,$A39,Sets!$D$2:$D$2000,L$1,Sets!$J$2:$J$2000,"N")=0,"",_xlfn.MAXIFS(Sets!$H$2:$H$2000,Sets!$A$2:$A$2000,$A39,Sets!$D$2:$D$2000,L$1,Sets!$J$2:$J$2000,"N"))</f>
        <v/>
      </c>
      <c r="M39" s="26">
        <f>IF(_xlfn.MAXIFS(Sets!$H$2:$H$2000,Sets!$A$2:$A$2000,$A39,Sets!$D$2:$D$2000,M$1,Sets!$J$2:$J$2000,"N")=0,"",_xlfn.MAXIFS(Sets!$H$2:$H$2000,Sets!$A$2:$A$2000,$A39,Sets!$D$2:$D$2000,M$1,Sets!$J$2:$J$2000,"N"))</f>
        <v/>
      </c>
      <c r="N39" s="26">
        <f>IF(_xlfn.MAXIFS(Sets!$H$2:$H$2000,Sets!$A$2:$A$2000,$A39,Sets!$D$2:$D$2000,N$1,Sets!$J$2:$J$2000,"N")=0,"",_xlfn.MAXIFS(Sets!$H$2:$H$2000,Sets!$A$2:$A$2000,$A39,Sets!$D$2:$D$2000,N$1,Sets!$J$2:$J$2000,"N"))</f>
        <v/>
      </c>
      <c r="O39" s="26">
        <f>IF(_xlfn.MAXIFS(Sets!$H$2:$H$2000,Sets!$A$2:$A$2000,$A39,Sets!$D$2:$D$2000,O$1,Sets!$J$2:$J$2000,"N")=0,"",_xlfn.MAXIFS(Sets!$H$2:$H$2000,Sets!$A$2:$A$2000,$A39,Sets!$D$2:$D$2000,O$1,Sets!$J$2:$J$2000,"N"))</f>
        <v/>
      </c>
      <c r="P39" s="26">
        <f>IF(_xlfn.MAXIFS(Sets!$H$2:$H$2000,Sets!$A$2:$A$2000,$A39,Sets!$D$2:$D$2000,P$1,Sets!$J$2:$J$2000,"N")=0,"",_xlfn.MAXIFS(Sets!$H$2:$H$2000,Sets!$A$2:$A$2000,$A39,Sets!$D$2:$D$2000,P$1,Sets!$J$2:$J$2000,"N"))</f>
        <v/>
      </c>
      <c r="Q39" s="26">
        <f>IF(_xlfn.MAXIFS(Sets!$H$2:$H$2000,Sets!$A$2:$A$2000,$A39,Sets!$D$2:$D$2000,Q$1,Sets!$J$2:$J$2000,"N")=0,"",_xlfn.MAXIFS(Sets!$H$2:$H$2000,Sets!$A$2:$A$2000,$A39,Sets!$D$2:$D$2000,Q$1,Sets!$J$2:$J$2000,"N"))</f>
        <v/>
      </c>
      <c r="R39" s="26">
        <f>IF(_xlfn.MAXIFS(Sets!$H$2:$H$2000,Sets!$A$2:$A$2000,$A39,Sets!$D$2:$D$2000,R$1,Sets!$J$2:$J$2000,"N")=0,"",_xlfn.MAXIFS(Sets!$H$2:$H$2000,Sets!$A$2:$A$2000,$A39,Sets!$D$2:$D$2000,R$1,Sets!$J$2:$J$2000,"N"))</f>
        <v/>
      </c>
      <c r="S39" s="26">
        <f>IF(_xlfn.MAXIFS(Sets!$H$2:$H$2000,Sets!$A$2:$A$2000,$A39,Sets!$D$2:$D$2000,S$1,Sets!$J$2:$J$2000,"N")=0,"",_xlfn.MAXIFS(Sets!$H$2:$H$2000,Sets!$A$2:$A$2000,$A39,Sets!$D$2:$D$2000,S$1,Sets!$J$2:$J$2000,"N"))</f>
        <v/>
      </c>
      <c r="T39" s="26">
        <f>IF(_xlfn.MAXIFS(Sets!$H$2:$H$2000,Sets!$A$2:$A$2000,$A39,Sets!$D$2:$D$2000,T$1,Sets!$J$2:$J$2000,"N")=0,"",_xlfn.MAXIFS(Sets!$H$2:$H$2000,Sets!$A$2:$A$2000,$A39,Sets!$D$2:$D$2000,T$1,Sets!$J$2:$J$2000,"N"))</f>
        <v/>
      </c>
      <c r="U39" s="26">
        <f>IF(_xlfn.MAXIFS(Sets!$H$2:$H$2000,Sets!$A$2:$A$2000,$A39,Sets!$D$2:$D$2000,U$1,Sets!$J$2:$J$2000,"N")=0,"",_xlfn.MAXIFS(Sets!$H$2:$H$2000,Sets!$A$2:$A$2000,$A39,Sets!$D$2:$D$2000,U$1,Sets!$J$2:$J$2000,"N"))</f>
        <v/>
      </c>
      <c r="V39" s="26">
        <f>IF(_xlfn.MAXIFS(Sets!$H$2:$H$2000,Sets!$A$2:$A$2000,$A39,Sets!$D$2:$D$2000,V$1,Sets!$J$2:$J$2000,"N")=0,"",_xlfn.MAXIFS(Sets!$H$2:$H$2000,Sets!$A$2:$A$2000,$A39,Sets!$D$2:$D$2000,V$1,Sets!$J$2:$J$2000,"N"))</f>
        <v/>
      </c>
      <c r="W39" s="26">
        <f>IF(_xlfn.MAXIFS(Sets!$H$2:$H$2000,Sets!$A$2:$A$2000,$A39,Sets!$D$2:$D$2000,W$1,Sets!$J$2:$J$2000,"N")=0,"",_xlfn.MAXIFS(Sets!$H$2:$H$2000,Sets!$A$2:$A$2000,$A39,Sets!$D$2:$D$2000,W$1,Sets!$J$2:$J$2000,"N"))</f>
        <v/>
      </c>
      <c r="X39" s="26">
        <f>IF(_xlfn.MAXIFS(Sets!$H$2:$H$2000,Sets!$A$2:$A$2000,$A39,Sets!$D$2:$D$2000,X$1,Sets!$J$2:$J$2000,"N")=0,"",_xlfn.MAXIFS(Sets!$H$2:$H$2000,Sets!$A$2:$A$2000,$A39,Sets!$D$2:$D$2000,X$1,Sets!$J$2:$J$2000,"N"))</f>
        <v/>
      </c>
      <c r="Y39" s="26">
        <f>IF(_xlfn.MAXIFS(Sets!$H$2:$H$2000,Sets!$A$2:$A$2000,$A39,Sets!$D$2:$D$2000,Y$1,Sets!$J$2:$J$2000,"N")=0,"",_xlfn.MAXIFS(Sets!$H$2:$H$2000,Sets!$A$2:$A$2000,$A39,Sets!$D$2:$D$2000,Y$1,Sets!$J$2:$J$2000,"N"))</f>
        <v/>
      </c>
      <c r="Z39" s="26">
        <f>IF(_xlfn.MAXIFS(Sets!$H$2:$H$2000,Sets!$A$2:$A$2000,$A39,Sets!$D$2:$D$2000,Z$1,Sets!$J$2:$J$2000,"N")=0,"",_xlfn.MAXIFS(Sets!$H$2:$H$2000,Sets!$A$2:$A$2000,$A39,Sets!$D$2:$D$2000,Z$1,Sets!$J$2:$J$2000,"N"))</f>
        <v/>
      </c>
      <c r="AA39" s="26">
        <f>IF(_xlfn.MAXIFS(Sets!$H$2:$H$2000,Sets!$A$2:$A$2000,$A39,Sets!$D$2:$D$2000,AA$1,Sets!$J$2:$J$2000,"N")=0,"",_xlfn.MAXIFS(Sets!$H$2:$H$2000,Sets!$A$2:$A$2000,$A39,Sets!$D$2:$D$2000,AA$1,Sets!$J$2:$J$2000,"N"))</f>
        <v/>
      </c>
      <c r="AB39" s="26">
        <f>IF(_xlfn.MAXIFS(Sets!$H$2:$H$2000,Sets!$A$2:$A$2000,$A39,Sets!$D$2:$D$2000,AB$1,Sets!$J$2:$J$2000,"N")=0,"",_xlfn.MAXIFS(Sets!$H$2:$H$2000,Sets!$A$2:$A$2000,$A39,Sets!$D$2:$D$2000,AB$1,Sets!$J$2:$J$2000,"N"))</f>
        <v/>
      </c>
      <c r="AC39" s="26">
        <f>IF(_xlfn.MAXIFS(Sets!$H$2:$H$2000,Sets!$A$2:$A$2000,$A39,Sets!$D$2:$D$2000,AC$1,Sets!$J$2:$J$2000,"N")=0,"",_xlfn.MAXIFS(Sets!$H$2:$H$2000,Sets!$A$2:$A$2000,$A39,Sets!$D$2:$D$2000,AC$1,Sets!$J$2:$J$2000,"N"))</f>
        <v/>
      </c>
      <c r="AD39" s="26">
        <f>IF(_xlfn.MAXIFS(Sets!$H$2:$H$2000,Sets!$A$2:$A$2000,$A39,Sets!$D$2:$D$2000,AD$1,Sets!$J$2:$J$2000,"N")=0,"",_xlfn.MAXIFS(Sets!$H$2:$H$2000,Sets!$A$2:$A$2000,$A39,Sets!$D$2:$D$2000,AD$1,Sets!$J$2:$J$2000,"N"))</f>
        <v/>
      </c>
      <c r="AE39" s="26">
        <f>IF(_xlfn.MAXIFS(Sets!$H$2:$H$2000,Sets!$A$2:$A$2000,$A39,Sets!$D$2:$D$2000,AE$1,Sets!$J$2:$J$2000,"N")=0,"",_xlfn.MAXIFS(Sets!$H$2:$H$2000,Sets!$A$2:$A$2000,$A39,Sets!$D$2:$D$2000,AE$1,Sets!$J$2:$J$2000,"N"))</f>
        <v/>
      </c>
      <c r="AF39" s="26">
        <f>IF(_xlfn.MAXIFS(Sets!$H$2:$H$2000,Sets!$A$2:$A$2000,$A39,Sets!$D$2:$D$2000,AF$1,Sets!$J$2:$J$2000,"N")=0,"",_xlfn.MAXIFS(Sets!$H$2:$H$2000,Sets!$A$2:$A$2000,$A39,Sets!$D$2:$D$2000,AF$1,Sets!$J$2:$J$2000,"N"))</f>
        <v/>
      </c>
      <c r="AG39" s="26">
        <f>IF(_xlfn.MAXIFS(Sets!$H$2:$H$2000,Sets!$A$2:$A$2000,$A39,Sets!$D$2:$D$2000,AG$1,Sets!$J$2:$J$2000,"N")=0,"",_xlfn.MAXIFS(Sets!$H$2:$H$2000,Sets!$A$2:$A$2000,$A39,Sets!$D$2:$D$2000,AG$1,Sets!$J$2:$J$2000,"N"))</f>
        <v/>
      </c>
      <c r="AH39" s="26">
        <f>IF(_xlfn.MAXIFS(Sets!$H$2:$H$2000,Sets!$A$2:$A$2000,$A39,Sets!$D$2:$D$2000,AH$1,Sets!$J$2:$J$2000,"N")=0,"",_xlfn.MAXIFS(Sets!$H$2:$H$2000,Sets!$A$2:$A$2000,$A39,Sets!$D$2:$D$2000,AH$1,Sets!$J$2:$J$2000,"N"))</f>
        <v/>
      </c>
      <c r="AI39">
        <f>IF(_xlfn.MAXIFS(Sets!$H$2:$H$2000,Sets!$A$2:$A$2000,$A39,Sets!$D$2:$D$2000,AI$1,Sets!$J$2:$J$2000,"N")=0,"",_xlfn.MAXIFS(Sets!$H$2:$H$2000,Sets!$A$2:$A$2000,$A39,Sets!$D$2:$D$2000,AI$1,Sets!$J$2:$J$2000,"N"))</f>
        <v/>
      </c>
      <c r="AJ39">
        <f>IF(_xlfn.MAXIFS(Sets!$H$2:$H$2000,Sets!$A$2:$A$2000,$A39,Sets!$D$2:$D$2000,AJ$1,Sets!$J$2:$J$2000,"N")=0,"",_xlfn.MAXIFS(Sets!$H$2:$H$2000,Sets!$A$2:$A$2000,$A39,Sets!$D$2:$D$2000,AJ$1,Sets!$J$2:$J$2000,"N"))</f>
        <v/>
      </c>
      <c r="AK39">
        <f>IF(_xlfn.MAXIFS(Sets!$H$2:$H$2000,Sets!$A$2:$A$2000,$A39,Sets!$D$2:$D$2000,AK$1,Sets!$J$2:$J$2000,"N")=0,"",_xlfn.MAXIFS(Sets!$H$2:$H$2000,Sets!$A$2:$A$2000,$A39,Sets!$D$2:$D$2000,AK$1,Sets!$J$2:$J$2000,"N"))</f>
        <v/>
      </c>
      <c r="AL39">
        <f>IF(_xlfn.MAXIFS(Sets!$H$2:$H$2000,Sets!$A$2:$A$2000,$A39,Sets!$D$2:$D$2000,AL$1,Sets!$J$2:$J$2000,"N")=0,"",_xlfn.MAXIFS(Sets!$H$2:$H$2000,Sets!$A$2:$A$2000,$A39,Sets!$D$2:$D$2000,AL$1,Sets!$J$2:$J$2000,"N"))</f>
        <v/>
      </c>
      <c r="AM39">
        <f>IF(_xlfn.MAXIFS(Sets!$H$2:$H$2000,Sets!$A$2:$A$2000,$A39,Sets!$D$2:$D$2000,AM$1,Sets!$J$2:$J$2000,"N")=0,"",_xlfn.MAXIFS(Sets!$H$2:$H$2000,Sets!$A$2:$A$2000,$A39,Sets!$D$2:$D$2000,AM$1,Sets!$J$2:$J$2000,"N"))</f>
        <v/>
      </c>
      <c r="AN39">
        <f>IF(_xlfn.MAXIFS(Sets!$H$2:$H$2000,Sets!$A$2:$A$2000,$A39,Sets!$D$2:$D$2000,AN$1,Sets!$J$2:$J$2000,"N")=0,"",_xlfn.MAXIFS(Sets!$H$2:$H$2000,Sets!$A$2:$A$2000,$A39,Sets!$D$2:$D$2000,AN$1,Sets!$J$2:$J$2000,"N"))</f>
        <v/>
      </c>
      <c r="AO39">
        <f>IF(_xlfn.MAXIFS(Sets!$H$2:$H$2000,Sets!$A$2:$A$2000,$A39,Sets!$D$2:$D$2000,AO$1,Sets!$J$2:$J$2000,"N")=0,"",_xlfn.MAXIFS(Sets!$H$2:$H$2000,Sets!$A$2:$A$2000,$A39,Sets!$D$2:$D$2000,AO$1,Sets!$J$2:$J$2000,"N"))</f>
        <v/>
      </c>
      <c r="AP39">
        <f>IF(_xlfn.MAXIFS(Sets!$H$2:$H$2000,Sets!$A$2:$A$2000,$A39,Sets!$D$2:$D$2000,AP$1,Sets!$J$2:$J$2000,"N")=0,"",_xlfn.MAXIFS(Sets!$H$2:$H$2000,Sets!$A$2:$A$2000,$A39,Sets!$D$2:$D$2000,AP$1,Sets!$J$2:$J$2000,"N"))</f>
        <v/>
      </c>
    </row>
    <row r="40" ht="15" customHeight="1" s="22">
      <c r="A40" s="39" t="n">
        <v>46185</v>
      </c>
      <c r="B40" s="26">
        <f>IF(_xlfn.MAXIFS(Sets!$H$2:$H$2000,Sets!$A$2:$A$2000,$A40,Sets!$D$2:$D$2000,B$1,Sets!$J$2:$J$2000,"N")=0,"",_xlfn.MAXIFS(Sets!$H$2:$H$2000,Sets!$A$2:$A$2000,$A40,Sets!$D$2:$D$2000,B$1,Sets!$J$2:$J$2000,"N"))</f>
        <v/>
      </c>
      <c r="C40" s="26">
        <f>IF(_xlfn.MAXIFS(Sets!$H$2:$H$2000,Sets!$A$2:$A$2000,$A40,Sets!$D$2:$D$2000,C$1,Sets!$J$2:$J$2000,"N")=0,"",_xlfn.MAXIFS(Sets!$H$2:$H$2000,Sets!$A$2:$A$2000,$A40,Sets!$D$2:$D$2000,C$1,Sets!$J$2:$J$2000,"N"))</f>
        <v/>
      </c>
      <c r="D40" s="26">
        <f>IF(_xlfn.MAXIFS(Sets!$H$2:$H$2000,Sets!$A$2:$A$2000,$A40,Sets!$D$2:$D$2000,D$1,Sets!$J$2:$J$2000,"N")=0,"",_xlfn.MAXIFS(Sets!$H$2:$H$2000,Sets!$A$2:$A$2000,$A40,Sets!$D$2:$D$2000,D$1,Sets!$J$2:$J$2000,"N"))</f>
        <v/>
      </c>
      <c r="E40" s="26">
        <f>IF(_xlfn.MAXIFS(Sets!$H$2:$H$2000,Sets!$A$2:$A$2000,$A40,Sets!$D$2:$D$2000,E$1,Sets!$J$2:$J$2000,"N")=0,"",_xlfn.MAXIFS(Sets!$H$2:$H$2000,Sets!$A$2:$A$2000,$A40,Sets!$D$2:$D$2000,E$1,Sets!$J$2:$J$2000,"N"))</f>
        <v/>
      </c>
      <c r="F40" s="26">
        <f>IF(_xlfn.MAXIFS(Sets!$H$2:$H$2000,Sets!$A$2:$A$2000,$A40,Sets!$D$2:$D$2000,F$1,Sets!$J$2:$J$2000,"N")=0,"",_xlfn.MAXIFS(Sets!$H$2:$H$2000,Sets!$A$2:$A$2000,$A40,Sets!$D$2:$D$2000,F$1,Sets!$J$2:$J$2000,"N"))</f>
        <v/>
      </c>
      <c r="G40" s="26">
        <f>IF(_xlfn.MAXIFS(Sets!$H$2:$H$2000,Sets!$A$2:$A$2000,$A40,Sets!$D$2:$D$2000,G$1,Sets!$J$2:$J$2000,"N")=0,"",_xlfn.MAXIFS(Sets!$H$2:$H$2000,Sets!$A$2:$A$2000,$A40,Sets!$D$2:$D$2000,G$1,Sets!$J$2:$J$2000,"N"))</f>
        <v/>
      </c>
      <c r="H40" s="26">
        <f>IF(_xlfn.MAXIFS(Sets!$H$2:$H$2000,Sets!$A$2:$A$2000,$A40,Sets!$D$2:$D$2000,H$1,Sets!$J$2:$J$2000,"N")=0,"",_xlfn.MAXIFS(Sets!$H$2:$H$2000,Sets!$A$2:$A$2000,$A40,Sets!$D$2:$D$2000,H$1,Sets!$J$2:$J$2000,"N"))</f>
        <v/>
      </c>
      <c r="I40" s="26">
        <f>IF(_xlfn.MAXIFS(Sets!$H$2:$H$2000,Sets!$A$2:$A$2000,$A40,Sets!$D$2:$D$2000,I$1,Sets!$J$2:$J$2000,"N")=0,"",_xlfn.MAXIFS(Sets!$H$2:$H$2000,Sets!$A$2:$A$2000,$A40,Sets!$D$2:$D$2000,I$1,Sets!$J$2:$J$2000,"N"))</f>
        <v/>
      </c>
      <c r="J40" s="26">
        <f>IF(_xlfn.MAXIFS(Sets!$H$2:$H$2000,Sets!$A$2:$A$2000,$A40,Sets!$D$2:$D$2000,J$1,Sets!$J$2:$J$2000,"N")=0,"",_xlfn.MAXIFS(Sets!$H$2:$H$2000,Sets!$A$2:$A$2000,$A40,Sets!$D$2:$D$2000,J$1,Sets!$J$2:$J$2000,"N"))</f>
        <v/>
      </c>
      <c r="K40" s="26">
        <f>IF(_xlfn.MAXIFS(Sets!$H$2:$H$2000,Sets!$A$2:$A$2000,$A40,Sets!$D$2:$D$2000,K$1,Sets!$J$2:$J$2000,"N")=0,"",_xlfn.MAXIFS(Sets!$H$2:$H$2000,Sets!$A$2:$A$2000,$A40,Sets!$D$2:$D$2000,K$1,Sets!$J$2:$J$2000,"N"))</f>
        <v/>
      </c>
      <c r="L40" s="26">
        <f>IF(_xlfn.MAXIFS(Sets!$H$2:$H$2000,Sets!$A$2:$A$2000,$A40,Sets!$D$2:$D$2000,L$1,Sets!$J$2:$J$2000,"N")=0,"",_xlfn.MAXIFS(Sets!$H$2:$H$2000,Sets!$A$2:$A$2000,$A40,Sets!$D$2:$D$2000,L$1,Sets!$J$2:$J$2000,"N"))</f>
        <v/>
      </c>
      <c r="M40" s="26">
        <f>IF(_xlfn.MAXIFS(Sets!$H$2:$H$2000,Sets!$A$2:$A$2000,$A40,Sets!$D$2:$D$2000,M$1,Sets!$J$2:$J$2000,"N")=0,"",_xlfn.MAXIFS(Sets!$H$2:$H$2000,Sets!$A$2:$A$2000,$A40,Sets!$D$2:$D$2000,M$1,Sets!$J$2:$J$2000,"N"))</f>
        <v/>
      </c>
      <c r="N40" s="26">
        <f>IF(_xlfn.MAXIFS(Sets!$H$2:$H$2000,Sets!$A$2:$A$2000,$A40,Sets!$D$2:$D$2000,N$1,Sets!$J$2:$J$2000,"N")=0,"",_xlfn.MAXIFS(Sets!$H$2:$H$2000,Sets!$A$2:$A$2000,$A40,Sets!$D$2:$D$2000,N$1,Sets!$J$2:$J$2000,"N"))</f>
        <v/>
      </c>
      <c r="O40" s="26">
        <f>IF(_xlfn.MAXIFS(Sets!$H$2:$H$2000,Sets!$A$2:$A$2000,$A40,Sets!$D$2:$D$2000,O$1,Sets!$J$2:$J$2000,"N")=0,"",_xlfn.MAXIFS(Sets!$H$2:$H$2000,Sets!$A$2:$A$2000,$A40,Sets!$D$2:$D$2000,O$1,Sets!$J$2:$J$2000,"N"))</f>
        <v/>
      </c>
      <c r="P40" s="26">
        <f>IF(_xlfn.MAXIFS(Sets!$H$2:$H$2000,Sets!$A$2:$A$2000,$A40,Sets!$D$2:$D$2000,P$1,Sets!$J$2:$J$2000,"N")=0,"",_xlfn.MAXIFS(Sets!$H$2:$H$2000,Sets!$A$2:$A$2000,$A40,Sets!$D$2:$D$2000,P$1,Sets!$J$2:$J$2000,"N"))</f>
        <v/>
      </c>
      <c r="Q40" s="26">
        <f>IF(_xlfn.MAXIFS(Sets!$H$2:$H$2000,Sets!$A$2:$A$2000,$A40,Sets!$D$2:$D$2000,Q$1,Sets!$J$2:$J$2000,"N")=0,"",_xlfn.MAXIFS(Sets!$H$2:$H$2000,Sets!$A$2:$A$2000,$A40,Sets!$D$2:$D$2000,Q$1,Sets!$J$2:$J$2000,"N"))</f>
        <v/>
      </c>
      <c r="R40" s="26">
        <f>IF(_xlfn.MAXIFS(Sets!$H$2:$H$2000,Sets!$A$2:$A$2000,$A40,Sets!$D$2:$D$2000,R$1,Sets!$J$2:$J$2000,"N")=0,"",_xlfn.MAXIFS(Sets!$H$2:$H$2000,Sets!$A$2:$A$2000,$A40,Sets!$D$2:$D$2000,R$1,Sets!$J$2:$J$2000,"N"))</f>
        <v/>
      </c>
      <c r="S40" s="26">
        <f>IF(_xlfn.MAXIFS(Sets!$H$2:$H$2000,Sets!$A$2:$A$2000,$A40,Sets!$D$2:$D$2000,S$1,Sets!$J$2:$J$2000,"N")=0,"",_xlfn.MAXIFS(Sets!$H$2:$H$2000,Sets!$A$2:$A$2000,$A40,Sets!$D$2:$D$2000,S$1,Sets!$J$2:$J$2000,"N"))</f>
        <v/>
      </c>
      <c r="T40" s="26">
        <f>IF(_xlfn.MAXIFS(Sets!$H$2:$H$2000,Sets!$A$2:$A$2000,$A40,Sets!$D$2:$D$2000,T$1,Sets!$J$2:$J$2000,"N")=0,"",_xlfn.MAXIFS(Sets!$H$2:$H$2000,Sets!$A$2:$A$2000,$A40,Sets!$D$2:$D$2000,T$1,Sets!$J$2:$J$2000,"N"))</f>
        <v/>
      </c>
      <c r="U40" s="26">
        <f>IF(_xlfn.MAXIFS(Sets!$H$2:$H$2000,Sets!$A$2:$A$2000,$A40,Sets!$D$2:$D$2000,U$1,Sets!$J$2:$J$2000,"N")=0,"",_xlfn.MAXIFS(Sets!$H$2:$H$2000,Sets!$A$2:$A$2000,$A40,Sets!$D$2:$D$2000,U$1,Sets!$J$2:$J$2000,"N"))</f>
        <v/>
      </c>
      <c r="V40" s="26">
        <f>IF(_xlfn.MAXIFS(Sets!$H$2:$H$2000,Sets!$A$2:$A$2000,$A40,Sets!$D$2:$D$2000,V$1,Sets!$J$2:$J$2000,"N")=0,"",_xlfn.MAXIFS(Sets!$H$2:$H$2000,Sets!$A$2:$A$2000,$A40,Sets!$D$2:$D$2000,V$1,Sets!$J$2:$J$2000,"N"))</f>
        <v/>
      </c>
      <c r="W40" s="26">
        <f>IF(_xlfn.MAXIFS(Sets!$H$2:$H$2000,Sets!$A$2:$A$2000,$A40,Sets!$D$2:$D$2000,W$1,Sets!$J$2:$J$2000,"N")=0,"",_xlfn.MAXIFS(Sets!$H$2:$H$2000,Sets!$A$2:$A$2000,$A40,Sets!$D$2:$D$2000,W$1,Sets!$J$2:$J$2000,"N"))</f>
        <v/>
      </c>
      <c r="X40" s="26">
        <f>IF(_xlfn.MAXIFS(Sets!$H$2:$H$2000,Sets!$A$2:$A$2000,$A40,Sets!$D$2:$D$2000,X$1,Sets!$J$2:$J$2000,"N")=0,"",_xlfn.MAXIFS(Sets!$H$2:$H$2000,Sets!$A$2:$A$2000,$A40,Sets!$D$2:$D$2000,X$1,Sets!$J$2:$J$2000,"N"))</f>
        <v/>
      </c>
      <c r="Y40" s="26">
        <f>IF(_xlfn.MAXIFS(Sets!$H$2:$H$2000,Sets!$A$2:$A$2000,$A40,Sets!$D$2:$D$2000,Y$1,Sets!$J$2:$J$2000,"N")=0,"",_xlfn.MAXIFS(Sets!$H$2:$H$2000,Sets!$A$2:$A$2000,$A40,Sets!$D$2:$D$2000,Y$1,Sets!$J$2:$J$2000,"N"))</f>
        <v/>
      </c>
      <c r="Z40" s="26">
        <f>IF(_xlfn.MAXIFS(Sets!$H$2:$H$2000,Sets!$A$2:$A$2000,$A40,Sets!$D$2:$D$2000,Z$1,Sets!$J$2:$J$2000,"N")=0,"",_xlfn.MAXIFS(Sets!$H$2:$H$2000,Sets!$A$2:$A$2000,$A40,Sets!$D$2:$D$2000,Z$1,Sets!$J$2:$J$2000,"N"))</f>
        <v/>
      </c>
      <c r="AA40" s="26">
        <f>IF(_xlfn.MAXIFS(Sets!$H$2:$H$2000,Sets!$A$2:$A$2000,$A40,Sets!$D$2:$D$2000,AA$1,Sets!$J$2:$J$2000,"N")=0,"",_xlfn.MAXIFS(Sets!$H$2:$H$2000,Sets!$A$2:$A$2000,$A40,Sets!$D$2:$D$2000,AA$1,Sets!$J$2:$J$2000,"N"))</f>
        <v/>
      </c>
      <c r="AB40" s="26">
        <f>IF(_xlfn.MAXIFS(Sets!$H$2:$H$2000,Sets!$A$2:$A$2000,$A40,Sets!$D$2:$D$2000,AB$1,Sets!$J$2:$J$2000,"N")=0,"",_xlfn.MAXIFS(Sets!$H$2:$H$2000,Sets!$A$2:$A$2000,$A40,Sets!$D$2:$D$2000,AB$1,Sets!$J$2:$J$2000,"N"))</f>
        <v/>
      </c>
      <c r="AC40" s="26">
        <f>IF(_xlfn.MAXIFS(Sets!$H$2:$H$2000,Sets!$A$2:$A$2000,$A40,Sets!$D$2:$D$2000,AC$1,Sets!$J$2:$J$2000,"N")=0,"",_xlfn.MAXIFS(Sets!$H$2:$H$2000,Sets!$A$2:$A$2000,$A40,Sets!$D$2:$D$2000,AC$1,Sets!$J$2:$J$2000,"N"))</f>
        <v/>
      </c>
      <c r="AD40" s="26">
        <f>IF(_xlfn.MAXIFS(Sets!$H$2:$H$2000,Sets!$A$2:$A$2000,$A40,Sets!$D$2:$D$2000,AD$1,Sets!$J$2:$J$2000,"N")=0,"",_xlfn.MAXIFS(Sets!$H$2:$H$2000,Sets!$A$2:$A$2000,$A40,Sets!$D$2:$D$2000,AD$1,Sets!$J$2:$J$2000,"N"))</f>
        <v/>
      </c>
      <c r="AE40" s="26">
        <f>IF(_xlfn.MAXIFS(Sets!$H$2:$H$2000,Sets!$A$2:$A$2000,$A40,Sets!$D$2:$D$2000,AE$1,Sets!$J$2:$J$2000,"N")=0,"",_xlfn.MAXIFS(Sets!$H$2:$H$2000,Sets!$A$2:$A$2000,$A40,Sets!$D$2:$D$2000,AE$1,Sets!$J$2:$J$2000,"N"))</f>
        <v/>
      </c>
      <c r="AF40" s="26">
        <f>IF(_xlfn.MAXIFS(Sets!$H$2:$H$2000,Sets!$A$2:$A$2000,$A40,Sets!$D$2:$D$2000,AF$1,Sets!$J$2:$J$2000,"N")=0,"",_xlfn.MAXIFS(Sets!$H$2:$H$2000,Sets!$A$2:$A$2000,$A40,Sets!$D$2:$D$2000,AF$1,Sets!$J$2:$J$2000,"N"))</f>
        <v/>
      </c>
      <c r="AG40" s="26">
        <f>IF(_xlfn.MAXIFS(Sets!$H$2:$H$2000,Sets!$A$2:$A$2000,$A40,Sets!$D$2:$D$2000,AG$1,Sets!$J$2:$J$2000,"N")=0,"",_xlfn.MAXIFS(Sets!$H$2:$H$2000,Sets!$A$2:$A$2000,$A40,Sets!$D$2:$D$2000,AG$1,Sets!$J$2:$J$2000,"N"))</f>
        <v/>
      </c>
      <c r="AH40" s="26">
        <f>IF(_xlfn.MAXIFS(Sets!$H$2:$H$2000,Sets!$A$2:$A$2000,$A40,Sets!$D$2:$D$2000,AH$1,Sets!$J$2:$J$2000,"N")=0,"",_xlfn.MAXIFS(Sets!$H$2:$H$2000,Sets!$A$2:$A$2000,$A40,Sets!$D$2:$D$2000,AH$1,Sets!$J$2:$J$2000,"N"))</f>
        <v/>
      </c>
      <c r="AI40">
        <f>IF(_xlfn.MAXIFS(Sets!$H$2:$H$2000,Sets!$A$2:$A$2000,$A40,Sets!$D$2:$D$2000,AI$1,Sets!$J$2:$J$2000,"N")=0,"",_xlfn.MAXIFS(Sets!$H$2:$H$2000,Sets!$A$2:$A$2000,$A40,Sets!$D$2:$D$2000,AI$1,Sets!$J$2:$J$2000,"N"))</f>
        <v/>
      </c>
      <c r="AJ40">
        <f>IF(_xlfn.MAXIFS(Sets!$H$2:$H$2000,Sets!$A$2:$A$2000,$A40,Sets!$D$2:$D$2000,AJ$1,Sets!$J$2:$J$2000,"N")=0,"",_xlfn.MAXIFS(Sets!$H$2:$H$2000,Sets!$A$2:$A$2000,$A40,Sets!$D$2:$D$2000,AJ$1,Sets!$J$2:$J$2000,"N"))</f>
        <v/>
      </c>
      <c r="AK40">
        <f>IF(_xlfn.MAXIFS(Sets!$H$2:$H$2000,Sets!$A$2:$A$2000,$A40,Sets!$D$2:$D$2000,AK$1,Sets!$J$2:$J$2000,"N")=0,"",_xlfn.MAXIFS(Sets!$H$2:$H$2000,Sets!$A$2:$A$2000,$A40,Sets!$D$2:$D$2000,AK$1,Sets!$J$2:$J$2000,"N"))</f>
        <v/>
      </c>
      <c r="AL40">
        <f>IF(_xlfn.MAXIFS(Sets!$H$2:$H$2000,Sets!$A$2:$A$2000,$A40,Sets!$D$2:$D$2000,AL$1,Sets!$J$2:$J$2000,"N")=0,"",_xlfn.MAXIFS(Sets!$H$2:$H$2000,Sets!$A$2:$A$2000,$A40,Sets!$D$2:$D$2000,AL$1,Sets!$J$2:$J$2000,"N"))</f>
        <v/>
      </c>
      <c r="AM40">
        <f>IF(_xlfn.MAXIFS(Sets!$H$2:$H$2000,Sets!$A$2:$A$2000,$A40,Sets!$D$2:$D$2000,AM$1,Sets!$J$2:$J$2000,"N")=0,"",_xlfn.MAXIFS(Sets!$H$2:$H$2000,Sets!$A$2:$A$2000,$A40,Sets!$D$2:$D$2000,AM$1,Sets!$J$2:$J$2000,"N"))</f>
        <v/>
      </c>
      <c r="AN40">
        <f>IF(_xlfn.MAXIFS(Sets!$H$2:$H$2000,Sets!$A$2:$A$2000,$A40,Sets!$D$2:$D$2000,AN$1,Sets!$J$2:$J$2000,"N")=0,"",_xlfn.MAXIFS(Sets!$H$2:$H$2000,Sets!$A$2:$A$2000,$A40,Sets!$D$2:$D$2000,AN$1,Sets!$J$2:$J$2000,"N"))</f>
        <v/>
      </c>
      <c r="AO40">
        <f>IF(_xlfn.MAXIFS(Sets!$H$2:$H$2000,Sets!$A$2:$A$2000,$A40,Sets!$D$2:$D$2000,AO$1,Sets!$J$2:$J$2000,"N")=0,"",_xlfn.MAXIFS(Sets!$H$2:$H$2000,Sets!$A$2:$A$2000,$A40,Sets!$D$2:$D$2000,AO$1,Sets!$J$2:$J$2000,"N"))</f>
        <v/>
      </c>
      <c r="AP40">
        <f>IF(_xlfn.MAXIFS(Sets!$H$2:$H$2000,Sets!$A$2:$A$2000,$A40,Sets!$D$2:$D$2000,AP$1,Sets!$J$2:$J$2000,"N")=0,"",_xlfn.MAXIFS(Sets!$H$2:$H$2000,Sets!$A$2:$A$2000,$A40,Sets!$D$2:$D$2000,AP$1,Sets!$J$2:$J$2000,"N"))</f>
        <v/>
      </c>
    </row>
    <row r="41" ht="15" customHeight="1" s="22">
      <c r="A41" s="39" t="n">
        <v>46189</v>
      </c>
      <c r="B41" s="26">
        <f>IF(_xlfn.MAXIFS(Sets!$H$2:$H$2000,Sets!$A$2:$A$2000,$A41,Sets!$D$2:$D$2000,B$1,Sets!$J$2:$J$2000,"N")=0,"",_xlfn.MAXIFS(Sets!$H$2:$H$2000,Sets!$A$2:$A$2000,$A41,Sets!$D$2:$D$2000,B$1,Sets!$J$2:$J$2000,"N"))</f>
        <v/>
      </c>
      <c r="C41" s="26">
        <f>IF(_xlfn.MAXIFS(Sets!$H$2:$H$2000,Sets!$A$2:$A$2000,$A41,Sets!$D$2:$D$2000,C$1,Sets!$J$2:$J$2000,"N")=0,"",_xlfn.MAXIFS(Sets!$H$2:$H$2000,Sets!$A$2:$A$2000,$A41,Sets!$D$2:$D$2000,C$1,Sets!$J$2:$J$2000,"N"))</f>
        <v/>
      </c>
      <c r="D41" s="26">
        <f>IF(_xlfn.MAXIFS(Sets!$H$2:$H$2000,Sets!$A$2:$A$2000,$A41,Sets!$D$2:$D$2000,D$1,Sets!$J$2:$J$2000,"N")=0,"",_xlfn.MAXIFS(Sets!$H$2:$H$2000,Sets!$A$2:$A$2000,$A41,Sets!$D$2:$D$2000,D$1,Sets!$J$2:$J$2000,"N"))</f>
        <v/>
      </c>
      <c r="E41" s="26">
        <f>IF(_xlfn.MAXIFS(Sets!$H$2:$H$2000,Sets!$A$2:$A$2000,$A41,Sets!$D$2:$D$2000,E$1,Sets!$J$2:$J$2000,"N")=0,"",_xlfn.MAXIFS(Sets!$H$2:$H$2000,Sets!$A$2:$A$2000,$A41,Sets!$D$2:$D$2000,E$1,Sets!$J$2:$J$2000,"N"))</f>
        <v/>
      </c>
      <c r="F41" s="26">
        <f>IF(_xlfn.MAXIFS(Sets!$H$2:$H$2000,Sets!$A$2:$A$2000,$A41,Sets!$D$2:$D$2000,F$1,Sets!$J$2:$J$2000,"N")=0,"",_xlfn.MAXIFS(Sets!$H$2:$H$2000,Sets!$A$2:$A$2000,$A41,Sets!$D$2:$D$2000,F$1,Sets!$J$2:$J$2000,"N"))</f>
        <v/>
      </c>
      <c r="G41" s="26">
        <f>IF(_xlfn.MAXIFS(Sets!$H$2:$H$2000,Sets!$A$2:$A$2000,$A41,Sets!$D$2:$D$2000,G$1,Sets!$J$2:$J$2000,"N")=0,"",_xlfn.MAXIFS(Sets!$H$2:$H$2000,Sets!$A$2:$A$2000,$A41,Sets!$D$2:$D$2000,G$1,Sets!$J$2:$J$2000,"N"))</f>
        <v/>
      </c>
      <c r="H41" s="26">
        <f>IF(_xlfn.MAXIFS(Sets!$H$2:$H$2000,Sets!$A$2:$A$2000,$A41,Sets!$D$2:$D$2000,H$1,Sets!$J$2:$J$2000,"N")=0,"",_xlfn.MAXIFS(Sets!$H$2:$H$2000,Sets!$A$2:$A$2000,$A41,Sets!$D$2:$D$2000,H$1,Sets!$J$2:$J$2000,"N"))</f>
        <v/>
      </c>
      <c r="I41" s="26">
        <f>IF(_xlfn.MAXIFS(Sets!$H$2:$H$2000,Sets!$A$2:$A$2000,$A41,Sets!$D$2:$D$2000,I$1,Sets!$J$2:$J$2000,"N")=0,"",_xlfn.MAXIFS(Sets!$H$2:$H$2000,Sets!$A$2:$A$2000,$A41,Sets!$D$2:$D$2000,I$1,Sets!$J$2:$J$2000,"N"))</f>
        <v/>
      </c>
      <c r="J41" s="26">
        <f>IF(_xlfn.MAXIFS(Sets!$H$2:$H$2000,Sets!$A$2:$A$2000,$A41,Sets!$D$2:$D$2000,J$1,Sets!$J$2:$J$2000,"N")=0,"",_xlfn.MAXIFS(Sets!$H$2:$H$2000,Sets!$A$2:$A$2000,$A41,Sets!$D$2:$D$2000,J$1,Sets!$J$2:$J$2000,"N"))</f>
        <v/>
      </c>
      <c r="K41" s="26">
        <f>IF(_xlfn.MAXIFS(Sets!$H$2:$H$2000,Sets!$A$2:$A$2000,$A41,Sets!$D$2:$D$2000,K$1,Sets!$J$2:$J$2000,"N")=0,"",_xlfn.MAXIFS(Sets!$H$2:$H$2000,Sets!$A$2:$A$2000,$A41,Sets!$D$2:$D$2000,K$1,Sets!$J$2:$J$2000,"N"))</f>
        <v/>
      </c>
      <c r="L41" s="26">
        <f>IF(_xlfn.MAXIFS(Sets!$H$2:$H$2000,Sets!$A$2:$A$2000,$A41,Sets!$D$2:$D$2000,L$1,Sets!$J$2:$J$2000,"N")=0,"",_xlfn.MAXIFS(Sets!$H$2:$H$2000,Sets!$A$2:$A$2000,$A41,Sets!$D$2:$D$2000,L$1,Sets!$J$2:$J$2000,"N"))</f>
        <v/>
      </c>
      <c r="M41" s="26">
        <f>IF(_xlfn.MAXIFS(Sets!$H$2:$H$2000,Sets!$A$2:$A$2000,$A41,Sets!$D$2:$D$2000,M$1,Sets!$J$2:$J$2000,"N")=0,"",_xlfn.MAXIFS(Sets!$H$2:$H$2000,Sets!$A$2:$A$2000,$A41,Sets!$D$2:$D$2000,M$1,Sets!$J$2:$J$2000,"N"))</f>
        <v/>
      </c>
      <c r="N41" s="26">
        <f>IF(_xlfn.MAXIFS(Sets!$H$2:$H$2000,Sets!$A$2:$A$2000,$A41,Sets!$D$2:$D$2000,N$1,Sets!$J$2:$J$2000,"N")=0,"",_xlfn.MAXIFS(Sets!$H$2:$H$2000,Sets!$A$2:$A$2000,$A41,Sets!$D$2:$D$2000,N$1,Sets!$J$2:$J$2000,"N"))</f>
        <v/>
      </c>
      <c r="O41" s="26">
        <f>IF(_xlfn.MAXIFS(Sets!$H$2:$H$2000,Sets!$A$2:$A$2000,$A41,Sets!$D$2:$D$2000,O$1,Sets!$J$2:$J$2000,"N")=0,"",_xlfn.MAXIFS(Sets!$H$2:$H$2000,Sets!$A$2:$A$2000,$A41,Sets!$D$2:$D$2000,O$1,Sets!$J$2:$J$2000,"N"))</f>
        <v/>
      </c>
      <c r="P41" s="26">
        <f>IF(_xlfn.MAXIFS(Sets!$H$2:$H$2000,Sets!$A$2:$A$2000,$A41,Sets!$D$2:$D$2000,P$1,Sets!$J$2:$J$2000,"N")=0,"",_xlfn.MAXIFS(Sets!$H$2:$H$2000,Sets!$A$2:$A$2000,$A41,Sets!$D$2:$D$2000,P$1,Sets!$J$2:$J$2000,"N"))</f>
        <v/>
      </c>
      <c r="Q41" s="26">
        <f>IF(_xlfn.MAXIFS(Sets!$H$2:$H$2000,Sets!$A$2:$A$2000,$A41,Sets!$D$2:$D$2000,Q$1,Sets!$J$2:$J$2000,"N")=0,"",_xlfn.MAXIFS(Sets!$H$2:$H$2000,Sets!$A$2:$A$2000,$A41,Sets!$D$2:$D$2000,Q$1,Sets!$J$2:$J$2000,"N"))</f>
        <v/>
      </c>
      <c r="R41" s="26">
        <f>IF(_xlfn.MAXIFS(Sets!$H$2:$H$2000,Sets!$A$2:$A$2000,$A41,Sets!$D$2:$D$2000,R$1,Sets!$J$2:$J$2000,"N")=0,"",_xlfn.MAXIFS(Sets!$H$2:$H$2000,Sets!$A$2:$A$2000,$A41,Sets!$D$2:$D$2000,R$1,Sets!$J$2:$J$2000,"N"))</f>
        <v/>
      </c>
      <c r="S41" s="26">
        <f>IF(_xlfn.MAXIFS(Sets!$H$2:$H$2000,Sets!$A$2:$A$2000,$A41,Sets!$D$2:$D$2000,S$1,Sets!$J$2:$J$2000,"N")=0,"",_xlfn.MAXIFS(Sets!$H$2:$H$2000,Sets!$A$2:$A$2000,$A41,Sets!$D$2:$D$2000,S$1,Sets!$J$2:$J$2000,"N"))</f>
        <v/>
      </c>
      <c r="T41" s="26">
        <f>IF(_xlfn.MAXIFS(Sets!$H$2:$H$2000,Sets!$A$2:$A$2000,$A41,Sets!$D$2:$D$2000,T$1,Sets!$J$2:$J$2000,"N")=0,"",_xlfn.MAXIFS(Sets!$H$2:$H$2000,Sets!$A$2:$A$2000,$A41,Sets!$D$2:$D$2000,T$1,Sets!$J$2:$J$2000,"N"))</f>
        <v/>
      </c>
      <c r="U41" s="26">
        <f>IF(_xlfn.MAXIFS(Sets!$H$2:$H$2000,Sets!$A$2:$A$2000,$A41,Sets!$D$2:$D$2000,U$1,Sets!$J$2:$J$2000,"N")=0,"",_xlfn.MAXIFS(Sets!$H$2:$H$2000,Sets!$A$2:$A$2000,$A41,Sets!$D$2:$D$2000,U$1,Sets!$J$2:$J$2000,"N"))</f>
        <v/>
      </c>
      <c r="V41" s="26">
        <f>IF(_xlfn.MAXIFS(Sets!$H$2:$H$2000,Sets!$A$2:$A$2000,$A41,Sets!$D$2:$D$2000,V$1,Sets!$J$2:$J$2000,"N")=0,"",_xlfn.MAXIFS(Sets!$H$2:$H$2000,Sets!$A$2:$A$2000,$A41,Sets!$D$2:$D$2000,V$1,Sets!$J$2:$J$2000,"N"))</f>
        <v/>
      </c>
      <c r="W41" s="26">
        <f>IF(_xlfn.MAXIFS(Sets!$H$2:$H$2000,Sets!$A$2:$A$2000,$A41,Sets!$D$2:$D$2000,W$1,Sets!$J$2:$J$2000,"N")=0,"",_xlfn.MAXIFS(Sets!$H$2:$H$2000,Sets!$A$2:$A$2000,$A41,Sets!$D$2:$D$2000,W$1,Sets!$J$2:$J$2000,"N"))</f>
        <v/>
      </c>
      <c r="X41" s="26">
        <f>IF(_xlfn.MAXIFS(Sets!$H$2:$H$2000,Sets!$A$2:$A$2000,$A41,Sets!$D$2:$D$2000,X$1,Sets!$J$2:$J$2000,"N")=0,"",_xlfn.MAXIFS(Sets!$H$2:$H$2000,Sets!$A$2:$A$2000,$A41,Sets!$D$2:$D$2000,X$1,Sets!$J$2:$J$2000,"N"))</f>
        <v/>
      </c>
      <c r="Y41" s="26">
        <f>IF(_xlfn.MAXIFS(Sets!$H$2:$H$2000,Sets!$A$2:$A$2000,$A41,Sets!$D$2:$D$2000,Y$1,Sets!$J$2:$J$2000,"N")=0,"",_xlfn.MAXIFS(Sets!$H$2:$H$2000,Sets!$A$2:$A$2000,$A41,Sets!$D$2:$D$2000,Y$1,Sets!$J$2:$J$2000,"N"))</f>
        <v/>
      </c>
      <c r="Z41" s="26">
        <f>IF(_xlfn.MAXIFS(Sets!$H$2:$H$2000,Sets!$A$2:$A$2000,$A41,Sets!$D$2:$D$2000,Z$1,Sets!$J$2:$J$2000,"N")=0,"",_xlfn.MAXIFS(Sets!$H$2:$H$2000,Sets!$A$2:$A$2000,$A41,Sets!$D$2:$D$2000,Z$1,Sets!$J$2:$J$2000,"N"))</f>
        <v/>
      </c>
      <c r="AA41" s="26">
        <f>IF(_xlfn.MAXIFS(Sets!$H$2:$H$2000,Sets!$A$2:$A$2000,$A41,Sets!$D$2:$D$2000,AA$1,Sets!$J$2:$J$2000,"N")=0,"",_xlfn.MAXIFS(Sets!$H$2:$H$2000,Sets!$A$2:$A$2000,$A41,Sets!$D$2:$D$2000,AA$1,Sets!$J$2:$J$2000,"N"))</f>
        <v/>
      </c>
      <c r="AB41" s="26">
        <f>IF(_xlfn.MAXIFS(Sets!$H$2:$H$2000,Sets!$A$2:$A$2000,$A41,Sets!$D$2:$D$2000,AB$1,Sets!$J$2:$J$2000,"N")=0,"",_xlfn.MAXIFS(Sets!$H$2:$H$2000,Sets!$A$2:$A$2000,$A41,Sets!$D$2:$D$2000,AB$1,Sets!$J$2:$J$2000,"N"))</f>
        <v/>
      </c>
      <c r="AC41" s="26">
        <f>IF(_xlfn.MAXIFS(Sets!$H$2:$H$2000,Sets!$A$2:$A$2000,$A41,Sets!$D$2:$D$2000,AC$1,Sets!$J$2:$J$2000,"N")=0,"",_xlfn.MAXIFS(Sets!$H$2:$H$2000,Sets!$A$2:$A$2000,$A41,Sets!$D$2:$D$2000,AC$1,Sets!$J$2:$J$2000,"N"))</f>
        <v/>
      </c>
      <c r="AD41" s="26">
        <f>IF(_xlfn.MAXIFS(Sets!$H$2:$H$2000,Sets!$A$2:$A$2000,$A41,Sets!$D$2:$D$2000,AD$1,Sets!$J$2:$J$2000,"N")=0,"",_xlfn.MAXIFS(Sets!$H$2:$H$2000,Sets!$A$2:$A$2000,$A41,Sets!$D$2:$D$2000,AD$1,Sets!$J$2:$J$2000,"N"))</f>
        <v/>
      </c>
      <c r="AE41" s="26">
        <f>IF(_xlfn.MAXIFS(Sets!$H$2:$H$2000,Sets!$A$2:$A$2000,$A41,Sets!$D$2:$D$2000,AE$1,Sets!$J$2:$J$2000,"N")=0,"",_xlfn.MAXIFS(Sets!$H$2:$H$2000,Sets!$A$2:$A$2000,$A41,Sets!$D$2:$D$2000,AE$1,Sets!$J$2:$J$2000,"N"))</f>
        <v/>
      </c>
      <c r="AF41" s="26">
        <f>IF(_xlfn.MAXIFS(Sets!$H$2:$H$2000,Sets!$A$2:$A$2000,$A41,Sets!$D$2:$D$2000,AF$1,Sets!$J$2:$J$2000,"N")=0,"",_xlfn.MAXIFS(Sets!$H$2:$H$2000,Sets!$A$2:$A$2000,$A41,Sets!$D$2:$D$2000,AF$1,Sets!$J$2:$J$2000,"N"))</f>
        <v/>
      </c>
      <c r="AG41" s="26">
        <f>IF(_xlfn.MAXIFS(Sets!$H$2:$H$2000,Sets!$A$2:$A$2000,$A41,Sets!$D$2:$D$2000,AG$1,Sets!$J$2:$J$2000,"N")=0,"",_xlfn.MAXIFS(Sets!$H$2:$H$2000,Sets!$A$2:$A$2000,$A41,Sets!$D$2:$D$2000,AG$1,Sets!$J$2:$J$2000,"N"))</f>
        <v/>
      </c>
      <c r="AH41" s="26">
        <f>IF(_xlfn.MAXIFS(Sets!$H$2:$H$2000,Sets!$A$2:$A$2000,$A41,Sets!$D$2:$D$2000,AH$1,Sets!$J$2:$J$2000,"N")=0,"",_xlfn.MAXIFS(Sets!$H$2:$H$2000,Sets!$A$2:$A$2000,$A41,Sets!$D$2:$D$2000,AH$1,Sets!$J$2:$J$2000,"N"))</f>
        <v/>
      </c>
      <c r="AI41">
        <f>IF(_xlfn.MAXIFS(Sets!$H$2:$H$2000,Sets!$A$2:$A$2000,$A41,Sets!$D$2:$D$2000,AI$1,Sets!$J$2:$J$2000,"N")=0,"",_xlfn.MAXIFS(Sets!$H$2:$H$2000,Sets!$A$2:$A$2000,$A41,Sets!$D$2:$D$2000,AI$1,Sets!$J$2:$J$2000,"N"))</f>
        <v/>
      </c>
      <c r="AJ41">
        <f>IF(_xlfn.MAXIFS(Sets!$H$2:$H$2000,Sets!$A$2:$A$2000,$A41,Sets!$D$2:$D$2000,AJ$1,Sets!$J$2:$J$2000,"N")=0,"",_xlfn.MAXIFS(Sets!$H$2:$H$2000,Sets!$A$2:$A$2000,$A41,Sets!$D$2:$D$2000,AJ$1,Sets!$J$2:$J$2000,"N"))</f>
        <v/>
      </c>
      <c r="AK41">
        <f>IF(_xlfn.MAXIFS(Sets!$H$2:$H$2000,Sets!$A$2:$A$2000,$A41,Sets!$D$2:$D$2000,AK$1,Sets!$J$2:$J$2000,"N")=0,"",_xlfn.MAXIFS(Sets!$H$2:$H$2000,Sets!$A$2:$A$2000,$A41,Sets!$D$2:$D$2000,AK$1,Sets!$J$2:$J$2000,"N"))</f>
        <v/>
      </c>
      <c r="AL41">
        <f>IF(_xlfn.MAXIFS(Sets!$H$2:$H$2000,Sets!$A$2:$A$2000,$A41,Sets!$D$2:$D$2000,AL$1,Sets!$J$2:$J$2000,"N")=0,"",_xlfn.MAXIFS(Sets!$H$2:$H$2000,Sets!$A$2:$A$2000,$A41,Sets!$D$2:$D$2000,AL$1,Sets!$J$2:$J$2000,"N"))</f>
        <v/>
      </c>
      <c r="AM41">
        <f>IF(_xlfn.MAXIFS(Sets!$H$2:$H$2000,Sets!$A$2:$A$2000,$A41,Sets!$D$2:$D$2000,AM$1,Sets!$J$2:$J$2000,"N")=0,"",_xlfn.MAXIFS(Sets!$H$2:$H$2000,Sets!$A$2:$A$2000,$A41,Sets!$D$2:$D$2000,AM$1,Sets!$J$2:$J$2000,"N"))</f>
        <v/>
      </c>
      <c r="AN41">
        <f>IF(_xlfn.MAXIFS(Sets!$H$2:$H$2000,Sets!$A$2:$A$2000,$A41,Sets!$D$2:$D$2000,AN$1,Sets!$J$2:$J$2000,"N")=0,"",_xlfn.MAXIFS(Sets!$H$2:$H$2000,Sets!$A$2:$A$2000,$A41,Sets!$D$2:$D$2000,AN$1,Sets!$J$2:$J$2000,"N"))</f>
        <v/>
      </c>
      <c r="AO41">
        <f>IF(_xlfn.MAXIFS(Sets!$H$2:$H$2000,Sets!$A$2:$A$2000,$A41,Sets!$D$2:$D$2000,AO$1,Sets!$J$2:$J$2000,"N")=0,"",_xlfn.MAXIFS(Sets!$H$2:$H$2000,Sets!$A$2:$A$2000,$A41,Sets!$D$2:$D$2000,AO$1,Sets!$J$2:$J$2000,"N"))</f>
        <v/>
      </c>
      <c r="AP41">
        <f>IF(_xlfn.MAXIFS(Sets!$H$2:$H$2000,Sets!$A$2:$A$2000,$A41,Sets!$D$2:$D$2000,AP$1,Sets!$J$2:$J$2000,"N")=0,"",_xlfn.MAXIFS(Sets!$H$2:$H$2000,Sets!$A$2:$A$2000,$A41,Sets!$D$2:$D$2000,AP$1,Sets!$J$2:$J$2000,"N"))</f>
        <v/>
      </c>
    </row>
    <row r="42" ht="15" customHeight="1" s="22">
      <c r="A42" s="39" t="n">
        <v>46191</v>
      </c>
      <c r="B42" s="26">
        <f>IF(_xlfn.MAXIFS(Sets!$H$2:$H$2000,Sets!$A$2:$A$2000,$A42,Sets!$D$2:$D$2000,B$1,Sets!$J$2:$J$2000,"N")=0,"",_xlfn.MAXIFS(Sets!$H$2:$H$2000,Sets!$A$2:$A$2000,$A42,Sets!$D$2:$D$2000,B$1,Sets!$J$2:$J$2000,"N"))</f>
        <v/>
      </c>
      <c r="C42" s="26">
        <f>IF(_xlfn.MAXIFS(Sets!$H$2:$H$2000,Sets!$A$2:$A$2000,$A42,Sets!$D$2:$D$2000,C$1,Sets!$J$2:$J$2000,"N")=0,"",_xlfn.MAXIFS(Sets!$H$2:$H$2000,Sets!$A$2:$A$2000,$A42,Sets!$D$2:$D$2000,C$1,Sets!$J$2:$J$2000,"N"))</f>
        <v/>
      </c>
      <c r="D42" s="26">
        <f>IF(_xlfn.MAXIFS(Sets!$H$2:$H$2000,Sets!$A$2:$A$2000,$A42,Sets!$D$2:$D$2000,D$1,Sets!$J$2:$J$2000,"N")=0,"",_xlfn.MAXIFS(Sets!$H$2:$H$2000,Sets!$A$2:$A$2000,$A42,Sets!$D$2:$D$2000,D$1,Sets!$J$2:$J$2000,"N"))</f>
        <v/>
      </c>
      <c r="E42" s="26">
        <f>IF(_xlfn.MAXIFS(Sets!$H$2:$H$2000,Sets!$A$2:$A$2000,$A42,Sets!$D$2:$D$2000,E$1,Sets!$J$2:$J$2000,"N")=0,"",_xlfn.MAXIFS(Sets!$H$2:$H$2000,Sets!$A$2:$A$2000,$A42,Sets!$D$2:$D$2000,E$1,Sets!$J$2:$J$2000,"N"))</f>
        <v/>
      </c>
      <c r="F42" s="26">
        <f>IF(_xlfn.MAXIFS(Sets!$H$2:$H$2000,Sets!$A$2:$A$2000,$A42,Sets!$D$2:$D$2000,F$1,Sets!$J$2:$J$2000,"N")=0,"",_xlfn.MAXIFS(Sets!$H$2:$H$2000,Sets!$A$2:$A$2000,$A42,Sets!$D$2:$D$2000,F$1,Sets!$J$2:$J$2000,"N"))</f>
        <v/>
      </c>
      <c r="G42" s="26">
        <f>IF(_xlfn.MAXIFS(Sets!$H$2:$H$2000,Sets!$A$2:$A$2000,$A42,Sets!$D$2:$D$2000,G$1,Sets!$J$2:$J$2000,"N")=0,"",_xlfn.MAXIFS(Sets!$H$2:$H$2000,Sets!$A$2:$A$2000,$A42,Sets!$D$2:$D$2000,G$1,Sets!$J$2:$J$2000,"N"))</f>
        <v/>
      </c>
      <c r="H42" s="26">
        <f>IF(_xlfn.MAXIFS(Sets!$H$2:$H$2000,Sets!$A$2:$A$2000,$A42,Sets!$D$2:$D$2000,H$1,Sets!$J$2:$J$2000,"N")=0,"",_xlfn.MAXIFS(Sets!$H$2:$H$2000,Sets!$A$2:$A$2000,$A42,Sets!$D$2:$D$2000,H$1,Sets!$J$2:$J$2000,"N"))</f>
        <v/>
      </c>
      <c r="I42" s="26">
        <f>IF(_xlfn.MAXIFS(Sets!$H$2:$H$2000,Sets!$A$2:$A$2000,$A42,Sets!$D$2:$D$2000,I$1,Sets!$J$2:$J$2000,"N")=0,"",_xlfn.MAXIFS(Sets!$H$2:$H$2000,Sets!$A$2:$A$2000,$A42,Sets!$D$2:$D$2000,I$1,Sets!$J$2:$J$2000,"N"))</f>
        <v/>
      </c>
      <c r="J42" s="26">
        <f>IF(_xlfn.MAXIFS(Sets!$H$2:$H$2000,Sets!$A$2:$A$2000,$A42,Sets!$D$2:$D$2000,J$1,Sets!$J$2:$J$2000,"N")=0,"",_xlfn.MAXIFS(Sets!$H$2:$H$2000,Sets!$A$2:$A$2000,$A42,Sets!$D$2:$D$2000,J$1,Sets!$J$2:$J$2000,"N"))</f>
        <v/>
      </c>
      <c r="K42" s="26">
        <f>IF(_xlfn.MAXIFS(Sets!$H$2:$H$2000,Sets!$A$2:$A$2000,$A42,Sets!$D$2:$D$2000,K$1,Sets!$J$2:$J$2000,"N")=0,"",_xlfn.MAXIFS(Sets!$H$2:$H$2000,Sets!$A$2:$A$2000,$A42,Sets!$D$2:$D$2000,K$1,Sets!$J$2:$J$2000,"N"))</f>
        <v/>
      </c>
      <c r="L42" s="26">
        <f>IF(_xlfn.MAXIFS(Sets!$H$2:$H$2000,Sets!$A$2:$A$2000,$A42,Sets!$D$2:$D$2000,L$1,Sets!$J$2:$J$2000,"N")=0,"",_xlfn.MAXIFS(Sets!$H$2:$H$2000,Sets!$A$2:$A$2000,$A42,Sets!$D$2:$D$2000,L$1,Sets!$J$2:$J$2000,"N"))</f>
        <v/>
      </c>
      <c r="M42" s="26">
        <f>IF(_xlfn.MAXIFS(Sets!$H$2:$H$2000,Sets!$A$2:$A$2000,$A42,Sets!$D$2:$D$2000,M$1,Sets!$J$2:$J$2000,"N")=0,"",_xlfn.MAXIFS(Sets!$H$2:$H$2000,Sets!$A$2:$A$2000,$A42,Sets!$D$2:$D$2000,M$1,Sets!$J$2:$J$2000,"N"))</f>
        <v/>
      </c>
      <c r="N42" s="26">
        <f>IF(_xlfn.MAXIFS(Sets!$H$2:$H$2000,Sets!$A$2:$A$2000,$A42,Sets!$D$2:$D$2000,N$1,Sets!$J$2:$J$2000,"N")=0,"",_xlfn.MAXIFS(Sets!$H$2:$H$2000,Sets!$A$2:$A$2000,$A42,Sets!$D$2:$D$2000,N$1,Sets!$J$2:$J$2000,"N"))</f>
        <v/>
      </c>
      <c r="O42" s="26">
        <f>IF(_xlfn.MAXIFS(Sets!$H$2:$H$2000,Sets!$A$2:$A$2000,$A42,Sets!$D$2:$D$2000,O$1,Sets!$J$2:$J$2000,"N")=0,"",_xlfn.MAXIFS(Sets!$H$2:$H$2000,Sets!$A$2:$A$2000,$A42,Sets!$D$2:$D$2000,O$1,Sets!$J$2:$J$2000,"N"))</f>
        <v/>
      </c>
      <c r="P42" s="26">
        <f>IF(_xlfn.MAXIFS(Sets!$H$2:$H$2000,Sets!$A$2:$A$2000,$A42,Sets!$D$2:$D$2000,P$1,Sets!$J$2:$J$2000,"N")=0,"",_xlfn.MAXIFS(Sets!$H$2:$H$2000,Sets!$A$2:$A$2000,$A42,Sets!$D$2:$D$2000,P$1,Sets!$J$2:$J$2000,"N"))</f>
        <v/>
      </c>
      <c r="Q42" s="26">
        <f>IF(_xlfn.MAXIFS(Sets!$H$2:$H$2000,Sets!$A$2:$A$2000,$A42,Sets!$D$2:$D$2000,Q$1,Sets!$J$2:$J$2000,"N")=0,"",_xlfn.MAXIFS(Sets!$H$2:$H$2000,Sets!$A$2:$A$2000,$A42,Sets!$D$2:$D$2000,Q$1,Sets!$J$2:$J$2000,"N"))</f>
        <v/>
      </c>
      <c r="R42" s="26">
        <f>IF(_xlfn.MAXIFS(Sets!$H$2:$H$2000,Sets!$A$2:$A$2000,$A42,Sets!$D$2:$D$2000,R$1,Sets!$J$2:$J$2000,"N")=0,"",_xlfn.MAXIFS(Sets!$H$2:$H$2000,Sets!$A$2:$A$2000,$A42,Sets!$D$2:$D$2000,R$1,Sets!$J$2:$J$2000,"N"))</f>
        <v/>
      </c>
      <c r="S42" s="26">
        <f>IF(_xlfn.MAXIFS(Sets!$H$2:$H$2000,Sets!$A$2:$A$2000,$A42,Sets!$D$2:$D$2000,S$1,Sets!$J$2:$J$2000,"N")=0,"",_xlfn.MAXIFS(Sets!$H$2:$H$2000,Sets!$A$2:$A$2000,$A42,Sets!$D$2:$D$2000,S$1,Sets!$J$2:$J$2000,"N"))</f>
        <v/>
      </c>
      <c r="T42" s="26">
        <f>IF(_xlfn.MAXIFS(Sets!$H$2:$H$2000,Sets!$A$2:$A$2000,$A42,Sets!$D$2:$D$2000,T$1,Sets!$J$2:$J$2000,"N")=0,"",_xlfn.MAXIFS(Sets!$H$2:$H$2000,Sets!$A$2:$A$2000,$A42,Sets!$D$2:$D$2000,T$1,Sets!$J$2:$J$2000,"N"))</f>
        <v/>
      </c>
      <c r="U42" s="26">
        <f>IF(_xlfn.MAXIFS(Sets!$H$2:$H$2000,Sets!$A$2:$A$2000,$A42,Sets!$D$2:$D$2000,U$1,Sets!$J$2:$J$2000,"N")=0,"",_xlfn.MAXIFS(Sets!$H$2:$H$2000,Sets!$A$2:$A$2000,$A42,Sets!$D$2:$D$2000,U$1,Sets!$J$2:$J$2000,"N"))</f>
        <v/>
      </c>
      <c r="V42" s="26">
        <f>IF(_xlfn.MAXIFS(Sets!$H$2:$H$2000,Sets!$A$2:$A$2000,$A42,Sets!$D$2:$D$2000,V$1,Sets!$J$2:$J$2000,"N")=0,"",_xlfn.MAXIFS(Sets!$H$2:$H$2000,Sets!$A$2:$A$2000,$A42,Sets!$D$2:$D$2000,V$1,Sets!$J$2:$J$2000,"N"))</f>
        <v/>
      </c>
      <c r="W42" s="26">
        <f>IF(_xlfn.MAXIFS(Sets!$H$2:$H$2000,Sets!$A$2:$A$2000,$A42,Sets!$D$2:$D$2000,W$1,Sets!$J$2:$J$2000,"N")=0,"",_xlfn.MAXIFS(Sets!$H$2:$H$2000,Sets!$A$2:$A$2000,$A42,Sets!$D$2:$D$2000,W$1,Sets!$J$2:$J$2000,"N"))</f>
        <v/>
      </c>
      <c r="X42" s="26">
        <f>IF(_xlfn.MAXIFS(Sets!$H$2:$H$2000,Sets!$A$2:$A$2000,$A42,Sets!$D$2:$D$2000,X$1,Sets!$J$2:$J$2000,"N")=0,"",_xlfn.MAXIFS(Sets!$H$2:$H$2000,Sets!$A$2:$A$2000,$A42,Sets!$D$2:$D$2000,X$1,Sets!$J$2:$J$2000,"N"))</f>
        <v/>
      </c>
      <c r="Y42" s="26">
        <f>IF(_xlfn.MAXIFS(Sets!$H$2:$H$2000,Sets!$A$2:$A$2000,$A42,Sets!$D$2:$D$2000,Y$1,Sets!$J$2:$J$2000,"N")=0,"",_xlfn.MAXIFS(Sets!$H$2:$H$2000,Sets!$A$2:$A$2000,$A42,Sets!$D$2:$D$2000,Y$1,Sets!$J$2:$J$2000,"N"))</f>
        <v/>
      </c>
      <c r="Z42" s="26">
        <f>IF(_xlfn.MAXIFS(Sets!$H$2:$H$2000,Sets!$A$2:$A$2000,$A42,Sets!$D$2:$D$2000,Z$1,Sets!$J$2:$J$2000,"N")=0,"",_xlfn.MAXIFS(Sets!$H$2:$H$2000,Sets!$A$2:$A$2000,$A42,Sets!$D$2:$D$2000,Z$1,Sets!$J$2:$J$2000,"N"))</f>
        <v/>
      </c>
      <c r="AA42" s="26">
        <f>IF(_xlfn.MAXIFS(Sets!$H$2:$H$2000,Sets!$A$2:$A$2000,$A42,Sets!$D$2:$D$2000,AA$1,Sets!$J$2:$J$2000,"N")=0,"",_xlfn.MAXIFS(Sets!$H$2:$H$2000,Sets!$A$2:$A$2000,$A42,Sets!$D$2:$D$2000,AA$1,Sets!$J$2:$J$2000,"N"))</f>
        <v/>
      </c>
      <c r="AB42" s="26">
        <f>IF(_xlfn.MAXIFS(Sets!$H$2:$H$2000,Sets!$A$2:$A$2000,$A42,Sets!$D$2:$D$2000,AB$1,Sets!$J$2:$J$2000,"N")=0,"",_xlfn.MAXIFS(Sets!$H$2:$H$2000,Sets!$A$2:$A$2000,$A42,Sets!$D$2:$D$2000,AB$1,Sets!$J$2:$J$2000,"N"))</f>
        <v/>
      </c>
      <c r="AC42" s="26">
        <f>IF(_xlfn.MAXIFS(Sets!$H$2:$H$2000,Sets!$A$2:$A$2000,$A42,Sets!$D$2:$D$2000,AC$1,Sets!$J$2:$J$2000,"N")=0,"",_xlfn.MAXIFS(Sets!$H$2:$H$2000,Sets!$A$2:$A$2000,$A42,Sets!$D$2:$D$2000,AC$1,Sets!$J$2:$J$2000,"N"))</f>
        <v/>
      </c>
      <c r="AD42" s="26">
        <f>IF(_xlfn.MAXIFS(Sets!$H$2:$H$2000,Sets!$A$2:$A$2000,$A42,Sets!$D$2:$D$2000,AD$1,Sets!$J$2:$J$2000,"N")=0,"",_xlfn.MAXIFS(Sets!$H$2:$H$2000,Sets!$A$2:$A$2000,$A42,Sets!$D$2:$D$2000,AD$1,Sets!$J$2:$J$2000,"N"))</f>
        <v/>
      </c>
      <c r="AE42" s="26">
        <f>IF(_xlfn.MAXIFS(Sets!$H$2:$H$2000,Sets!$A$2:$A$2000,$A42,Sets!$D$2:$D$2000,AE$1,Sets!$J$2:$J$2000,"N")=0,"",_xlfn.MAXIFS(Sets!$H$2:$H$2000,Sets!$A$2:$A$2000,$A42,Sets!$D$2:$D$2000,AE$1,Sets!$J$2:$J$2000,"N"))</f>
        <v/>
      </c>
      <c r="AF42" s="26">
        <f>IF(_xlfn.MAXIFS(Sets!$H$2:$H$2000,Sets!$A$2:$A$2000,$A42,Sets!$D$2:$D$2000,AF$1,Sets!$J$2:$J$2000,"N")=0,"",_xlfn.MAXIFS(Sets!$H$2:$H$2000,Sets!$A$2:$A$2000,$A42,Sets!$D$2:$D$2000,AF$1,Sets!$J$2:$J$2000,"N"))</f>
        <v/>
      </c>
      <c r="AG42" s="26">
        <f>IF(_xlfn.MAXIFS(Sets!$H$2:$H$2000,Sets!$A$2:$A$2000,$A42,Sets!$D$2:$D$2000,AG$1,Sets!$J$2:$J$2000,"N")=0,"",_xlfn.MAXIFS(Sets!$H$2:$H$2000,Sets!$A$2:$A$2000,$A42,Sets!$D$2:$D$2000,AG$1,Sets!$J$2:$J$2000,"N"))</f>
        <v/>
      </c>
      <c r="AH42" s="26">
        <f>IF(_xlfn.MAXIFS(Sets!$H$2:$H$2000,Sets!$A$2:$A$2000,$A42,Sets!$D$2:$D$2000,AH$1,Sets!$J$2:$J$2000,"N")=0,"",_xlfn.MAXIFS(Sets!$H$2:$H$2000,Sets!$A$2:$A$2000,$A42,Sets!$D$2:$D$2000,AH$1,Sets!$J$2:$J$2000,"N"))</f>
        <v/>
      </c>
      <c r="AI42">
        <f>IF(_xlfn.MAXIFS(Sets!$H$2:$H$2000,Sets!$A$2:$A$2000,$A42,Sets!$D$2:$D$2000,AI$1,Sets!$J$2:$J$2000,"N")=0,"",_xlfn.MAXIFS(Sets!$H$2:$H$2000,Sets!$A$2:$A$2000,$A42,Sets!$D$2:$D$2000,AI$1,Sets!$J$2:$J$2000,"N"))</f>
        <v/>
      </c>
      <c r="AJ42">
        <f>IF(_xlfn.MAXIFS(Sets!$H$2:$H$2000,Sets!$A$2:$A$2000,$A42,Sets!$D$2:$D$2000,AJ$1,Sets!$J$2:$J$2000,"N")=0,"",_xlfn.MAXIFS(Sets!$H$2:$H$2000,Sets!$A$2:$A$2000,$A42,Sets!$D$2:$D$2000,AJ$1,Sets!$J$2:$J$2000,"N"))</f>
        <v/>
      </c>
      <c r="AK42">
        <f>IF(_xlfn.MAXIFS(Sets!$H$2:$H$2000,Sets!$A$2:$A$2000,$A42,Sets!$D$2:$D$2000,AK$1,Sets!$J$2:$J$2000,"N")=0,"",_xlfn.MAXIFS(Sets!$H$2:$H$2000,Sets!$A$2:$A$2000,$A42,Sets!$D$2:$D$2000,AK$1,Sets!$J$2:$J$2000,"N"))</f>
        <v/>
      </c>
      <c r="AL42">
        <f>IF(_xlfn.MAXIFS(Sets!$H$2:$H$2000,Sets!$A$2:$A$2000,$A42,Sets!$D$2:$D$2000,AL$1,Sets!$J$2:$J$2000,"N")=0,"",_xlfn.MAXIFS(Sets!$H$2:$H$2000,Sets!$A$2:$A$2000,$A42,Sets!$D$2:$D$2000,AL$1,Sets!$J$2:$J$2000,"N"))</f>
        <v/>
      </c>
      <c r="AM42">
        <f>IF(_xlfn.MAXIFS(Sets!$H$2:$H$2000,Sets!$A$2:$A$2000,$A42,Sets!$D$2:$D$2000,AM$1,Sets!$J$2:$J$2000,"N")=0,"",_xlfn.MAXIFS(Sets!$H$2:$H$2000,Sets!$A$2:$A$2000,$A42,Sets!$D$2:$D$2000,AM$1,Sets!$J$2:$J$2000,"N"))</f>
        <v/>
      </c>
      <c r="AN42">
        <f>IF(_xlfn.MAXIFS(Sets!$H$2:$H$2000,Sets!$A$2:$A$2000,$A42,Sets!$D$2:$D$2000,AN$1,Sets!$J$2:$J$2000,"N")=0,"",_xlfn.MAXIFS(Sets!$H$2:$H$2000,Sets!$A$2:$A$2000,$A42,Sets!$D$2:$D$2000,AN$1,Sets!$J$2:$J$2000,"N"))</f>
        <v/>
      </c>
      <c r="AO42">
        <f>IF(_xlfn.MAXIFS(Sets!$H$2:$H$2000,Sets!$A$2:$A$2000,$A42,Sets!$D$2:$D$2000,AO$1,Sets!$J$2:$J$2000,"N")=0,"",_xlfn.MAXIFS(Sets!$H$2:$H$2000,Sets!$A$2:$A$2000,$A42,Sets!$D$2:$D$2000,AO$1,Sets!$J$2:$J$2000,"N"))</f>
        <v/>
      </c>
      <c r="AP42">
        <f>IF(_xlfn.MAXIFS(Sets!$H$2:$H$2000,Sets!$A$2:$A$2000,$A42,Sets!$D$2:$D$2000,AP$1,Sets!$J$2:$J$2000,"N")=0,"",_xlfn.MAXIFS(Sets!$H$2:$H$2000,Sets!$A$2:$A$2000,$A42,Sets!$D$2:$D$2000,AP$1,Sets!$J$2:$J$2000,"N"))</f>
        <v/>
      </c>
    </row>
    <row r="43" ht="15" customHeight="1" s="22">
      <c r="A43" s="39" t="n">
        <v>46196</v>
      </c>
      <c r="B43" s="26">
        <f>IF(_xlfn.MAXIFS(Sets!$H$2:$H$2000,Sets!$A$2:$A$2000,$A43,Sets!$D$2:$D$2000,B$1,Sets!$J$2:$J$2000,"N")=0,"",_xlfn.MAXIFS(Sets!$H$2:$H$2000,Sets!$A$2:$A$2000,$A43,Sets!$D$2:$D$2000,B$1,Sets!$J$2:$J$2000,"N"))</f>
        <v/>
      </c>
      <c r="C43" s="26">
        <f>IF(_xlfn.MAXIFS(Sets!$H$2:$H$2000,Sets!$A$2:$A$2000,$A43,Sets!$D$2:$D$2000,C$1,Sets!$J$2:$J$2000,"N")=0,"",_xlfn.MAXIFS(Sets!$H$2:$H$2000,Sets!$A$2:$A$2000,$A43,Sets!$D$2:$D$2000,C$1,Sets!$J$2:$J$2000,"N"))</f>
        <v/>
      </c>
      <c r="D43" s="26">
        <f>IF(_xlfn.MAXIFS(Sets!$H$2:$H$2000,Sets!$A$2:$A$2000,$A43,Sets!$D$2:$D$2000,D$1,Sets!$J$2:$J$2000,"N")=0,"",_xlfn.MAXIFS(Sets!$H$2:$H$2000,Sets!$A$2:$A$2000,$A43,Sets!$D$2:$D$2000,D$1,Sets!$J$2:$J$2000,"N"))</f>
        <v/>
      </c>
      <c r="E43" s="26">
        <f>IF(_xlfn.MAXIFS(Sets!$H$2:$H$2000,Sets!$A$2:$A$2000,$A43,Sets!$D$2:$D$2000,E$1,Sets!$J$2:$J$2000,"N")=0,"",_xlfn.MAXIFS(Sets!$H$2:$H$2000,Sets!$A$2:$A$2000,$A43,Sets!$D$2:$D$2000,E$1,Sets!$J$2:$J$2000,"N"))</f>
        <v/>
      </c>
      <c r="F43" s="26">
        <f>IF(_xlfn.MAXIFS(Sets!$H$2:$H$2000,Sets!$A$2:$A$2000,$A43,Sets!$D$2:$D$2000,F$1,Sets!$J$2:$J$2000,"N")=0,"",_xlfn.MAXIFS(Sets!$H$2:$H$2000,Sets!$A$2:$A$2000,$A43,Sets!$D$2:$D$2000,F$1,Sets!$J$2:$J$2000,"N"))</f>
        <v/>
      </c>
      <c r="G43" s="26">
        <f>IF(_xlfn.MAXIFS(Sets!$H$2:$H$2000,Sets!$A$2:$A$2000,$A43,Sets!$D$2:$D$2000,G$1,Sets!$J$2:$J$2000,"N")=0,"",_xlfn.MAXIFS(Sets!$H$2:$H$2000,Sets!$A$2:$A$2000,$A43,Sets!$D$2:$D$2000,G$1,Sets!$J$2:$J$2000,"N"))</f>
        <v/>
      </c>
      <c r="H43" s="26">
        <f>IF(_xlfn.MAXIFS(Sets!$H$2:$H$2000,Sets!$A$2:$A$2000,$A43,Sets!$D$2:$D$2000,H$1,Sets!$J$2:$J$2000,"N")=0,"",_xlfn.MAXIFS(Sets!$H$2:$H$2000,Sets!$A$2:$A$2000,$A43,Sets!$D$2:$D$2000,H$1,Sets!$J$2:$J$2000,"N"))</f>
        <v/>
      </c>
      <c r="I43" s="26">
        <f>IF(_xlfn.MAXIFS(Sets!$H$2:$H$2000,Sets!$A$2:$A$2000,$A43,Sets!$D$2:$D$2000,I$1,Sets!$J$2:$J$2000,"N")=0,"",_xlfn.MAXIFS(Sets!$H$2:$H$2000,Sets!$A$2:$A$2000,$A43,Sets!$D$2:$D$2000,I$1,Sets!$J$2:$J$2000,"N"))</f>
        <v/>
      </c>
      <c r="J43" s="26">
        <f>IF(_xlfn.MAXIFS(Sets!$H$2:$H$2000,Sets!$A$2:$A$2000,$A43,Sets!$D$2:$D$2000,J$1,Sets!$J$2:$J$2000,"N")=0,"",_xlfn.MAXIFS(Sets!$H$2:$H$2000,Sets!$A$2:$A$2000,$A43,Sets!$D$2:$D$2000,J$1,Sets!$J$2:$J$2000,"N"))</f>
        <v/>
      </c>
      <c r="K43" s="26">
        <f>IF(_xlfn.MAXIFS(Sets!$H$2:$H$2000,Sets!$A$2:$A$2000,$A43,Sets!$D$2:$D$2000,K$1,Sets!$J$2:$J$2000,"N")=0,"",_xlfn.MAXIFS(Sets!$H$2:$H$2000,Sets!$A$2:$A$2000,$A43,Sets!$D$2:$D$2000,K$1,Sets!$J$2:$J$2000,"N"))</f>
        <v/>
      </c>
      <c r="L43" s="26">
        <f>IF(_xlfn.MAXIFS(Sets!$H$2:$H$2000,Sets!$A$2:$A$2000,$A43,Sets!$D$2:$D$2000,L$1,Sets!$J$2:$J$2000,"N")=0,"",_xlfn.MAXIFS(Sets!$H$2:$H$2000,Sets!$A$2:$A$2000,$A43,Sets!$D$2:$D$2000,L$1,Sets!$J$2:$J$2000,"N"))</f>
        <v/>
      </c>
      <c r="M43" s="26">
        <f>IF(_xlfn.MAXIFS(Sets!$H$2:$H$2000,Sets!$A$2:$A$2000,$A43,Sets!$D$2:$D$2000,M$1,Sets!$J$2:$J$2000,"N")=0,"",_xlfn.MAXIFS(Sets!$H$2:$H$2000,Sets!$A$2:$A$2000,$A43,Sets!$D$2:$D$2000,M$1,Sets!$J$2:$J$2000,"N"))</f>
        <v/>
      </c>
      <c r="N43" s="26">
        <f>IF(_xlfn.MAXIFS(Sets!$H$2:$H$2000,Sets!$A$2:$A$2000,$A43,Sets!$D$2:$D$2000,N$1,Sets!$J$2:$J$2000,"N")=0,"",_xlfn.MAXIFS(Sets!$H$2:$H$2000,Sets!$A$2:$A$2000,$A43,Sets!$D$2:$D$2000,N$1,Sets!$J$2:$J$2000,"N"))</f>
        <v/>
      </c>
      <c r="O43" s="26">
        <f>IF(_xlfn.MAXIFS(Sets!$H$2:$H$2000,Sets!$A$2:$A$2000,$A43,Sets!$D$2:$D$2000,O$1,Sets!$J$2:$J$2000,"N")=0,"",_xlfn.MAXIFS(Sets!$H$2:$H$2000,Sets!$A$2:$A$2000,$A43,Sets!$D$2:$D$2000,O$1,Sets!$J$2:$J$2000,"N"))</f>
        <v/>
      </c>
      <c r="P43" s="26">
        <f>IF(_xlfn.MAXIFS(Sets!$H$2:$H$2000,Sets!$A$2:$A$2000,$A43,Sets!$D$2:$D$2000,P$1,Sets!$J$2:$J$2000,"N")=0,"",_xlfn.MAXIFS(Sets!$H$2:$H$2000,Sets!$A$2:$A$2000,$A43,Sets!$D$2:$D$2000,P$1,Sets!$J$2:$J$2000,"N"))</f>
        <v/>
      </c>
      <c r="Q43" s="26">
        <f>IF(_xlfn.MAXIFS(Sets!$H$2:$H$2000,Sets!$A$2:$A$2000,$A43,Sets!$D$2:$D$2000,Q$1,Sets!$J$2:$J$2000,"N")=0,"",_xlfn.MAXIFS(Sets!$H$2:$H$2000,Sets!$A$2:$A$2000,$A43,Sets!$D$2:$D$2000,Q$1,Sets!$J$2:$J$2000,"N"))</f>
        <v/>
      </c>
      <c r="R43" s="26">
        <f>IF(_xlfn.MAXIFS(Sets!$H$2:$H$2000,Sets!$A$2:$A$2000,$A43,Sets!$D$2:$D$2000,R$1,Sets!$J$2:$J$2000,"N")=0,"",_xlfn.MAXIFS(Sets!$H$2:$H$2000,Sets!$A$2:$A$2000,$A43,Sets!$D$2:$D$2000,R$1,Sets!$J$2:$J$2000,"N"))</f>
        <v/>
      </c>
      <c r="S43" s="26">
        <f>IF(_xlfn.MAXIFS(Sets!$H$2:$H$2000,Sets!$A$2:$A$2000,$A43,Sets!$D$2:$D$2000,S$1,Sets!$J$2:$J$2000,"N")=0,"",_xlfn.MAXIFS(Sets!$H$2:$H$2000,Sets!$A$2:$A$2000,$A43,Sets!$D$2:$D$2000,S$1,Sets!$J$2:$J$2000,"N"))</f>
        <v/>
      </c>
      <c r="T43" s="26">
        <f>IF(_xlfn.MAXIFS(Sets!$H$2:$H$2000,Sets!$A$2:$A$2000,$A43,Sets!$D$2:$D$2000,T$1,Sets!$J$2:$J$2000,"N")=0,"",_xlfn.MAXIFS(Sets!$H$2:$H$2000,Sets!$A$2:$A$2000,$A43,Sets!$D$2:$D$2000,T$1,Sets!$J$2:$J$2000,"N"))</f>
        <v/>
      </c>
      <c r="U43" s="26">
        <f>IF(_xlfn.MAXIFS(Sets!$H$2:$H$2000,Sets!$A$2:$A$2000,$A43,Sets!$D$2:$D$2000,U$1,Sets!$J$2:$J$2000,"N")=0,"",_xlfn.MAXIFS(Sets!$H$2:$H$2000,Sets!$A$2:$A$2000,$A43,Sets!$D$2:$D$2000,U$1,Sets!$J$2:$J$2000,"N"))</f>
        <v/>
      </c>
      <c r="V43" s="26">
        <f>IF(_xlfn.MAXIFS(Sets!$H$2:$H$2000,Sets!$A$2:$A$2000,$A43,Sets!$D$2:$D$2000,V$1,Sets!$J$2:$J$2000,"N")=0,"",_xlfn.MAXIFS(Sets!$H$2:$H$2000,Sets!$A$2:$A$2000,$A43,Sets!$D$2:$D$2000,V$1,Sets!$J$2:$J$2000,"N"))</f>
        <v/>
      </c>
      <c r="W43" s="26">
        <f>IF(_xlfn.MAXIFS(Sets!$H$2:$H$2000,Sets!$A$2:$A$2000,$A43,Sets!$D$2:$D$2000,W$1,Sets!$J$2:$J$2000,"N")=0,"",_xlfn.MAXIFS(Sets!$H$2:$H$2000,Sets!$A$2:$A$2000,$A43,Sets!$D$2:$D$2000,W$1,Sets!$J$2:$J$2000,"N"))</f>
        <v/>
      </c>
      <c r="X43" s="26">
        <f>IF(_xlfn.MAXIFS(Sets!$H$2:$H$2000,Sets!$A$2:$A$2000,$A43,Sets!$D$2:$D$2000,X$1,Sets!$J$2:$J$2000,"N")=0,"",_xlfn.MAXIFS(Sets!$H$2:$H$2000,Sets!$A$2:$A$2000,$A43,Sets!$D$2:$D$2000,X$1,Sets!$J$2:$J$2000,"N"))</f>
        <v/>
      </c>
      <c r="Y43" s="26">
        <f>IF(_xlfn.MAXIFS(Sets!$H$2:$H$2000,Sets!$A$2:$A$2000,$A43,Sets!$D$2:$D$2000,Y$1,Sets!$J$2:$J$2000,"N")=0,"",_xlfn.MAXIFS(Sets!$H$2:$H$2000,Sets!$A$2:$A$2000,$A43,Sets!$D$2:$D$2000,Y$1,Sets!$J$2:$J$2000,"N"))</f>
        <v/>
      </c>
      <c r="Z43" s="26">
        <f>IF(_xlfn.MAXIFS(Sets!$H$2:$H$2000,Sets!$A$2:$A$2000,$A43,Sets!$D$2:$D$2000,Z$1,Sets!$J$2:$J$2000,"N")=0,"",_xlfn.MAXIFS(Sets!$H$2:$H$2000,Sets!$A$2:$A$2000,$A43,Sets!$D$2:$D$2000,Z$1,Sets!$J$2:$J$2000,"N"))</f>
        <v/>
      </c>
      <c r="AA43" s="26">
        <f>IF(_xlfn.MAXIFS(Sets!$H$2:$H$2000,Sets!$A$2:$A$2000,$A43,Sets!$D$2:$D$2000,AA$1,Sets!$J$2:$J$2000,"N")=0,"",_xlfn.MAXIFS(Sets!$H$2:$H$2000,Sets!$A$2:$A$2000,$A43,Sets!$D$2:$D$2000,AA$1,Sets!$J$2:$J$2000,"N"))</f>
        <v/>
      </c>
      <c r="AB43" s="26">
        <f>IF(_xlfn.MAXIFS(Sets!$H$2:$H$2000,Sets!$A$2:$A$2000,$A43,Sets!$D$2:$D$2000,AB$1,Sets!$J$2:$J$2000,"N")=0,"",_xlfn.MAXIFS(Sets!$H$2:$H$2000,Sets!$A$2:$A$2000,$A43,Sets!$D$2:$D$2000,AB$1,Sets!$J$2:$J$2000,"N"))</f>
        <v/>
      </c>
      <c r="AC43" s="26">
        <f>IF(_xlfn.MAXIFS(Sets!$H$2:$H$2000,Sets!$A$2:$A$2000,$A43,Sets!$D$2:$D$2000,AC$1,Sets!$J$2:$J$2000,"N")=0,"",_xlfn.MAXIFS(Sets!$H$2:$H$2000,Sets!$A$2:$A$2000,$A43,Sets!$D$2:$D$2000,AC$1,Sets!$J$2:$J$2000,"N"))</f>
        <v/>
      </c>
      <c r="AD43" s="26">
        <f>IF(_xlfn.MAXIFS(Sets!$H$2:$H$2000,Sets!$A$2:$A$2000,$A43,Sets!$D$2:$D$2000,AD$1,Sets!$J$2:$J$2000,"N")=0,"",_xlfn.MAXIFS(Sets!$H$2:$H$2000,Sets!$A$2:$A$2000,$A43,Sets!$D$2:$D$2000,AD$1,Sets!$J$2:$J$2000,"N"))</f>
        <v/>
      </c>
      <c r="AE43" s="26">
        <f>IF(_xlfn.MAXIFS(Sets!$H$2:$H$2000,Sets!$A$2:$A$2000,$A43,Sets!$D$2:$D$2000,AE$1,Sets!$J$2:$J$2000,"N")=0,"",_xlfn.MAXIFS(Sets!$H$2:$H$2000,Sets!$A$2:$A$2000,$A43,Sets!$D$2:$D$2000,AE$1,Sets!$J$2:$J$2000,"N"))</f>
        <v/>
      </c>
      <c r="AF43" s="26">
        <f>IF(_xlfn.MAXIFS(Sets!$H$2:$H$2000,Sets!$A$2:$A$2000,$A43,Sets!$D$2:$D$2000,AF$1,Sets!$J$2:$J$2000,"N")=0,"",_xlfn.MAXIFS(Sets!$H$2:$H$2000,Sets!$A$2:$A$2000,$A43,Sets!$D$2:$D$2000,AF$1,Sets!$J$2:$J$2000,"N"))</f>
        <v/>
      </c>
      <c r="AG43" s="26">
        <f>IF(_xlfn.MAXIFS(Sets!$H$2:$H$2000,Sets!$A$2:$A$2000,$A43,Sets!$D$2:$D$2000,AG$1,Sets!$J$2:$J$2000,"N")=0,"",_xlfn.MAXIFS(Sets!$H$2:$H$2000,Sets!$A$2:$A$2000,$A43,Sets!$D$2:$D$2000,AG$1,Sets!$J$2:$J$2000,"N"))</f>
        <v/>
      </c>
      <c r="AH43" s="26">
        <f>IF(_xlfn.MAXIFS(Sets!$H$2:$H$2000,Sets!$A$2:$A$2000,$A43,Sets!$D$2:$D$2000,AH$1,Sets!$J$2:$J$2000,"N")=0,"",_xlfn.MAXIFS(Sets!$H$2:$H$2000,Sets!$A$2:$A$2000,$A43,Sets!$D$2:$D$2000,AH$1,Sets!$J$2:$J$2000,"N"))</f>
        <v/>
      </c>
      <c r="AI43">
        <f>IF(_xlfn.MAXIFS(Sets!$H$2:$H$2000,Sets!$A$2:$A$2000,$A43,Sets!$D$2:$D$2000,AI$1,Sets!$J$2:$J$2000,"N")=0,"",_xlfn.MAXIFS(Sets!$H$2:$H$2000,Sets!$A$2:$A$2000,$A43,Sets!$D$2:$D$2000,AI$1,Sets!$J$2:$J$2000,"N"))</f>
        <v/>
      </c>
      <c r="AJ43">
        <f>IF(_xlfn.MAXIFS(Sets!$H$2:$H$2000,Sets!$A$2:$A$2000,$A43,Sets!$D$2:$D$2000,AJ$1,Sets!$J$2:$J$2000,"N")=0,"",_xlfn.MAXIFS(Sets!$H$2:$H$2000,Sets!$A$2:$A$2000,$A43,Sets!$D$2:$D$2000,AJ$1,Sets!$J$2:$J$2000,"N"))</f>
        <v/>
      </c>
      <c r="AK43">
        <f>IF(_xlfn.MAXIFS(Sets!$H$2:$H$2000,Sets!$A$2:$A$2000,$A43,Sets!$D$2:$D$2000,AK$1,Sets!$J$2:$J$2000,"N")=0,"",_xlfn.MAXIFS(Sets!$H$2:$H$2000,Sets!$A$2:$A$2000,$A43,Sets!$D$2:$D$2000,AK$1,Sets!$J$2:$J$2000,"N"))</f>
        <v/>
      </c>
      <c r="AL43">
        <f>IF(_xlfn.MAXIFS(Sets!$H$2:$H$2000,Sets!$A$2:$A$2000,$A43,Sets!$D$2:$D$2000,AL$1,Sets!$J$2:$J$2000,"N")=0,"",_xlfn.MAXIFS(Sets!$H$2:$H$2000,Sets!$A$2:$A$2000,$A43,Sets!$D$2:$D$2000,AL$1,Sets!$J$2:$J$2000,"N"))</f>
        <v/>
      </c>
      <c r="AM43">
        <f>IF(_xlfn.MAXIFS(Sets!$H$2:$H$2000,Sets!$A$2:$A$2000,$A43,Sets!$D$2:$D$2000,AM$1,Sets!$J$2:$J$2000,"N")=0,"",_xlfn.MAXIFS(Sets!$H$2:$H$2000,Sets!$A$2:$A$2000,$A43,Sets!$D$2:$D$2000,AM$1,Sets!$J$2:$J$2000,"N"))</f>
        <v/>
      </c>
      <c r="AN43">
        <f>IF(_xlfn.MAXIFS(Sets!$H$2:$H$2000,Sets!$A$2:$A$2000,$A43,Sets!$D$2:$D$2000,AN$1,Sets!$J$2:$J$2000,"N")=0,"",_xlfn.MAXIFS(Sets!$H$2:$H$2000,Sets!$A$2:$A$2000,$A43,Sets!$D$2:$D$2000,AN$1,Sets!$J$2:$J$2000,"N"))</f>
        <v/>
      </c>
      <c r="AO43">
        <f>IF(_xlfn.MAXIFS(Sets!$H$2:$H$2000,Sets!$A$2:$A$2000,$A43,Sets!$D$2:$D$2000,AO$1,Sets!$J$2:$J$2000,"N")=0,"",_xlfn.MAXIFS(Sets!$H$2:$H$2000,Sets!$A$2:$A$2000,$A43,Sets!$D$2:$D$2000,AO$1,Sets!$J$2:$J$2000,"N"))</f>
        <v/>
      </c>
      <c r="AP43">
        <f>IF(_xlfn.MAXIFS(Sets!$H$2:$H$2000,Sets!$A$2:$A$2000,$A43,Sets!$D$2:$D$2000,AP$1,Sets!$J$2:$J$2000,"N")=0,"",_xlfn.MAXIFS(Sets!$H$2:$H$2000,Sets!$A$2:$A$2000,$A43,Sets!$D$2:$D$2000,AP$1,Sets!$J$2:$J$2000,"N"))</f>
        <v/>
      </c>
    </row>
    <row r="44" ht="15" customHeight="1" s="22">
      <c r="A44" s="39" t="n">
        <v>46198</v>
      </c>
      <c r="B44" s="26">
        <f>IF(_xlfn.MAXIFS(Sets!$H$2:$H$2000,Sets!$A$2:$A$2000,$A44,Sets!$D$2:$D$2000,B$1,Sets!$J$2:$J$2000,"N")=0,"",_xlfn.MAXIFS(Sets!$H$2:$H$2000,Sets!$A$2:$A$2000,$A44,Sets!$D$2:$D$2000,B$1,Sets!$J$2:$J$2000,"N"))</f>
        <v/>
      </c>
      <c r="C44" s="26">
        <f>IF(_xlfn.MAXIFS(Sets!$H$2:$H$2000,Sets!$A$2:$A$2000,$A44,Sets!$D$2:$D$2000,C$1,Sets!$J$2:$J$2000,"N")=0,"",_xlfn.MAXIFS(Sets!$H$2:$H$2000,Sets!$A$2:$A$2000,$A44,Sets!$D$2:$D$2000,C$1,Sets!$J$2:$J$2000,"N"))</f>
        <v/>
      </c>
      <c r="D44" s="26">
        <f>IF(_xlfn.MAXIFS(Sets!$H$2:$H$2000,Sets!$A$2:$A$2000,$A44,Sets!$D$2:$D$2000,D$1,Sets!$J$2:$J$2000,"N")=0,"",_xlfn.MAXIFS(Sets!$H$2:$H$2000,Sets!$A$2:$A$2000,$A44,Sets!$D$2:$D$2000,D$1,Sets!$J$2:$J$2000,"N"))</f>
        <v/>
      </c>
      <c r="E44" s="26">
        <f>IF(_xlfn.MAXIFS(Sets!$H$2:$H$2000,Sets!$A$2:$A$2000,$A44,Sets!$D$2:$D$2000,E$1,Sets!$J$2:$J$2000,"N")=0,"",_xlfn.MAXIFS(Sets!$H$2:$H$2000,Sets!$A$2:$A$2000,$A44,Sets!$D$2:$D$2000,E$1,Sets!$J$2:$J$2000,"N"))</f>
        <v/>
      </c>
      <c r="F44" s="26">
        <f>IF(_xlfn.MAXIFS(Sets!$H$2:$H$2000,Sets!$A$2:$A$2000,$A44,Sets!$D$2:$D$2000,F$1,Sets!$J$2:$J$2000,"N")=0,"",_xlfn.MAXIFS(Sets!$H$2:$H$2000,Sets!$A$2:$A$2000,$A44,Sets!$D$2:$D$2000,F$1,Sets!$J$2:$J$2000,"N"))</f>
        <v/>
      </c>
      <c r="G44" s="26">
        <f>IF(_xlfn.MAXIFS(Sets!$H$2:$H$2000,Sets!$A$2:$A$2000,$A44,Sets!$D$2:$D$2000,G$1,Sets!$J$2:$J$2000,"N")=0,"",_xlfn.MAXIFS(Sets!$H$2:$H$2000,Sets!$A$2:$A$2000,$A44,Sets!$D$2:$D$2000,G$1,Sets!$J$2:$J$2000,"N"))</f>
        <v/>
      </c>
      <c r="H44" s="26">
        <f>IF(_xlfn.MAXIFS(Sets!$H$2:$H$2000,Sets!$A$2:$A$2000,$A44,Sets!$D$2:$D$2000,H$1,Sets!$J$2:$J$2000,"N")=0,"",_xlfn.MAXIFS(Sets!$H$2:$H$2000,Sets!$A$2:$A$2000,$A44,Sets!$D$2:$D$2000,H$1,Sets!$J$2:$J$2000,"N"))</f>
        <v/>
      </c>
      <c r="I44" s="26">
        <f>IF(_xlfn.MAXIFS(Sets!$H$2:$H$2000,Sets!$A$2:$A$2000,$A44,Sets!$D$2:$D$2000,I$1,Sets!$J$2:$J$2000,"N")=0,"",_xlfn.MAXIFS(Sets!$H$2:$H$2000,Sets!$A$2:$A$2000,$A44,Sets!$D$2:$D$2000,I$1,Sets!$J$2:$J$2000,"N"))</f>
        <v/>
      </c>
      <c r="J44" s="26">
        <f>IF(_xlfn.MAXIFS(Sets!$H$2:$H$2000,Sets!$A$2:$A$2000,$A44,Sets!$D$2:$D$2000,J$1,Sets!$J$2:$J$2000,"N")=0,"",_xlfn.MAXIFS(Sets!$H$2:$H$2000,Sets!$A$2:$A$2000,$A44,Sets!$D$2:$D$2000,J$1,Sets!$J$2:$J$2000,"N"))</f>
        <v/>
      </c>
      <c r="K44" s="26">
        <f>IF(_xlfn.MAXIFS(Sets!$H$2:$H$2000,Sets!$A$2:$A$2000,$A44,Sets!$D$2:$D$2000,K$1,Sets!$J$2:$J$2000,"N")=0,"",_xlfn.MAXIFS(Sets!$H$2:$H$2000,Sets!$A$2:$A$2000,$A44,Sets!$D$2:$D$2000,K$1,Sets!$J$2:$J$2000,"N"))</f>
        <v/>
      </c>
      <c r="L44" s="26">
        <f>IF(_xlfn.MAXIFS(Sets!$H$2:$H$2000,Sets!$A$2:$A$2000,$A44,Sets!$D$2:$D$2000,L$1,Sets!$J$2:$J$2000,"N")=0,"",_xlfn.MAXIFS(Sets!$H$2:$H$2000,Sets!$A$2:$A$2000,$A44,Sets!$D$2:$D$2000,L$1,Sets!$J$2:$J$2000,"N"))</f>
        <v/>
      </c>
      <c r="M44" s="26">
        <f>IF(_xlfn.MAXIFS(Sets!$H$2:$H$2000,Sets!$A$2:$A$2000,$A44,Sets!$D$2:$D$2000,M$1,Sets!$J$2:$J$2000,"N")=0,"",_xlfn.MAXIFS(Sets!$H$2:$H$2000,Sets!$A$2:$A$2000,$A44,Sets!$D$2:$D$2000,M$1,Sets!$J$2:$J$2000,"N"))</f>
        <v/>
      </c>
      <c r="N44" s="26">
        <f>IF(_xlfn.MAXIFS(Sets!$H$2:$H$2000,Sets!$A$2:$A$2000,$A44,Sets!$D$2:$D$2000,N$1,Sets!$J$2:$J$2000,"N")=0,"",_xlfn.MAXIFS(Sets!$H$2:$H$2000,Sets!$A$2:$A$2000,$A44,Sets!$D$2:$D$2000,N$1,Sets!$J$2:$J$2000,"N"))</f>
        <v/>
      </c>
      <c r="O44" s="26">
        <f>IF(_xlfn.MAXIFS(Sets!$H$2:$H$2000,Sets!$A$2:$A$2000,$A44,Sets!$D$2:$D$2000,O$1,Sets!$J$2:$J$2000,"N")=0,"",_xlfn.MAXIFS(Sets!$H$2:$H$2000,Sets!$A$2:$A$2000,$A44,Sets!$D$2:$D$2000,O$1,Sets!$J$2:$J$2000,"N"))</f>
        <v/>
      </c>
      <c r="P44" s="26">
        <f>IF(_xlfn.MAXIFS(Sets!$H$2:$H$2000,Sets!$A$2:$A$2000,$A44,Sets!$D$2:$D$2000,P$1,Sets!$J$2:$J$2000,"N")=0,"",_xlfn.MAXIFS(Sets!$H$2:$H$2000,Sets!$A$2:$A$2000,$A44,Sets!$D$2:$D$2000,P$1,Sets!$J$2:$J$2000,"N"))</f>
        <v/>
      </c>
      <c r="Q44" s="26">
        <f>IF(_xlfn.MAXIFS(Sets!$H$2:$H$2000,Sets!$A$2:$A$2000,$A44,Sets!$D$2:$D$2000,Q$1,Sets!$J$2:$J$2000,"N")=0,"",_xlfn.MAXIFS(Sets!$H$2:$H$2000,Sets!$A$2:$A$2000,$A44,Sets!$D$2:$D$2000,Q$1,Sets!$J$2:$J$2000,"N"))</f>
        <v/>
      </c>
      <c r="R44" s="26">
        <f>IF(_xlfn.MAXIFS(Sets!$H$2:$H$2000,Sets!$A$2:$A$2000,$A44,Sets!$D$2:$D$2000,R$1,Sets!$J$2:$J$2000,"N")=0,"",_xlfn.MAXIFS(Sets!$H$2:$H$2000,Sets!$A$2:$A$2000,$A44,Sets!$D$2:$D$2000,R$1,Sets!$J$2:$J$2000,"N"))</f>
        <v/>
      </c>
      <c r="S44" s="26">
        <f>IF(_xlfn.MAXIFS(Sets!$H$2:$H$2000,Sets!$A$2:$A$2000,$A44,Sets!$D$2:$D$2000,S$1,Sets!$J$2:$J$2000,"N")=0,"",_xlfn.MAXIFS(Sets!$H$2:$H$2000,Sets!$A$2:$A$2000,$A44,Sets!$D$2:$D$2000,S$1,Sets!$J$2:$J$2000,"N"))</f>
        <v/>
      </c>
      <c r="T44" s="26">
        <f>IF(_xlfn.MAXIFS(Sets!$H$2:$H$2000,Sets!$A$2:$A$2000,$A44,Sets!$D$2:$D$2000,T$1,Sets!$J$2:$J$2000,"N")=0,"",_xlfn.MAXIFS(Sets!$H$2:$H$2000,Sets!$A$2:$A$2000,$A44,Sets!$D$2:$D$2000,T$1,Sets!$J$2:$J$2000,"N"))</f>
        <v/>
      </c>
      <c r="U44" s="26">
        <f>IF(_xlfn.MAXIFS(Sets!$H$2:$H$2000,Sets!$A$2:$A$2000,$A44,Sets!$D$2:$D$2000,U$1,Sets!$J$2:$J$2000,"N")=0,"",_xlfn.MAXIFS(Sets!$H$2:$H$2000,Sets!$A$2:$A$2000,$A44,Sets!$D$2:$D$2000,U$1,Sets!$J$2:$J$2000,"N"))</f>
        <v/>
      </c>
      <c r="V44" s="26">
        <f>IF(_xlfn.MAXIFS(Sets!$H$2:$H$2000,Sets!$A$2:$A$2000,$A44,Sets!$D$2:$D$2000,V$1,Sets!$J$2:$J$2000,"N")=0,"",_xlfn.MAXIFS(Sets!$H$2:$H$2000,Sets!$A$2:$A$2000,$A44,Sets!$D$2:$D$2000,V$1,Sets!$J$2:$J$2000,"N"))</f>
        <v/>
      </c>
      <c r="W44" s="26">
        <f>IF(_xlfn.MAXIFS(Sets!$H$2:$H$2000,Sets!$A$2:$A$2000,$A44,Sets!$D$2:$D$2000,W$1,Sets!$J$2:$J$2000,"N")=0,"",_xlfn.MAXIFS(Sets!$H$2:$H$2000,Sets!$A$2:$A$2000,$A44,Sets!$D$2:$D$2000,W$1,Sets!$J$2:$J$2000,"N"))</f>
        <v/>
      </c>
      <c r="X44" s="26">
        <f>IF(_xlfn.MAXIFS(Sets!$H$2:$H$2000,Sets!$A$2:$A$2000,$A44,Sets!$D$2:$D$2000,X$1,Sets!$J$2:$J$2000,"N")=0,"",_xlfn.MAXIFS(Sets!$H$2:$H$2000,Sets!$A$2:$A$2000,$A44,Sets!$D$2:$D$2000,X$1,Sets!$J$2:$J$2000,"N"))</f>
        <v/>
      </c>
      <c r="Y44" s="26">
        <f>IF(_xlfn.MAXIFS(Sets!$H$2:$H$2000,Sets!$A$2:$A$2000,$A44,Sets!$D$2:$D$2000,Y$1,Sets!$J$2:$J$2000,"N")=0,"",_xlfn.MAXIFS(Sets!$H$2:$H$2000,Sets!$A$2:$A$2000,$A44,Sets!$D$2:$D$2000,Y$1,Sets!$J$2:$J$2000,"N"))</f>
        <v/>
      </c>
      <c r="Z44" s="26">
        <f>IF(_xlfn.MAXIFS(Sets!$H$2:$H$2000,Sets!$A$2:$A$2000,$A44,Sets!$D$2:$D$2000,Z$1,Sets!$J$2:$J$2000,"N")=0,"",_xlfn.MAXIFS(Sets!$H$2:$H$2000,Sets!$A$2:$A$2000,$A44,Sets!$D$2:$D$2000,Z$1,Sets!$J$2:$J$2000,"N"))</f>
        <v/>
      </c>
      <c r="AA44" s="26">
        <f>IF(_xlfn.MAXIFS(Sets!$H$2:$H$2000,Sets!$A$2:$A$2000,$A44,Sets!$D$2:$D$2000,AA$1,Sets!$J$2:$J$2000,"N")=0,"",_xlfn.MAXIFS(Sets!$H$2:$H$2000,Sets!$A$2:$A$2000,$A44,Sets!$D$2:$D$2000,AA$1,Sets!$J$2:$J$2000,"N"))</f>
        <v/>
      </c>
      <c r="AB44" s="26">
        <f>IF(_xlfn.MAXIFS(Sets!$H$2:$H$2000,Sets!$A$2:$A$2000,$A44,Sets!$D$2:$D$2000,AB$1,Sets!$J$2:$J$2000,"N")=0,"",_xlfn.MAXIFS(Sets!$H$2:$H$2000,Sets!$A$2:$A$2000,$A44,Sets!$D$2:$D$2000,AB$1,Sets!$J$2:$J$2000,"N"))</f>
        <v/>
      </c>
      <c r="AC44" s="26">
        <f>IF(_xlfn.MAXIFS(Sets!$H$2:$H$2000,Sets!$A$2:$A$2000,$A44,Sets!$D$2:$D$2000,AC$1,Sets!$J$2:$J$2000,"N")=0,"",_xlfn.MAXIFS(Sets!$H$2:$H$2000,Sets!$A$2:$A$2000,$A44,Sets!$D$2:$D$2000,AC$1,Sets!$J$2:$J$2000,"N"))</f>
        <v/>
      </c>
      <c r="AD44" s="26">
        <f>IF(_xlfn.MAXIFS(Sets!$H$2:$H$2000,Sets!$A$2:$A$2000,$A44,Sets!$D$2:$D$2000,AD$1,Sets!$J$2:$J$2000,"N")=0,"",_xlfn.MAXIFS(Sets!$H$2:$H$2000,Sets!$A$2:$A$2000,$A44,Sets!$D$2:$D$2000,AD$1,Sets!$J$2:$J$2000,"N"))</f>
        <v/>
      </c>
      <c r="AE44" s="26">
        <f>IF(_xlfn.MAXIFS(Sets!$H$2:$H$2000,Sets!$A$2:$A$2000,$A44,Sets!$D$2:$D$2000,AE$1,Sets!$J$2:$J$2000,"N")=0,"",_xlfn.MAXIFS(Sets!$H$2:$H$2000,Sets!$A$2:$A$2000,$A44,Sets!$D$2:$D$2000,AE$1,Sets!$J$2:$J$2000,"N"))</f>
        <v/>
      </c>
      <c r="AF44" s="26">
        <f>IF(_xlfn.MAXIFS(Sets!$H$2:$H$2000,Sets!$A$2:$A$2000,$A44,Sets!$D$2:$D$2000,AF$1,Sets!$J$2:$J$2000,"N")=0,"",_xlfn.MAXIFS(Sets!$H$2:$H$2000,Sets!$A$2:$A$2000,$A44,Sets!$D$2:$D$2000,AF$1,Sets!$J$2:$J$2000,"N"))</f>
        <v/>
      </c>
      <c r="AG44" s="26">
        <f>IF(_xlfn.MAXIFS(Sets!$H$2:$H$2000,Sets!$A$2:$A$2000,$A44,Sets!$D$2:$D$2000,AG$1,Sets!$J$2:$J$2000,"N")=0,"",_xlfn.MAXIFS(Sets!$H$2:$H$2000,Sets!$A$2:$A$2000,$A44,Sets!$D$2:$D$2000,AG$1,Sets!$J$2:$J$2000,"N"))</f>
        <v/>
      </c>
      <c r="AH44" s="26">
        <f>IF(_xlfn.MAXIFS(Sets!$H$2:$H$2000,Sets!$A$2:$A$2000,$A44,Sets!$D$2:$D$2000,AH$1,Sets!$J$2:$J$2000,"N")=0,"",_xlfn.MAXIFS(Sets!$H$2:$H$2000,Sets!$A$2:$A$2000,$A44,Sets!$D$2:$D$2000,AH$1,Sets!$J$2:$J$2000,"N"))</f>
        <v/>
      </c>
      <c r="AI44">
        <f>IF(_xlfn.MAXIFS(Sets!$H$2:$H$2000,Sets!$A$2:$A$2000,$A44,Sets!$D$2:$D$2000,AI$1,Sets!$J$2:$J$2000,"N")=0,"",_xlfn.MAXIFS(Sets!$H$2:$H$2000,Sets!$A$2:$A$2000,$A44,Sets!$D$2:$D$2000,AI$1,Sets!$J$2:$J$2000,"N"))</f>
        <v/>
      </c>
      <c r="AJ44">
        <f>IF(_xlfn.MAXIFS(Sets!$H$2:$H$2000,Sets!$A$2:$A$2000,$A44,Sets!$D$2:$D$2000,AJ$1,Sets!$J$2:$J$2000,"N")=0,"",_xlfn.MAXIFS(Sets!$H$2:$H$2000,Sets!$A$2:$A$2000,$A44,Sets!$D$2:$D$2000,AJ$1,Sets!$J$2:$J$2000,"N"))</f>
        <v/>
      </c>
      <c r="AK44">
        <f>IF(_xlfn.MAXIFS(Sets!$H$2:$H$2000,Sets!$A$2:$A$2000,$A44,Sets!$D$2:$D$2000,AK$1,Sets!$J$2:$J$2000,"N")=0,"",_xlfn.MAXIFS(Sets!$H$2:$H$2000,Sets!$A$2:$A$2000,$A44,Sets!$D$2:$D$2000,AK$1,Sets!$J$2:$J$2000,"N"))</f>
        <v/>
      </c>
      <c r="AL44">
        <f>IF(_xlfn.MAXIFS(Sets!$H$2:$H$2000,Sets!$A$2:$A$2000,$A44,Sets!$D$2:$D$2000,AL$1,Sets!$J$2:$J$2000,"N")=0,"",_xlfn.MAXIFS(Sets!$H$2:$H$2000,Sets!$A$2:$A$2000,$A44,Sets!$D$2:$D$2000,AL$1,Sets!$J$2:$J$2000,"N"))</f>
        <v/>
      </c>
      <c r="AM44">
        <f>IF(_xlfn.MAXIFS(Sets!$H$2:$H$2000,Sets!$A$2:$A$2000,$A44,Sets!$D$2:$D$2000,AM$1,Sets!$J$2:$J$2000,"N")=0,"",_xlfn.MAXIFS(Sets!$H$2:$H$2000,Sets!$A$2:$A$2000,$A44,Sets!$D$2:$D$2000,AM$1,Sets!$J$2:$J$2000,"N"))</f>
        <v/>
      </c>
      <c r="AN44">
        <f>IF(_xlfn.MAXIFS(Sets!$H$2:$H$2000,Sets!$A$2:$A$2000,$A44,Sets!$D$2:$D$2000,AN$1,Sets!$J$2:$J$2000,"N")=0,"",_xlfn.MAXIFS(Sets!$H$2:$H$2000,Sets!$A$2:$A$2000,$A44,Sets!$D$2:$D$2000,AN$1,Sets!$J$2:$J$2000,"N"))</f>
        <v/>
      </c>
      <c r="AO44">
        <f>IF(_xlfn.MAXIFS(Sets!$H$2:$H$2000,Sets!$A$2:$A$2000,$A44,Sets!$D$2:$D$2000,AO$1,Sets!$J$2:$J$2000,"N")=0,"",_xlfn.MAXIFS(Sets!$H$2:$H$2000,Sets!$A$2:$A$2000,$A44,Sets!$D$2:$D$2000,AO$1,Sets!$J$2:$J$2000,"N"))</f>
        <v/>
      </c>
      <c r="AP44">
        <f>IF(_xlfn.MAXIFS(Sets!$H$2:$H$2000,Sets!$A$2:$A$2000,$A44,Sets!$D$2:$D$2000,AP$1,Sets!$J$2:$J$2000,"N")=0,"",_xlfn.MAXIFS(Sets!$H$2:$H$2000,Sets!$A$2:$A$2000,$A44,Sets!$D$2:$D$2000,AP$1,Sets!$J$2:$J$2000,"N"))</f>
        <v/>
      </c>
    </row>
    <row r="45" ht="15" customHeight="1" s="22">
      <c r="A45" s="39" t="n">
        <v>46201</v>
      </c>
      <c r="B45" s="26">
        <f>IF(_xlfn.MAXIFS(Sets!$H$2:$H$2000,Sets!$A$2:$A$2000,$A45,Sets!$D$2:$D$2000,B$1,Sets!$J$2:$J$2000,"N")=0,"",_xlfn.MAXIFS(Sets!$H$2:$H$2000,Sets!$A$2:$A$2000,$A45,Sets!$D$2:$D$2000,B$1,Sets!$J$2:$J$2000,"N"))</f>
        <v/>
      </c>
      <c r="C45" s="26">
        <f>IF(_xlfn.MAXIFS(Sets!$H$2:$H$2000,Sets!$A$2:$A$2000,$A45,Sets!$D$2:$D$2000,C$1,Sets!$J$2:$J$2000,"N")=0,"",_xlfn.MAXIFS(Sets!$H$2:$H$2000,Sets!$A$2:$A$2000,$A45,Sets!$D$2:$D$2000,C$1,Sets!$J$2:$J$2000,"N"))</f>
        <v/>
      </c>
      <c r="D45" s="26">
        <f>IF(_xlfn.MAXIFS(Sets!$H$2:$H$2000,Sets!$A$2:$A$2000,$A45,Sets!$D$2:$D$2000,D$1,Sets!$J$2:$J$2000,"N")=0,"",_xlfn.MAXIFS(Sets!$H$2:$H$2000,Sets!$A$2:$A$2000,$A45,Sets!$D$2:$D$2000,D$1,Sets!$J$2:$J$2000,"N"))</f>
        <v/>
      </c>
      <c r="E45" s="26">
        <f>IF(_xlfn.MAXIFS(Sets!$H$2:$H$2000,Sets!$A$2:$A$2000,$A45,Sets!$D$2:$D$2000,E$1,Sets!$J$2:$J$2000,"N")=0,"",_xlfn.MAXIFS(Sets!$H$2:$H$2000,Sets!$A$2:$A$2000,$A45,Sets!$D$2:$D$2000,E$1,Sets!$J$2:$J$2000,"N"))</f>
        <v/>
      </c>
      <c r="F45" s="26">
        <f>IF(_xlfn.MAXIFS(Sets!$H$2:$H$2000,Sets!$A$2:$A$2000,$A45,Sets!$D$2:$D$2000,F$1,Sets!$J$2:$J$2000,"N")=0,"",_xlfn.MAXIFS(Sets!$H$2:$H$2000,Sets!$A$2:$A$2000,$A45,Sets!$D$2:$D$2000,F$1,Sets!$J$2:$J$2000,"N"))</f>
        <v/>
      </c>
      <c r="G45" s="26">
        <f>IF(_xlfn.MAXIFS(Sets!$H$2:$H$2000,Sets!$A$2:$A$2000,$A45,Sets!$D$2:$D$2000,G$1,Sets!$J$2:$J$2000,"N")=0,"",_xlfn.MAXIFS(Sets!$H$2:$H$2000,Sets!$A$2:$A$2000,$A45,Sets!$D$2:$D$2000,G$1,Sets!$J$2:$J$2000,"N"))</f>
        <v/>
      </c>
      <c r="H45" s="26">
        <f>IF(_xlfn.MAXIFS(Sets!$H$2:$H$2000,Sets!$A$2:$A$2000,$A45,Sets!$D$2:$D$2000,H$1,Sets!$J$2:$J$2000,"N")=0,"",_xlfn.MAXIFS(Sets!$H$2:$H$2000,Sets!$A$2:$A$2000,$A45,Sets!$D$2:$D$2000,H$1,Sets!$J$2:$J$2000,"N"))</f>
        <v/>
      </c>
      <c r="I45" s="26">
        <f>IF(_xlfn.MAXIFS(Sets!$H$2:$H$2000,Sets!$A$2:$A$2000,$A45,Sets!$D$2:$D$2000,I$1,Sets!$J$2:$J$2000,"N")=0,"",_xlfn.MAXIFS(Sets!$H$2:$H$2000,Sets!$A$2:$A$2000,$A45,Sets!$D$2:$D$2000,I$1,Sets!$J$2:$J$2000,"N"))</f>
        <v/>
      </c>
      <c r="J45" s="26">
        <f>IF(_xlfn.MAXIFS(Sets!$H$2:$H$2000,Sets!$A$2:$A$2000,$A45,Sets!$D$2:$D$2000,J$1,Sets!$J$2:$J$2000,"N")=0,"",_xlfn.MAXIFS(Sets!$H$2:$H$2000,Sets!$A$2:$A$2000,$A45,Sets!$D$2:$D$2000,J$1,Sets!$J$2:$J$2000,"N"))</f>
        <v/>
      </c>
      <c r="K45" s="26">
        <f>IF(_xlfn.MAXIFS(Sets!$H$2:$H$2000,Sets!$A$2:$A$2000,$A45,Sets!$D$2:$D$2000,K$1,Sets!$J$2:$J$2000,"N")=0,"",_xlfn.MAXIFS(Sets!$H$2:$H$2000,Sets!$A$2:$A$2000,$A45,Sets!$D$2:$D$2000,K$1,Sets!$J$2:$J$2000,"N"))</f>
        <v/>
      </c>
      <c r="L45" s="26">
        <f>IF(_xlfn.MAXIFS(Sets!$H$2:$H$2000,Sets!$A$2:$A$2000,$A45,Sets!$D$2:$D$2000,L$1,Sets!$J$2:$J$2000,"N")=0,"",_xlfn.MAXIFS(Sets!$H$2:$H$2000,Sets!$A$2:$A$2000,$A45,Sets!$D$2:$D$2000,L$1,Sets!$J$2:$J$2000,"N"))</f>
        <v/>
      </c>
      <c r="M45" s="26">
        <f>IF(_xlfn.MAXIFS(Sets!$H$2:$H$2000,Sets!$A$2:$A$2000,$A45,Sets!$D$2:$D$2000,M$1,Sets!$J$2:$J$2000,"N")=0,"",_xlfn.MAXIFS(Sets!$H$2:$H$2000,Sets!$A$2:$A$2000,$A45,Sets!$D$2:$D$2000,M$1,Sets!$J$2:$J$2000,"N"))</f>
        <v/>
      </c>
      <c r="N45" s="26">
        <f>IF(_xlfn.MAXIFS(Sets!$H$2:$H$2000,Sets!$A$2:$A$2000,$A45,Sets!$D$2:$D$2000,N$1,Sets!$J$2:$J$2000,"N")=0,"",_xlfn.MAXIFS(Sets!$H$2:$H$2000,Sets!$A$2:$A$2000,$A45,Sets!$D$2:$D$2000,N$1,Sets!$J$2:$J$2000,"N"))</f>
        <v/>
      </c>
      <c r="O45" s="26">
        <f>IF(_xlfn.MAXIFS(Sets!$H$2:$H$2000,Sets!$A$2:$A$2000,$A45,Sets!$D$2:$D$2000,O$1,Sets!$J$2:$J$2000,"N")=0,"",_xlfn.MAXIFS(Sets!$H$2:$H$2000,Sets!$A$2:$A$2000,$A45,Sets!$D$2:$D$2000,O$1,Sets!$J$2:$J$2000,"N"))</f>
        <v/>
      </c>
      <c r="P45" s="26">
        <f>IF(_xlfn.MAXIFS(Sets!$H$2:$H$2000,Sets!$A$2:$A$2000,$A45,Sets!$D$2:$D$2000,P$1,Sets!$J$2:$J$2000,"N")=0,"",_xlfn.MAXIFS(Sets!$H$2:$H$2000,Sets!$A$2:$A$2000,$A45,Sets!$D$2:$D$2000,P$1,Sets!$J$2:$J$2000,"N"))</f>
        <v/>
      </c>
      <c r="Q45" s="26">
        <f>IF(_xlfn.MAXIFS(Sets!$H$2:$H$2000,Sets!$A$2:$A$2000,$A45,Sets!$D$2:$D$2000,Q$1,Sets!$J$2:$J$2000,"N")=0,"",_xlfn.MAXIFS(Sets!$H$2:$H$2000,Sets!$A$2:$A$2000,$A45,Sets!$D$2:$D$2000,Q$1,Sets!$J$2:$J$2000,"N"))</f>
        <v/>
      </c>
      <c r="R45" s="26">
        <f>IF(_xlfn.MAXIFS(Sets!$H$2:$H$2000,Sets!$A$2:$A$2000,$A45,Sets!$D$2:$D$2000,R$1,Sets!$J$2:$J$2000,"N")=0,"",_xlfn.MAXIFS(Sets!$H$2:$H$2000,Sets!$A$2:$A$2000,$A45,Sets!$D$2:$D$2000,R$1,Sets!$J$2:$J$2000,"N"))</f>
        <v/>
      </c>
      <c r="S45" s="26">
        <f>IF(_xlfn.MAXIFS(Sets!$H$2:$H$2000,Sets!$A$2:$A$2000,$A45,Sets!$D$2:$D$2000,S$1,Sets!$J$2:$J$2000,"N")=0,"",_xlfn.MAXIFS(Sets!$H$2:$H$2000,Sets!$A$2:$A$2000,$A45,Sets!$D$2:$D$2000,S$1,Sets!$J$2:$J$2000,"N"))</f>
        <v/>
      </c>
      <c r="T45" s="26">
        <f>IF(_xlfn.MAXIFS(Sets!$H$2:$H$2000,Sets!$A$2:$A$2000,$A45,Sets!$D$2:$D$2000,T$1,Sets!$J$2:$J$2000,"N")=0,"",_xlfn.MAXIFS(Sets!$H$2:$H$2000,Sets!$A$2:$A$2000,$A45,Sets!$D$2:$D$2000,T$1,Sets!$J$2:$J$2000,"N"))</f>
        <v/>
      </c>
      <c r="U45" s="26">
        <f>IF(_xlfn.MAXIFS(Sets!$H$2:$H$2000,Sets!$A$2:$A$2000,$A45,Sets!$D$2:$D$2000,U$1,Sets!$J$2:$J$2000,"N")=0,"",_xlfn.MAXIFS(Sets!$H$2:$H$2000,Sets!$A$2:$A$2000,$A45,Sets!$D$2:$D$2000,U$1,Sets!$J$2:$J$2000,"N"))</f>
        <v/>
      </c>
      <c r="V45" s="26">
        <f>IF(_xlfn.MAXIFS(Sets!$H$2:$H$2000,Sets!$A$2:$A$2000,$A45,Sets!$D$2:$D$2000,V$1,Sets!$J$2:$J$2000,"N")=0,"",_xlfn.MAXIFS(Sets!$H$2:$H$2000,Sets!$A$2:$A$2000,$A45,Sets!$D$2:$D$2000,V$1,Sets!$J$2:$J$2000,"N"))</f>
        <v/>
      </c>
      <c r="W45" s="26">
        <f>IF(_xlfn.MAXIFS(Sets!$H$2:$H$2000,Sets!$A$2:$A$2000,$A45,Sets!$D$2:$D$2000,W$1,Sets!$J$2:$J$2000,"N")=0,"",_xlfn.MAXIFS(Sets!$H$2:$H$2000,Sets!$A$2:$A$2000,$A45,Sets!$D$2:$D$2000,W$1,Sets!$J$2:$J$2000,"N"))</f>
        <v/>
      </c>
      <c r="X45" s="26">
        <f>IF(_xlfn.MAXIFS(Sets!$H$2:$H$2000,Sets!$A$2:$A$2000,$A45,Sets!$D$2:$D$2000,X$1,Sets!$J$2:$J$2000,"N")=0,"",_xlfn.MAXIFS(Sets!$H$2:$H$2000,Sets!$A$2:$A$2000,$A45,Sets!$D$2:$D$2000,X$1,Sets!$J$2:$J$2000,"N"))</f>
        <v/>
      </c>
      <c r="Y45" s="26">
        <f>IF(_xlfn.MAXIFS(Sets!$H$2:$H$2000,Sets!$A$2:$A$2000,$A45,Sets!$D$2:$D$2000,Y$1,Sets!$J$2:$J$2000,"N")=0,"",_xlfn.MAXIFS(Sets!$H$2:$H$2000,Sets!$A$2:$A$2000,$A45,Sets!$D$2:$D$2000,Y$1,Sets!$J$2:$J$2000,"N"))</f>
        <v/>
      </c>
      <c r="Z45" s="26">
        <f>IF(_xlfn.MAXIFS(Sets!$H$2:$H$2000,Sets!$A$2:$A$2000,$A45,Sets!$D$2:$D$2000,Z$1,Sets!$J$2:$J$2000,"N")=0,"",_xlfn.MAXIFS(Sets!$H$2:$H$2000,Sets!$A$2:$A$2000,$A45,Sets!$D$2:$D$2000,Z$1,Sets!$J$2:$J$2000,"N"))</f>
        <v/>
      </c>
      <c r="AA45" s="26">
        <f>IF(_xlfn.MAXIFS(Sets!$H$2:$H$2000,Sets!$A$2:$A$2000,$A45,Sets!$D$2:$D$2000,AA$1,Sets!$J$2:$J$2000,"N")=0,"",_xlfn.MAXIFS(Sets!$H$2:$H$2000,Sets!$A$2:$A$2000,$A45,Sets!$D$2:$D$2000,AA$1,Sets!$J$2:$J$2000,"N"))</f>
        <v/>
      </c>
      <c r="AB45" s="26">
        <f>IF(_xlfn.MAXIFS(Sets!$H$2:$H$2000,Sets!$A$2:$A$2000,$A45,Sets!$D$2:$D$2000,AB$1,Sets!$J$2:$J$2000,"N")=0,"",_xlfn.MAXIFS(Sets!$H$2:$H$2000,Sets!$A$2:$A$2000,$A45,Sets!$D$2:$D$2000,AB$1,Sets!$J$2:$J$2000,"N"))</f>
        <v/>
      </c>
      <c r="AC45" s="26">
        <f>IF(_xlfn.MAXIFS(Sets!$H$2:$H$2000,Sets!$A$2:$A$2000,$A45,Sets!$D$2:$D$2000,AC$1,Sets!$J$2:$J$2000,"N")=0,"",_xlfn.MAXIFS(Sets!$H$2:$H$2000,Sets!$A$2:$A$2000,$A45,Sets!$D$2:$D$2000,AC$1,Sets!$J$2:$J$2000,"N"))</f>
        <v/>
      </c>
      <c r="AD45" s="26">
        <f>IF(_xlfn.MAXIFS(Sets!$H$2:$H$2000,Sets!$A$2:$A$2000,$A45,Sets!$D$2:$D$2000,AD$1,Sets!$J$2:$J$2000,"N")=0,"",_xlfn.MAXIFS(Sets!$H$2:$H$2000,Sets!$A$2:$A$2000,$A45,Sets!$D$2:$D$2000,AD$1,Sets!$J$2:$J$2000,"N"))</f>
        <v/>
      </c>
      <c r="AE45" s="26">
        <f>IF(_xlfn.MAXIFS(Sets!$H$2:$H$2000,Sets!$A$2:$A$2000,$A45,Sets!$D$2:$D$2000,AE$1,Sets!$J$2:$J$2000,"N")=0,"",_xlfn.MAXIFS(Sets!$H$2:$H$2000,Sets!$A$2:$A$2000,$A45,Sets!$D$2:$D$2000,AE$1,Sets!$J$2:$J$2000,"N"))</f>
        <v/>
      </c>
      <c r="AF45" s="26">
        <f>IF(_xlfn.MAXIFS(Sets!$H$2:$H$2000,Sets!$A$2:$A$2000,$A45,Sets!$D$2:$D$2000,AF$1,Sets!$J$2:$J$2000,"N")=0,"",_xlfn.MAXIFS(Sets!$H$2:$H$2000,Sets!$A$2:$A$2000,$A45,Sets!$D$2:$D$2000,AF$1,Sets!$J$2:$J$2000,"N"))</f>
        <v/>
      </c>
      <c r="AG45" s="26">
        <f>IF(_xlfn.MAXIFS(Sets!$H$2:$H$2000,Sets!$A$2:$A$2000,$A45,Sets!$D$2:$D$2000,AG$1,Sets!$J$2:$J$2000,"N")=0,"",_xlfn.MAXIFS(Sets!$H$2:$H$2000,Sets!$A$2:$A$2000,$A45,Sets!$D$2:$D$2000,AG$1,Sets!$J$2:$J$2000,"N"))</f>
        <v/>
      </c>
      <c r="AH45" s="26">
        <f>IF(_xlfn.MAXIFS(Sets!$H$2:$H$2000,Sets!$A$2:$A$2000,$A45,Sets!$D$2:$D$2000,AH$1,Sets!$J$2:$J$2000,"N")=0,"",_xlfn.MAXIFS(Sets!$H$2:$H$2000,Sets!$A$2:$A$2000,$A45,Sets!$D$2:$D$2000,AH$1,Sets!$J$2:$J$2000,"N"))</f>
        <v/>
      </c>
      <c r="AI45">
        <f>IF(_xlfn.MAXIFS(Sets!$H$2:$H$2000,Sets!$A$2:$A$2000,$A45,Sets!$D$2:$D$2000,AI$1,Sets!$J$2:$J$2000,"N")=0,"",_xlfn.MAXIFS(Sets!$H$2:$H$2000,Sets!$A$2:$A$2000,$A45,Sets!$D$2:$D$2000,AI$1,Sets!$J$2:$J$2000,"N"))</f>
        <v/>
      </c>
      <c r="AJ45">
        <f>IF(_xlfn.MAXIFS(Sets!$H$2:$H$2000,Sets!$A$2:$A$2000,$A45,Sets!$D$2:$D$2000,AJ$1,Sets!$J$2:$J$2000,"N")=0,"",_xlfn.MAXIFS(Sets!$H$2:$H$2000,Sets!$A$2:$A$2000,$A45,Sets!$D$2:$D$2000,AJ$1,Sets!$J$2:$J$2000,"N"))</f>
        <v/>
      </c>
      <c r="AK45">
        <f>IF(_xlfn.MAXIFS(Sets!$H$2:$H$2000,Sets!$A$2:$A$2000,$A45,Sets!$D$2:$D$2000,AK$1,Sets!$J$2:$J$2000,"N")=0,"",_xlfn.MAXIFS(Sets!$H$2:$H$2000,Sets!$A$2:$A$2000,$A45,Sets!$D$2:$D$2000,AK$1,Sets!$J$2:$J$2000,"N"))</f>
        <v/>
      </c>
      <c r="AL45">
        <f>IF(_xlfn.MAXIFS(Sets!$H$2:$H$2000,Sets!$A$2:$A$2000,$A45,Sets!$D$2:$D$2000,AL$1,Sets!$J$2:$J$2000,"N")=0,"",_xlfn.MAXIFS(Sets!$H$2:$H$2000,Sets!$A$2:$A$2000,$A45,Sets!$D$2:$D$2000,AL$1,Sets!$J$2:$J$2000,"N"))</f>
        <v/>
      </c>
      <c r="AM45">
        <f>IF(_xlfn.MAXIFS(Sets!$H$2:$H$2000,Sets!$A$2:$A$2000,$A45,Sets!$D$2:$D$2000,AM$1,Sets!$J$2:$J$2000,"N")=0,"",_xlfn.MAXIFS(Sets!$H$2:$H$2000,Sets!$A$2:$A$2000,$A45,Sets!$D$2:$D$2000,AM$1,Sets!$J$2:$J$2000,"N"))</f>
        <v/>
      </c>
      <c r="AN45">
        <f>IF(_xlfn.MAXIFS(Sets!$H$2:$H$2000,Sets!$A$2:$A$2000,$A45,Sets!$D$2:$D$2000,AN$1,Sets!$J$2:$J$2000,"N")=0,"",_xlfn.MAXIFS(Sets!$H$2:$H$2000,Sets!$A$2:$A$2000,$A45,Sets!$D$2:$D$2000,AN$1,Sets!$J$2:$J$2000,"N"))</f>
        <v/>
      </c>
      <c r="AO45">
        <f>IF(_xlfn.MAXIFS(Sets!$H$2:$H$2000,Sets!$A$2:$A$2000,$A45,Sets!$D$2:$D$2000,AO$1,Sets!$J$2:$J$2000,"N")=0,"",_xlfn.MAXIFS(Sets!$H$2:$H$2000,Sets!$A$2:$A$2000,$A45,Sets!$D$2:$D$2000,AO$1,Sets!$J$2:$J$2000,"N"))</f>
        <v/>
      </c>
      <c r="AP45">
        <f>IF(_xlfn.MAXIFS(Sets!$H$2:$H$2000,Sets!$A$2:$A$2000,$A45,Sets!$D$2:$D$2000,AP$1,Sets!$J$2:$J$2000,"N")=0,"",_xlfn.MAXIFS(Sets!$H$2:$H$2000,Sets!$A$2:$A$2000,$A45,Sets!$D$2:$D$2000,AP$1,Sets!$J$2:$J$2000,"N"))</f>
        <v/>
      </c>
    </row>
    <row r="46" ht="15" customHeight="1" s="22">
      <c r="A46" s="39" t="n">
        <v>46212</v>
      </c>
      <c r="B46" s="26">
        <f>IF(_xlfn.MAXIFS(Sets!$H$2:$H$2000,Sets!$A$2:$A$2000,$A46,Sets!$D$2:$D$2000,B$1,Sets!$J$2:$J$2000,"N")=0,"",_xlfn.MAXIFS(Sets!$H$2:$H$2000,Sets!$A$2:$A$2000,$A46,Sets!$D$2:$D$2000,B$1,Sets!$J$2:$J$2000,"N"))</f>
        <v/>
      </c>
      <c r="C46" s="26">
        <f>IF(_xlfn.MAXIFS(Sets!$H$2:$H$2000,Sets!$A$2:$A$2000,$A46,Sets!$D$2:$D$2000,C$1,Sets!$J$2:$J$2000,"N")=0,"",_xlfn.MAXIFS(Sets!$H$2:$H$2000,Sets!$A$2:$A$2000,$A46,Sets!$D$2:$D$2000,C$1,Sets!$J$2:$J$2000,"N"))</f>
        <v/>
      </c>
      <c r="D46" s="26">
        <f>IF(_xlfn.MAXIFS(Sets!$H$2:$H$2000,Sets!$A$2:$A$2000,$A46,Sets!$D$2:$D$2000,D$1,Sets!$J$2:$J$2000,"N")=0,"",_xlfn.MAXIFS(Sets!$H$2:$H$2000,Sets!$A$2:$A$2000,$A46,Sets!$D$2:$D$2000,D$1,Sets!$J$2:$J$2000,"N"))</f>
        <v/>
      </c>
      <c r="E46" s="26">
        <f>IF(_xlfn.MAXIFS(Sets!$H$2:$H$2000,Sets!$A$2:$A$2000,$A46,Sets!$D$2:$D$2000,E$1,Sets!$J$2:$J$2000,"N")=0,"",_xlfn.MAXIFS(Sets!$H$2:$H$2000,Sets!$A$2:$A$2000,$A46,Sets!$D$2:$D$2000,E$1,Sets!$J$2:$J$2000,"N"))</f>
        <v/>
      </c>
      <c r="F46" s="26">
        <f>IF(_xlfn.MAXIFS(Sets!$H$2:$H$2000,Sets!$A$2:$A$2000,$A46,Sets!$D$2:$D$2000,F$1,Sets!$J$2:$J$2000,"N")=0,"",_xlfn.MAXIFS(Sets!$H$2:$H$2000,Sets!$A$2:$A$2000,$A46,Sets!$D$2:$D$2000,F$1,Sets!$J$2:$J$2000,"N"))</f>
        <v/>
      </c>
      <c r="G46" s="26">
        <f>IF(_xlfn.MAXIFS(Sets!$H$2:$H$2000,Sets!$A$2:$A$2000,$A46,Sets!$D$2:$D$2000,G$1,Sets!$J$2:$J$2000,"N")=0,"",_xlfn.MAXIFS(Sets!$H$2:$H$2000,Sets!$A$2:$A$2000,$A46,Sets!$D$2:$D$2000,G$1,Sets!$J$2:$J$2000,"N"))</f>
        <v/>
      </c>
      <c r="H46" s="26">
        <f>IF(_xlfn.MAXIFS(Sets!$H$2:$H$2000,Sets!$A$2:$A$2000,$A46,Sets!$D$2:$D$2000,H$1,Sets!$J$2:$J$2000,"N")=0,"",_xlfn.MAXIFS(Sets!$H$2:$H$2000,Sets!$A$2:$A$2000,$A46,Sets!$D$2:$D$2000,H$1,Sets!$J$2:$J$2000,"N"))</f>
        <v/>
      </c>
      <c r="I46" s="26">
        <f>IF(_xlfn.MAXIFS(Sets!$H$2:$H$2000,Sets!$A$2:$A$2000,$A46,Sets!$D$2:$D$2000,I$1,Sets!$J$2:$J$2000,"N")=0,"",_xlfn.MAXIFS(Sets!$H$2:$H$2000,Sets!$A$2:$A$2000,$A46,Sets!$D$2:$D$2000,I$1,Sets!$J$2:$J$2000,"N"))</f>
        <v/>
      </c>
      <c r="J46" s="26">
        <f>IF(_xlfn.MAXIFS(Sets!$H$2:$H$2000,Sets!$A$2:$A$2000,$A46,Sets!$D$2:$D$2000,J$1,Sets!$J$2:$J$2000,"N")=0,"",_xlfn.MAXIFS(Sets!$H$2:$H$2000,Sets!$A$2:$A$2000,$A46,Sets!$D$2:$D$2000,J$1,Sets!$J$2:$J$2000,"N"))</f>
        <v/>
      </c>
      <c r="K46" s="26">
        <f>IF(_xlfn.MAXIFS(Sets!$H$2:$H$2000,Sets!$A$2:$A$2000,$A46,Sets!$D$2:$D$2000,K$1,Sets!$J$2:$J$2000,"N")=0,"",_xlfn.MAXIFS(Sets!$H$2:$H$2000,Sets!$A$2:$A$2000,$A46,Sets!$D$2:$D$2000,K$1,Sets!$J$2:$J$2000,"N"))</f>
        <v/>
      </c>
      <c r="L46" s="26">
        <f>IF(_xlfn.MAXIFS(Sets!$H$2:$H$2000,Sets!$A$2:$A$2000,$A46,Sets!$D$2:$D$2000,L$1,Sets!$J$2:$J$2000,"N")=0,"",_xlfn.MAXIFS(Sets!$H$2:$H$2000,Sets!$A$2:$A$2000,$A46,Sets!$D$2:$D$2000,L$1,Sets!$J$2:$J$2000,"N"))</f>
        <v/>
      </c>
      <c r="M46" s="26">
        <f>IF(_xlfn.MAXIFS(Sets!$H$2:$H$2000,Sets!$A$2:$A$2000,$A46,Sets!$D$2:$D$2000,M$1,Sets!$J$2:$J$2000,"N")=0,"",_xlfn.MAXIFS(Sets!$H$2:$H$2000,Sets!$A$2:$A$2000,$A46,Sets!$D$2:$D$2000,M$1,Sets!$J$2:$J$2000,"N"))</f>
        <v/>
      </c>
      <c r="N46" s="26">
        <f>IF(_xlfn.MAXIFS(Sets!$H$2:$H$2000,Sets!$A$2:$A$2000,$A46,Sets!$D$2:$D$2000,N$1,Sets!$J$2:$J$2000,"N")=0,"",_xlfn.MAXIFS(Sets!$H$2:$H$2000,Sets!$A$2:$A$2000,$A46,Sets!$D$2:$D$2000,N$1,Sets!$J$2:$J$2000,"N"))</f>
        <v/>
      </c>
      <c r="O46" s="26">
        <f>IF(_xlfn.MAXIFS(Sets!$H$2:$H$2000,Sets!$A$2:$A$2000,$A46,Sets!$D$2:$D$2000,O$1,Sets!$J$2:$J$2000,"N")=0,"",_xlfn.MAXIFS(Sets!$H$2:$H$2000,Sets!$A$2:$A$2000,$A46,Sets!$D$2:$D$2000,O$1,Sets!$J$2:$J$2000,"N"))</f>
        <v/>
      </c>
      <c r="P46" s="26">
        <f>IF(_xlfn.MAXIFS(Sets!$H$2:$H$2000,Sets!$A$2:$A$2000,$A46,Sets!$D$2:$D$2000,P$1,Sets!$J$2:$J$2000,"N")=0,"",_xlfn.MAXIFS(Sets!$H$2:$H$2000,Sets!$A$2:$A$2000,$A46,Sets!$D$2:$D$2000,P$1,Sets!$J$2:$J$2000,"N"))</f>
        <v/>
      </c>
      <c r="Q46" s="26">
        <f>IF(_xlfn.MAXIFS(Sets!$H$2:$H$2000,Sets!$A$2:$A$2000,$A46,Sets!$D$2:$D$2000,Q$1,Sets!$J$2:$J$2000,"N")=0,"",_xlfn.MAXIFS(Sets!$H$2:$H$2000,Sets!$A$2:$A$2000,$A46,Sets!$D$2:$D$2000,Q$1,Sets!$J$2:$J$2000,"N"))</f>
        <v/>
      </c>
      <c r="R46" s="26">
        <f>IF(_xlfn.MAXIFS(Sets!$H$2:$H$2000,Sets!$A$2:$A$2000,$A46,Sets!$D$2:$D$2000,R$1,Sets!$J$2:$J$2000,"N")=0,"",_xlfn.MAXIFS(Sets!$H$2:$H$2000,Sets!$A$2:$A$2000,$A46,Sets!$D$2:$D$2000,R$1,Sets!$J$2:$J$2000,"N"))</f>
        <v/>
      </c>
      <c r="S46" s="26">
        <f>IF(_xlfn.MAXIFS(Sets!$H$2:$H$2000,Sets!$A$2:$A$2000,$A46,Sets!$D$2:$D$2000,S$1,Sets!$J$2:$J$2000,"N")=0,"",_xlfn.MAXIFS(Sets!$H$2:$H$2000,Sets!$A$2:$A$2000,$A46,Sets!$D$2:$D$2000,S$1,Sets!$J$2:$J$2000,"N"))</f>
        <v/>
      </c>
      <c r="T46" s="26">
        <f>IF(_xlfn.MAXIFS(Sets!$H$2:$H$2000,Sets!$A$2:$A$2000,$A46,Sets!$D$2:$D$2000,T$1,Sets!$J$2:$J$2000,"N")=0,"",_xlfn.MAXIFS(Sets!$H$2:$H$2000,Sets!$A$2:$A$2000,$A46,Sets!$D$2:$D$2000,T$1,Sets!$J$2:$J$2000,"N"))</f>
        <v/>
      </c>
      <c r="U46" s="26">
        <f>IF(_xlfn.MAXIFS(Sets!$H$2:$H$2000,Sets!$A$2:$A$2000,$A46,Sets!$D$2:$D$2000,U$1,Sets!$J$2:$J$2000,"N")=0,"",_xlfn.MAXIFS(Sets!$H$2:$H$2000,Sets!$A$2:$A$2000,$A46,Sets!$D$2:$D$2000,U$1,Sets!$J$2:$J$2000,"N"))</f>
        <v/>
      </c>
      <c r="V46" s="26">
        <f>IF(_xlfn.MAXIFS(Sets!$H$2:$H$2000,Sets!$A$2:$A$2000,$A46,Sets!$D$2:$D$2000,V$1,Sets!$J$2:$J$2000,"N")=0,"",_xlfn.MAXIFS(Sets!$H$2:$H$2000,Sets!$A$2:$A$2000,$A46,Sets!$D$2:$D$2000,V$1,Sets!$J$2:$J$2000,"N"))</f>
        <v/>
      </c>
      <c r="W46" s="26">
        <f>IF(_xlfn.MAXIFS(Sets!$H$2:$H$2000,Sets!$A$2:$A$2000,$A46,Sets!$D$2:$D$2000,W$1,Sets!$J$2:$J$2000,"N")=0,"",_xlfn.MAXIFS(Sets!$H$2:$H$2000,Sets!$A$2:$A$2000,$A46,Sets!$D$2:$D$2000,W$1,Sets!$J$2:$J$2000,"N"))</f>
        <v/>
      </c>
      <c r="X46" s="26">
        <f>IF(_xlfn.MAXIFS(Sets!$H$2:$H$2000,Sets!$A$2:$A$2000,$A46,Sets!$D$2:$D$2000,X$1,Sets!$J$2:$J$2000,"N")=0,"",_xlfn.MAXIFS(Sets!$H$2:$H$2000,Sets!$A$2:$A$2000,$A46,Sets!$D$2:$D$2000,X$1,Sets!$J$2:$J$2000,"N"))</f>
        <v/>
      </c>
      <c r="Y46" s="26">
        <f>IF(_xlfn.MAXIFS(Sets!$H$2:$H$2000,Sets!$A$2:$A$2000,$A46,Sets!$D$2:$D$2000,Y$1,Sets!$J$2:$J$2000,"N")=0,"",_xlfn.MAXIFS(Sets!$H$2:$H$2000,Sets!$A$2:$A$2000,$A46,Sets!$D$2:$D$2000,Y$1,Sets!$J$2:$J$2000,"N"))</f>
        <v/>
      </c>
      <c r="Z46" s="26">
        <f>IF(_xlfn.MAXIFS(Sets!$H$2:$H$2000,Sets!$A$2:$A$2000,$A46,Sets!$D$2:$D$2000,Z$1,Sets!$J$2:$J$2000,"N")=0,"",_xlfn.MAXIFS(Sets!$H$2:$H$2000,Sets!$A$2:$A$2000,$A46,Sets!$D$2:$D$2000,Z$1,Sets!$J$2:$J$2000,"N"))</f>
        <v/>
      </c>
      <c r="AA46" s="26">
        <f>IF(_xlfn.MAXIFS(Sets!$H$2:$H$2000,Sets!$A$2:$A$2000,$A46,Sets!$D$2:$D$2000,AA$1,Sets!$J$2:$J$2000,"N")=0,"",_xlfn.MAXIFS(Sets!$H$2:$H$2000,Sets!$A$2:$A$2000,$A46,Sets!$D$2:$D$2000,AA$1,Sets!$J$2:$J$2000,"N"))</f>
        <v/>
      </c>
      <c r="AB46" s="26">
        <f>IF(_xlfn.MAXIFS(Sets!$H$2:$H$2000,Sets!$A$2:$A$2000,$A46,Sets!$D$2:$D$2000,AB$1,Sets!$J$2:$J$2000,"N")=0,"",_xlfn.MAXIFS(Sets!$H$2:$H$2000,Sets!$A$2:$A$2000,$A46,Sets!$D$2:$D$2000,AB$1,Sets!$J$2:$J$2000,"N"))</f>
        <v/>
      </c>
      <c r="AC46" s="26">
        <f>IF(_xlfn.MAXIFS(Sets!$H$2:$H$2000,Sets!$A$2:$A$2000,$A46,Sets!$D$2:$D$2000,AC$1,Sets!$J$2:$J$2000,"N")=0,"",_xlfn.MAXIFS(Sets!$H$2:$H$2000,Sets!$A$2:$A$2000,$A46,Sets!$D$2:$D$2000,AC$1,Sets!$J$2:$J$2000,"N"))</f>
        <v/>
      </c>
      <c r="AD46" s="26">
        <f>IF(_xlfn.MAXIFS(Sets!$H$2:$H$2000,Sets!$A$2:$A$2000,$A46,Sets!$D$2:$D$2000,AD$1,Sets!$J$2:$J$2000,"N")=0,"",_xlfn.MAXIFS(Sets!$H$2:$H$2000,Sets!$A$2:$A$2000,$A46,Sets!$D$2:$D$2000,AD$1,Sets!$J$2:$J$2000,"N"))</f>
        <v/>
      </c>
      <c r="AE46" s="26">
        <f>IF(_xlfn.MAXIFS(Sets!$H$2:$H$2000,Sets!$A$2:$A$2000,$A46,Sets!$D$2:$D$2000,AE$1,Sets!$J$2:$J$2000,"N")=0,"",_xlfn.MAXIFS(Sets!$H$2:$H$2000,Sets!$A$2:$A$2000,$A46,Sets!$D$2:$D$2000,AE$1,Sets!$J$2:$J$2000,"N"))</f>
        <v/>
      </c>
      <c r="AF46" s="26">
        <f>IF(_xlfn.MAXIFS(Sets!$H$2:$H$2000,Sets!$A$2:$A$2000,$A46,Sets!$D$2:$D$2000,AF$1,Sets!$J$2:$J$2000,"N")=0,"",_xlfn.MAXIFS(Sets!$H$2:$H$2000,Sets!$A$2:$A$2000,$A46,Sets!$D$2:$D$2000,AF$1,Sets!$J$2:$J$2000,"N"))</f>
        <v/>
      </c>
      <c r="AG46" s="26">
        <f>IF(_xlfn.MAXIFS(Sets!$H$2:$H$2000,Sets!$A$2:$A$2000,$A46,Sets!$D$2:$D$2000,AG$1,Sets!$J$2:$J$2000,"N")=0,"",_xlfn.MAXIFS(Sets!$H$2:$H$2000,Sets!$A$2:$A$2000,$A46,Sets!$D$2:$D$2000,AG$1,Sets!$J$2:$J$2000,"N"))</f>
        <v/>
      </c>
      <c r="AH46" s="26">
        <f>IF(_xlfn.MAXIFS(Sets!$H$2:$H$2000,Sets!$A$2:$A$2000,$A46,Sets!$D$2:$D$2000,AH$1,Sets!$J$2:$J$2000,"N")=0,"",_xlfn.MAXIFS(Sets!$H$2:$H$2000,Sets!$A$2:$A$2000,$A46,Sets!$D$2:$D$2000,AH$1,Sets!$J$2:$J$2000,"N"))</f>
        <v/>
      </c>
      <c r="AI46">
        <f>IF(_xlfn.MAXIFS(Sets!$H$2:$H$2000,Sets!$A$2:$A$2000,$A46,Sets!$D$2:$D$2000,AI$1,Sets!$J$2:$J$2000,"N")=0,"",_xlfn.MAXIFS(Sets!$H$2:$H$2000,Sets!$A$2:$A$2000,$A46,Sets!$D$2:$D$2000,AI$1,Sets!$J$2:$J$2000,"N"))</f>
        <v/>
      </c>
      <c r="AJ46">
        <f>IF(_xlfn.MAXIFS(Sets!$H$2:$H$2000,Sets!$A$2:$A$2000,$A46,Sets!$D$2:$D$2000,AJ$1,Sets!$J$2:$J$2000,"N")=0,"",_xlfn.MAXIFS(Sets!$H$2:$H$2000,Sets!$A$2:$A$2000,$A46,Sets!$D$2:$D$2000,AJ$1,Sets!$J$2:$J$2000,"N"))</f>
        <v/>
      </c>
      <c r="AK46">
        <f>IF(_xlfn.MAXIFS(Sets!$H$2:$H$2000,Sets!$A$2:$A$2000,$A46,Sets!$D$2:$D$2000,AK$1,Sets!$J$2:$J$2000,"N")=0,"",_xlfn.MAXIFS(Sets!$H$2:$H$2000,Sets!$A$2:$A$2000,$A46,Sets!$D$2:$D$2000,AK$1,Sets!$J$2:$J$2000,"N"))</f>
        <v/>
      </c>
      <c r="AL46">
        <f>IF(_xlfn.MAXIFS(Sets!$H$2:$H$2000,Sets!$A$2:$A$2000,$A46,Sets!$D$2:$D$2000,AL$1,Sets!$J$2:$J$2000,"N")=0,"",_xlfn.MAXIFS(Sets!$H$2:$H$2000,Sets!$A$2:$A$2000,$A46,Sets!$D$2:$D$2000,AL$1,Sets!$J$2:$J$2000,"N"))</f>
        <v/>
      </c>
      <c r="AM46">
        <f>IF(_xlfn.MAXIFS(Sets!$H$2:$H$2000,Sets!$A$2:$A$2000,$A46,Sets!$D$2:$D$2000,AM$1,Sets!$J$2:$J$2000,"N")=0,"",_xlfn.MAXIFS(Sets!$H$2:$H$2000,Sets!$A$2:$A$2000,$A46,Sets!$D$2:$D$2000,AM$1,Sets!$J$2:$J$2000,"N"))</f>
        <v/>
      </c>
      <c r="AN46">
        <f>IF(_xlfn.MAXIFS(Sets!$H$2:$H$2000,Sets!$A$2:$A$2000,$A46,Sets!$D$2:$D$2000,AN$1,Sets!$J$2:$J$2000,"N")=0,"",_xlfn.MAXIFS(Sets!$H$2:$H$2000,Sets!$A$2:$A$2000,$A46,Sets!$D$2:$D$2000,AN$1,Sets!$J$2:$J$2000,"N"))</f>
        <v/>
      </c>
      <c r="AO46">
        <f>IF(_xlfn.MAXIFS(Sets!$H$2:$H$2000,Sets!$A$2:$A$2000,$A46,Sets!$D$2:$D$2000,AO$1,Sets!$J$2:$J$2000,"N")=0,"",_xlfn.MAXIFS(Sets!$H$2:$H$2000,Sets!$A$2:$A$2000,$A46,Sets!$D$2:$D$2000,AO$1,Sets!$J$2:$J$2000,"N"))</f>
        <v/>
      </c>
      <c r="AP46">
        <f>IF(_xlfn.MAXIFS(Sets!$H$2:$H$2000,Sets!$A$2:$A$2000,$A46,Sets!$D$2:$D$2000,AP$1,Sets!$J$2:$J$2000,"N")=0,"",_xlfn.MAXIFS(Sets!$H$2:$H$2000,Sets!$A$2:$A$2000,$A46,Sets!$D$2:$D$2000,AP$1,Sets!$J$2:$J$2000,"N"))</f>
        <v/>
      </c>
    </row>
    <row r="47" ht="15" customHeight="1" s="22">
      <c r="A47" s="39" t="n">
        <v>46213</v>
      </c>
      <c r="B47" s="26">
        <f>IF(_xlfn.MAXIFS(Sets!$H$2:$H$2000,Sets!$A$2:$A$2000,$A47,Sets!$D$2:$D$2000,B$1,Sets!$J$2:$J$2000,"N")=0,"",_xlfn.MAXIFS(Sets!$H$2:$H$2000,Sets!$A$2:$A$2000,$A47,Sets!$D$2:$D$2000,B$1,Sets!$J$2:$J$2000,"N"))</f>
        <v/>
      </c>
      <c r="C47" s="26">
        <f>IF(_xlfn.MAXIFS(Sets!$H$2:$H$2000,Sets!$A$2:$A$2000,$A47,Sets!$D$2:$D$2000,C$1,Sets!$J$2:$J$2000,"N")=0,"",_xlfn.MAXIFS(Sets!$H$2:$H$2000,Sets!$A$2:$A$2000,$A47,Sets!$D$2:$D$2000,C$1,Sets!$J$2:$J$2000,"N"))</f>
        <v/>
      </c>
      <c r="D47" s="26">
        <f>IF(_xlfn.MAXIFS(Sets!$H$2:$H$2000,Sets!$A$2:$A$2000,$A47,Sets!$D$2:$D$2000,D$1,Sets!$J$2:$J$2000,"N")=0,"",_xlfn.MAXIFS(Sets!$H$2:$H$2000,Sets!$A$2:$A$2000,$A47,Sets!$D$2:$D$2000,D$1,Sets!$J$2:$J$2000,"N"))</f>
        <v/>
      </c>
      <c r="E47" s="26">
        <f>IF(_xlfn.MAXIFS(Sets!$H$2:$H$2000,Sets!$A$2:$A$2000,$A47,Sets!$D$2:$D$2000,E$1,Sets!$J$2:$J$2000,"N")=0,"",_xlfn.MAXIFS(Sets!$H$2:$H$2000,Sets!$A$2:$A$2000,$A47,Sets!$D$2:$D$2000,E$1,Sets!$J$2:$J$2000,"N"))</f>
        <v/>
      </c>
      <c r="F47" s="26">
        <f>IF(_xlfn.MAXIFS(Sets!$H$2:$H$2000,Sets!$A$2:$A$2000,$A47,Sets!$D$2:$D$2000,F$1,Sets!$J$2:$J$2000,"N")=0,"",_xlfn.MAXIFS(Sets!$H$2:$H$2000,Sets!$A$2:$A$2000,$A47,Sets!$D$2:$D$2000,F$1,Sets!$J$2:$J$2000,"N"))</f>
        <v/>
      </c>
      <c r="G47" s="26">
        <f>IF(_xlfn.MAXIFS(Sets!$H$2:$H$2000,Sets!$A$2:$A$2000,$A47,Sets!$D$2:$D$2000,G$1,Sets!$J$2:$J$2000,"N")=0,"",_xlfn.MAXIFS(Sets!$H$2:$H$2000,Sets!$A$2:$A$2000,$A47,Sets!$D$2:$D$2000,G$1,Sets!$J$2:$J$2000,"N"))</f>
        <v/>
      </c>
      <c r="H47" s="26">
        <f>IF(_xlfn.MAXIFS(Sets!$H$2:$H$2000,Sets!$A$2:$A$2000,$A47,Sets!$D$2:$D$2000,H$1,Sets!$J$2:$J$2000,"N")=0,"",_xlfn.MAXIFS(Sets!$H$2:$H$2000,Sets!$A$2:$A$2000,$A47,Sets!$D$2:$D$2000,H$1,Sets!$J$2:$J$2000,"N"))</f>
        <v/>
      </c>
      <c r="I47" s="26">
        <f>IF(_xlfn.MAXIFS(Sets!$H$2:$H$2000,Sets!$A$2:$A$2000,$A47,Sets!$D$2:$D$2000,I$1,Sets!$J$2:$J$2000,"N")=0,"",_xlfn.MAXIFS(Sets!$H$2:$H$2000,Sets!$A$2:$A$2000,$A47,Sets!$D$2:$D$2000,I$1,Sets!$J$2:$J$2000,"N"))</f>
        <v/>
      </c>
      <c r="J47" s="26">
        <f>IF(_xlfn.MAXIFS(Sets!$H$2:$H$2000,Sets!$A$2:$A$2000,$A47,Sets!$D$2:$D$2000,J$1,Sets!$J$2:$J$2000,"N")=0,"",_xlfn.MAXIFS(Sets!$H$2:$H$2000,Sets!$A$2:$A$2000,$A47,Sets!$D$2:$D$2000,J$1,Sets!$J$2:$J$2000,"N"))</f>
        <v/>
      </c>
      <c r="K47" s="26">
        <f>IF(_xlfn.MAXIFS(Sets!$H$2:$H$2000,Sets!$A$2:$A$2000,$A47,Sets!$D$2:$D$2000,K$1,Sets!$J$2:$J$2000,"N")=0,"",_xlfn.MAXIFS(Sets!$H$2:$H$2000,Sets!$A$2:$A$2000,$A47,Sets!$D$2:$D$2000,K$1,Sets!$J$2:$J$2000,"N"))</f>
        <v/>
      </c>
      <c r="L47" s="26">
        <f>IF(_xlfn.MAXIFS(Sets!$H$2:$H$2000,Sets!$A$2:$A$2000,$A47,Sets!$D$2:$D$2000,L$1,Sets!$J$2:$J$2000,"N")=0,"",_xlfn.MAXIFS(Sets!$H$2:$H$2000,Sets!$A$2:$A$2000,$A47,Sets!$D$2:$D$2000,L$1,Sets!$J$2:$J$2000,"N"))</f>
        <v/>
      </c>
      <c r="M47" s="26">
        <f>IF(_xlfn.MAXIFS(Sets!$H$2:$H$2000,Sets!$A$2:$A$2000,$A47,Sets!$D$2:$D$2000,M$1,Sets!$J$2:$J$2000,"N")=0,"",_xlfn.MAXIFS(Sets!$H$2:$H$2000,Sets!$A$2:$A$2000,$A47,Sets!$D$2:$D$2000,M$1,Sets!$J$2:$J$2000,"N"))</f>
        <v/>
      </c>
      <c r="N47" s="26">
        <f>IF(_xlfn.MAXIFS(Sets!$H$2:$H$2000,Sets!$A$2:$A$2000,$A47,Sets!$D$2:$D$2000,N$1,Sets!$J$2:$J$2000,"N")=0,"",_xlfn.MAXIFS(Sets!$H$2:$H$2000,Sets!$A$2:$A$2000,$A47,Sets!$D$2:$D$2000,N$1,Sets!$J$2:$J$2000,"N"))</f>
        <v/>
      </c>
      <c r="O47" s="26">
        <f>IF(_xlfn.MAXIFS(Sets!$H$2:$H$2000,Sets!$A$2:$A$2000,$A47,Sets!$D$2:$D$2000,O$1,Sets!$J$2:$J$2000,"N")=0,"",_xlfn.MAXIFS(Sets!$H$2:$H$2000,Sets!$A$2:$A$2000,$A47,Sets!$D$2:$D$2000,O$1,Sets!$J$2:$J$2000,"N"))</f>
        <v/>
      </c>
      <c r="P47" s="26">
        <f>IF(_xlfn.MAXIFS(Sets!$H$2:$H$2000,Sets!$A$2:$A$2000,$A47,Sets!$D$2:$D$2000,P$1,Sets!$J$2:$J$2000,"N")=0,"",_xlfn.MAXIFS(Sets!$H$2:$H$2000,Sets!$A$2:$A$2000,$A47,Sets!$D$2:$D$2000,P$1,Sets!$J$2:$J$2000,"N"))</f>
        <v/>
      </c>
      <c r="Q47" s="26">
        <f>IF(_xlfn.MAXIFS(Sets!$H$2:$H$2000,Sets!$A$2:$A$2000,$A47,Sets!$D$2:$D$2000,Q$1,Sets!$J$2:$J$2000,"N")=0,"",_xlfn.MAXIFS(Sets!$H$2:$H$2000,Sets!$A$2:$A$2000,$A47,Sets!$D$2:$D$2000,Q$1,Sets!$J$2:$J$2000,"N"))</f>
        <v/>
      </c>
      <c r="R47" s="26">
        <f>IF(_xlfn.MAXIFS(Sets!$H$2:$H$2000,Sets!$A$2:$A$2000,$A47,Sets!$D$2:$D$2000,R$1,Sets!$J$2:$J$2000,"N")=0,"",_xlfn.MAXIFS(Sets!$H$2:$H$2000,Sets!$A$2:$A$2000,$A47,Sets!$D$2:$D$2000,R$1,Sets!$J$2:$J$2000,"N"))</f>
        <v/>
      </c>
      <c r="S47" s="26">
        <f>IF(_xlfn.MAXIFS(Sets!$H$2:$H$2000,Sets!$A$2:$A$2000,$A47,Sets!$D$2:$D$2000,S$1,Sets!$J$2:$J$2000,"N")=0,"",_xlfn.MAXIFS(Sets!$H$2:$H$2000,Sets!$A$2:$A$2000,$A47,Sets!$D$2:$D$2000,S$1,Sets!$J$2:$J$2000,"N"))</f>
        <v/>
      </c>
      <c r="T47" s="26">
        <f>IF(_xlfn.MAXIFS(Sets!$H$2:$H$2000,Sets!$A$2:$A$2000,$A47,Sets!$D$2:$D$2000,T$1,Sets!$J$2:$J$2000,"N")=0,"",_xlfn.MAXIFS(Sets!$H$2:$H$2000,Sets!$A$2:$A$2000,$A47,Sets!$D$2:$D$2000,T$1,Sets!$J$2:$J$2000,"N"))</f>
        <v/>
      </c>
      <c r="U47" s="26">
        <f>IF(_xlfn.MAXIFS(Sets!$H$2:$H$2000,Sets!$A$2:$A$2000,$A47,Sets!$D$2:$D$2000,U$1,Sets!$J$2:$J$2000,"N")=0,"",_xlfn.MAXIFS(Sets!$H$2:$H$2000,Sets!$A$2:$A$2000,$A47,Sets!$D$2:$D$2000,U$1,Sets!$J$2:$J$2000,"N"))</f>
        <v/>
      </c>
      <c r="V47" s="26">
        <f>IF(_xlfn.MAXIFS(Sets!$H$2:$H$2000,Sets!$A$2:$A$2000,$A47,Sets!$D$2:$D$2000,V$1,Sets!$J$2:$J$2000,"N")=0,"",_xlfn.MAXIFS(Sets!$H$2:$H$2000,Sets!$A$2:$A$2000,$A47,Sets!$D$2:$D$2000,V$1,Sets!$J$2:$J$2000,"N"))</f>
        <v/>
      </c>
      <c r="W47" s="26">
        <f>IF(_xlfn.MAXIFS(Sets!$H$2:$H$2000,Sets!$A$2:$A$2000,$A47,Sets!$D$2:$D$2000,W$1,Sets!$J$2:$J$2000,"N")=0,"",_xlfn.MAXIFS(Sets!$H$2:$H$2000,Sets!$A$2:$A$2000,$A47,Sets!$D$2:$D$2000,W$1,Sets!$J$2:$J$2000,"N"))</f>
        <v/>
      </c>
      <c r="X47" s="26">
        <f>IF(_xlfn.MAXIFS(Sets!$H$2:$H$2000,Sets!$A$2:$A$2000,$A47,Sets!$D$2:$D$2000,X$1,Sets!$J$2:$J$2000,"N")=0,"",_xlfn.MAXIFS(Sets!$H$2:$H$2000,Sets!$A$2:$A$2000,$A47,Sets!$D$2:$D$2000,X$1,Sets!$J$2:$J$2000,"N"))</f>
        <v/>
      </c>
      <c r="Y47" s="26">
        <f>IF(_xlfn.MAXIFS(Sets!$H$2:$H$2000,Sets!$A$2:$A$2000,$A47,Sets!$D$2:$D$2000,Y$1,Sets!$J$2:$J$2000,"N")=0,"",_xlfn.MAXIFS(Sets!$H$2:$H$2000,Sets!$A$2:$A$2000,$A47,Sets!$D$2:$D$2000,Y$1,Sets!$J$2:$J$2000,"N"))</f>
        <v/>
      </c>
      <c r="Z47" s="26">
        <f>IF(_xlfn.MAXIFS(Sets!$H$2:$H$2000,Sets!$A$2:$A$2000,$A47,Sets!$D$2:$D$2000,Z$1,Sets!$J$2:$J$2000,"N")=0,"",_xlfn.MAXIFS(Sets!$H$2:$H$2000,Sets!$A$2:$A$2000,$A47,Sets!$D$2:$D$2000,Z$1,Sets!$J$2:$J$2000,"N"))</f>
        <v/>
      </c>
      <c r="AA47" s="26">
        <f>IF(_xlfn.MAXIFS(Sets!$H$2:$H$2000,Sets!$A$2:$A$2000,$A47,Sets!$D$2:$D$2000,AA$1,Sets!$J$2:$J$2000,"N")=0,"",_xlfn.MAXIFS(Sets!$H$2:$H$2000,Sets!$A$2:$A$2000,$A47,Sets!$D$2:$D$2000,AA$1,Sets!$J$2:$J$2000,"N"))</f>
        <v/>
      </c>
      <c r="AB47" s="26">
        <f>IF(_xlfn.MAXIFS(Sets!$H$2:$H$2000,Sets!$A$2:$A$2000,$A47,Sets!$D$2:$D$2000,AB$1,Sets!$J$2:$J$2000,"N")=0,"",_xlfn.MAXIFS(Sets!$H$2:$H$2000,Sets!$A$2:$A$2000,$A47,Sets!$D$2:$D$2000,AB$1,Sets!$J$2:$J$2000,"N"))</f>
        <v/>
      </c>
      <c r="AC47" s="26">
        <f>IF(_xlfn.MAXIFS(Sets!$H$2:$H$2000,Sets!$A$2:$A$2000,$A47,Sets!$D$2:$D$2000,AC$1,Sets!$J$2:$J$2000,"N")=0,"",_xlfn.MAXIFS(Sets!$H$2:$H$2000,Sets!$A$2:$A$2000,$A47,Sets!$D$2:$D$2000,AC$1,Sets!$J$2:$J$2000,"N"))</f>
        <v/>
      </c>
      <c r="AD47" s="26">
        <f>IF(_xlfn.MAXIFS(Sets!$H$2:$H$2000,Sets!$A$2:$A$2000,$A47,Sets!$D$2:$D$2000,AD$1,Sets!$J$2:$J$2000,"N")=0,"",_xlfn.MAXIFS(Sets!$H$2:$H$2000,Sets!$A$2:$A$2000,$A47,Sets!$D$2:$D$2000,AD$1,Sets!$J$2:$J$2000,"N"))</f>
        <v/>
      </c>
      <c r="AE47" s="26">
        <f>IF(_xlfn.MAXIFS(Sets!$H$2:$H$2000,Sets!$A$2:$A$2000,$A47,Sets!$D$2:$D$2000,AE$1,Sets!$J$2:$J$2000,"N")=0,"",_xlfn.MAXIFS(Sets!$H$2:$H$2000,Sets!$A$2:$A$2000,$A47,Sets!$D$2:$D$2000,AE$1,Sets!$J$2:$J$2000,"N"))</f>
        <v/>
      </c>
      <c r="AF47" s="26">
        <f>IF(_xlfn.MAXIFS(Sets!$H$2:$H$2000,Sets!$A$2:$A$2000,$A47,Sets!$D$2:$D$2000,AF$1,Sets!$J$2:$J$2000,"N")=0,"",_xlfn.MAXIFS(Sets!$H$2:$H$2000,Sets!$A$2:$A$2000,$A47,Sets!$D$2:$D$2000,AF$1,Sets!$J$2:$J$2000,"N"))</f>
        <v/>
      </c>
      <c r="AG47" s="26">
        <f>IF(_xlfn.MAXIFS(Sets!$H$2:$H$2000,Sets!$A$2:$A$2000,$A47,Sets!$D$2:$D$2000,AG$1,Sets!$J$2:$J$2000,"N")=0,"",_xlfn.MAXIFS(Sets!$H$2:$H$2000,Sets!$A$2:$A$2000,$A47,Sets!$D$2:$D$2000,AG$1,Sets!$J$2:$J$2000,"N"))</f>
        <v/>
      </c>
      <c r="AH47" s="26">
        <f>IF(_xlfn.MAXIFS(Sets!$H$2:$H$2000,Sets!$A$2:$A$2000,$A47,Sets!$D$2:$D$2000,AH$1,Sets!$J$2:$J$2000,"N")=0,"",_xlfn.MAXIFS(Sets!$H$2:$H$2000,Sets!$A$2:$A$2000,$A47,Sets!$D$2:$D$2000,AH$1,Sets!$J$2:$J$2000,"N"))</f>
        <v/>
      </c>
      <c r="AI47">
        <f>IF(_xlfn.MAXIFS(Sets!$H$2:$H$2000,Sets!$A$2:$A$2000,$A47,Sets!$D$2:$D$2000,AI$1,Sets!$J$2:$J$2000,"N")=0,"",_xlfn.MAXIFS(Sets!$H$2:$H$2000,Sets!$A$2:$A$2000,$A47,Sets!$D$2:$D$2000,AI$1,Sets!$J$2:$J$2000,"N"))</f>
        <v/>
      </c>
      <c r="AJ47">
        <f>IF(_xlfn.MAXIFS(Sets!$H$2:$H$2000,Sets!$A$2:$A$2000,$A47,Sets!$D$2:$D$2000,AJ$1,Sets!$J$2:$J$2000,"N")=0,"",_xlfn.MAXIFS(Sets!$H$2:$H$2000,Sets!$A$2:$A$2000,$A47,Sets!$D$2:$D$2000,AJ$1,Sets!$J$2:$J$2000,"N"))</f>
        <v/>
      </c>
      <c r="AK47">
        <f>IF(_xlfn.MAXIFS(Sets!$H$2:$H$2000,Sets!$A$2:$A$2000,$A47,Sets!$D$2:$D$2000,AK$1,Sets!$J$2:$J$2000,"N")=0,"",_xlfn.MAXIFS(Sets!$H$2:$H$2000,Sets!$A$2:$A$2000,$A47,Sets!$D$2:$D$2000,AK$1,Sets!$J$2:$J$2000,"N"))</f>
        <v/>
      </c>
      <c r="AL47">
        <f>IF(_xlfn.MAXIFS(Sets!$H$2:$H$2000,Sets!$A$2:$A$2000,$A47,Sets!$D$2:$D$2000,AL$1,Sets!$J$2:$J$2000,"N")=0,"",_xlfn.MAXIFS(Sets!$H$2:$H$2000,Sets!$A$2:$A$2000,$A47,Sets!$D$2:$D$2000,AL$1,Sets!$J$2:$J$2000,"N"))</f>
        <v/>
      </c>
      <c r="AM47">
        <f>IF(_xlfn.MAXIFS(Sets!$H$2:$H$2000,Sets!$A$2:$A$2000,$A47,Sets!$D$2:$D$2000,AM$1,Sets!$J$2:$J$2000,"N")=0,"",_xlfn.MAXIFS(Sets!$H$2:$H$2000,Sets!$A$2:$A$2000,$A47,Sets!$D$2:$D$2000,AM$1,Sets!$J$2:$J$2000,"N"))</f>
        <v/>
      </c>
      <c r="AN47">
        <f>IF(_xlfn.MAXIFS(Sets!$H$2:$H$2000,Sets!$A$2:$A$2000,$A47,Sets!$D$2:$D$2000,AN$1,Sets!$J$2:$J$2000,"N")=0,"",_xlfn.MAXIFS(Sets!$H$2:$H$2000,Sets!$A$2:$A$2000,$A47,Sets!$D$2:$D$2000,AN$1,Sets!$J$2:$J$2000,"N"))</f>
        <v/>
      </c>
      <c r="AO47">
        <f>IF(_xlfn.MAXIFS(Sets!$H$2:$H$2000,Sets!$A$2:$A$2000,$A47,Sets!$D$2:$D$2000,AO$1,Sets!$J$2:$J$2000,"N")=0,"",_xlfn.MAXIFS(Sets!$H$2:$H$2000,Sets!$A$2:$A$2000,$A47,Sets!$D$2:$D$2000,AO$1,Sets!$J$2:$J$2000,"N"))</f>
        <v/>
      </c>
      <c r="AP47">
        <f>IF(_xlfn.MAXIFS(Sets!$H$2:$H$2000,Sets!$A$2:$A$2000,$A47,Sets!$D$2:$D$2000,AP$1,Sets!$J$2:$J$2000,"N")=0,"",_xlfn.MAXIFS(Sets!$H$2:$H$2000,Sets!$A$2:$A$2000,$A47,Sets!$D$2:$D$2000,AP$1,Sets!$J$2:$J$2000,"N"))</f>
        <v/>
      </c>
    </row>
    <row r="48" ht="15" customHeight="1" s="22">
      <c r="A48" s="39" t="n">
        <v>46217</v>
      </c>
      <c r="B48" s="26">
        <f>IF(_xlfn.MAXIFS(Sets!$H$2:$H$2000,Sets!$A$2:$A$2000,$A48,Sets!$D$2:$D$2000,B$1,Sets!$J$2:$J$2000,"N")=0,"",_xlfn.MAXIFS(Sets!$H$2:$H$2000,Sets!$A$2:$A$2000,$A48,Sets!$D$2:$D$2000,B$1,Sets!$J$2:$J$2000,"N"))</f>
        <v/>
      </c>
      <c r="C48" s="26">
        <f>IF(_xlfn.MAXIFS(Sets!$H$2:$H$2000,Sets!$A$2:$A$2000,$A48,Sets!$D$2:$D$2000,C$1,Sets!$J$2:$J$2000,"N")=0,"",_xlfn.MAXIFS(Sets!$H$2:$H$2000,Sets!$A$2:$A$2000,$A48,Sets!$D$2:$D$2000,C$1,Sets!$J$2:$J$2000,"N"))</f>
        <v/>
      </c>
      <c r="D48" s="26">
        <f>IF(_xlfn.MAXIFS(Sets!$H$2:$H$2000,Sets!$A$2:$A$2000,$A48,Sets!$D$2:$D$2000,D$1,Sets!$J$2:$J$2000,"N")=0,"",_xlfn.MAXIFS(Sets!$H$2:$H$2000,Sets!$A$2:$A$2000,$A48,Sets!$D$2:$D$2000,D$1,Sets!$J$2:$J$2000,"N"))</f>
        <v/>
      </c>
      <c r="E48" s="26">
        <f>IF(_xlfn.MAXIFS(Sets!$H$2:$H$2000,Sets!$A$2:$A$2000,$A48,Sets!$D$2:$D$2000,E$1,Sets!$J$2:$J$2000,"N")=0,"",_xlfn.MAXIFS(Sets!$H$2:$H$2000,Sets!$A$2:$A$2000,$A48,Sets!$D$2:$D$2000,E$1,Sets!$J$2:$J$2000,"N"))</f>
        <v/>
      </c>
      <c r="F48" s="26">
        <f>IF(_xlfn.MAXIFS(Sets!$H$2:$H$2000,Sets!$A$2:$A$2000,$A48,Sets!$D$2:$D$2000,F$1,Sets!$J$2:$J$2000,"N")=0,"",_xlfn.MAXIFS(Sets!$H$2:$H$2000,Sets!$A$2:$A$2000,$A48,Sets!$D$2:$D$2000,F$1,Sets!$J$2:$J$2000,"N"))</f>
        <v/>
      </c>
      <c r="G48" s="26">
        <f>IF(_xlfn.MAXIFS(Sets!$H$2:$H$2000,Sets!$A$2:$A$2000,$A48,Sets!$D$2:$D$2000,G$1,Sets!$J$2:$J$2000,"N")=0,"",_xlfn.MAXIFS(Sets!$H$2:$H$2000,Sets!$A$2:$A$2000,$A48,Sets!$D$2:$D$2000,G$1,Sets!$J$2:$J$2000,"N"))</f>
        <v/>
      </c>
      <c r="H48" s="26">
        <f>IF(_xlfn.MAXIFS(Sets!$H$2:$H$2000,Sets!$A$2:$A$2000,$A48,Sets!$D$2:$D$2000,H$1,Sets!$J$2:$J$2000,"N")=0,"",_xlfn.MAXIFS(Sets!$H$2:$H$2000,Sets!$A$2:$A$2000,$A48,Sets!$D$2:$D$2000,H$1,Sets!$J$2:$J$2000,"N"))</f>
        <v/>
      </c>
      <c r="I48" s="26">
        <f>IF(_xlfn.MAXIFS(Sets!$H$2:$H$2000,Sets!$A$2:$A$2000,$A48,Sets!$D$2:$D$2000,I$1,Sets!$J$2:$J$2000,"N")=0,"",_xlfn.MAXIFS(Sets!$H$2:$H$2000,Sets!$A$2:$A$2000,$A48,Sets!$D$2:$D$2000,I$1,Sets!$J$2:$J$2000,"N"))</f>
        <v/>
      </c>
      <c r="J48" s="26">
        <f>IF(_xlfn.MAXIFS(Sets!$H$2:$H$2000,Sets!$A$2:$A$2000,$A48,Sets!$D$2:$D$2000,J$1,Sets!$J$2:$J$2000,"N")=0,"",_xlfn.MAXIFS(Sets!$H$2:$H$2000,Sets!$A$2:$A$2000,$A48,Sets!$D$2:$D$2000,J$1,Sets!$J$2:$J$2000,"N"))</f>
        <v/>
      </c>
      <c r="K48" s="26">
        <f>IF(_xlfn.MAXIFS(Sets!$H$2:$H$2000,Sets!$A$2:$A$2000,$A48,Sets!$D$2:$D$2000,K$1,Sets!$J$2:$J$2000,"N")=0,"",_xlfn.MAXIFS(Sets!$H$2:$H$2000,Sets!$A$2:$A$2000,$A48,Sets!$D$2:$D$2000,K$1,Sets!$J$2:$J$2000,"N"))</f>
        <v/>
      </c>
      <c r="L48" s="26">
        <f>IF(_xlfn.MAXIFS(Sets!$H$2:$H$2000,Sets!$A$2:$A$2000,$A48,Sets!$D$2:$D$2000,L$1,Sets!$J$2:$J$2000,"N")=0,"",_xlfn.MAXIFS(Sets!$H$2:$H$2000,Sets!$A$2:$A$2000,$A48,Sets!$D$2:$D$2000,L$1,Sets!$J$2:$J$2000,"N"))</f>
        <v/>
      </c>
      <c r="M48" s="26">
        <f>IF(_xlfn.MAXIFS(Sets!$H$2:$H$2000,Sets!$A$2:$A$2000,$A48,Sets!$D$2:$D$2000,M$1,Sets!$J$2:$J$2000,"N")=0,"",_xlfn.MAXIFS(Sets!$H$2:$H$2000,Sets!$A$2:$A$2000,$A48,Sets!$D$2:$D$2000,M$1,Sets!$J$2:$J$2000,"N"))</f>
        <v/>
      </c>
      <c r="N48" s="26">
        <f>IF(_xlfn.MAXIFS(Sets!$H$2:$H$2000,Sets!$A$2:$A$2000,$A48,Sets!$D$2:$D$2000,N$1,Sets!$J$2:$J$2000,"N")=0,"",_xlfn.MAXIFS(Sets!$H$2:$H$2000,Sets!$A$2:$A$2000,$A48,Sets!$D$2:$D$2000,N$1,Sets!$J$2:$J$2000,"N"))</f>
        <v/>
      </c>
      <c r="O48" s="26">
        <f>IF(_xlfn.MAXIFS(Sets!$H$2:$H$2000,Sets!$A$2:$A$2000,$A48,Sets!$D$2:$D$2000,O$1,Sets!$J$2:$J$2000,"N")=0,"",_xlfn.MAXIFS(Sets!$H$2:$H$2000,Sets!$A$2:$A$2000,$A48,Sets!$D$2:$D$2000,O$1,Sets!$J$2:$J$2000,"N"))</f>
        <v/>
      </c>
      <c r="P48" s="26">
        <f>IF(_xlfn.MAXIFS(Sets!$H$2:$H$2000,Sets!$A$2:$A$2000,$A48,Sets!$D$2:$D$2000,P$1,Sets!$J$2:$J$2000,"N")=0,"",_xlfn.MAXIFS(Sets!$H$2:$H$2000,Sets!$A$2:$A$2000,$A48,Sets!$D$2:$D$2000,P$1,Sets!$J$2:$J$2000,"N"))</f>
        <v/>
      </c>
      <c r="Q48" s="26">
        <f>IF(_xlfn.MAXIFS(Sets!$H$2:$H$2000,Sets!$A$2:$A$2000,$A48,Sets!$D$2:$D$2000,Q$1,Sets!$J$2:$J$2000,"N")=0,"",_xlfn.MAXIFS(Sets!$H$2:$H$2000,Sets!$A$2:$A$2000,$A48,Sets!$D$2:$D$2000,Q$1,Sets!$J$2:$J$2000,"N"))</f>
        <v/>
      </c>
      <c r="R48" s="26">
        <f>IF(_xlfn.MAXIFS(Sets!$H$2:$H$2000,Sets!$A$2:$A$2000,$A48,Sets!$D$2:$D$2000,R$1,Sets!$J$2:$J$2000,"N")=0,"",_xlfn.MAXIFS(Sets!$H$2:$H$2000,Sets!$A$2:$A$2000,$A48,Sets!$D$2:$D$2000,R$1,Sets!$J$2:$J$2000,"N"))</f>
        <v/>
      </c>
      <c r="S48" s="26">
        <f>IF(_xlfn.MAXIFS(Sets!$H$2:$H$2000,Sets!$A$2:$A$2000,$A48,Sets!$D$2:$D$2000,S$1,Sets!$J$2:$J$2000,"N")=0,"",_xlfn.MAXIFS(Sets!$H$2:$H$2000,Sets!$A$2:$A$2000,$A48,Sets!$D$2:$D$2000,S$1,Sets!$J$2:$J$2000,"N"))</f>
        <v/>
      </c>
      <c r="T48" s="26">
        <f>IF(_xlfn.MAXIFS(Sets!$H$2:$H$2000,Sets!$A$2:$A$2000,$A48,Sets!$D$2:$D$2000,T$1,Sets!$J$2:$J$2000,"N")=0,"",_xlfn.MAXIFS(Sets!$H$2:$H$2000,Sets!$A$2:$A$2000,$A48,Sets!$D$2:$D$2000,T$1,Sets!$J$2:$J$2000,"N"))</f>
        <v/>
      </c>
      <c r="U48" s="26">
        <f>IF(_xlfn.MAXIFS(Sets!$H$2:$H$2000,Sets!$A$2:$A$2000,$A48,Sets!$D$2:$D$2000,U$1,Sets!$J$2:$J$2000,"N")=0,"",_xlfn.MAXIFS(Sets!$H$2:$H$2000,Sets!$A$2:$A$2000,$A48,Sets!$D$2:$D$2000,U$1,Sets!$J$2:$J$2000,"N"))</f>
        <v/>
      </c>
      <c r="V48" s="26">
        <f>IF(_xlfn.MAXIFS(Sets!$H$2:$H$2000,Sets!$A$2:$A$2000,$A48,Sets!$D$2:$D$2000,V$1,Sets!$J$2:$J$2000,"N")=0,"",_xlfn.MAXIFS(Sets!$H$2:$H$2000,Sets!$A$2:$A$2000,$A48,Sets!$D$2:$D$2000,V$1,Sets!$J$2:$J$2000,"N"))</f>
        <v/>
      </c>
      <c r="W48" s="26">
        <f>IF(_xlfn.MAXIFS(Sets!$H$2:$H$2000,Sets!$A$2:$A$2000,$A48,Sets!$D$2:$D$2000,W$1,Sets!$J$2:$J$2000,"N")=0,"",_xlfn.MAXIFS(Sets!$H$2:$H$2000,Sets!$A$2:$A$2000,$A48,Sets!$D$2:$D$2000,W$1,Sets!$J$2:$J$2000,"N"))</f>
        <v/>
      </c>
      <c r="X48" s="26">
        <f>IF(_xlfn.MAXIFS(Sets!$H$2:$H$2000,Sets!$A$2:$A$2000,$A48,Sets!$D$2:$D$2000,X$1,Sets!$J$2:$J$2000,"N")=0,"",_xlfn.MAXIFS(Sets!$H$2:$H$2000,Sets!$A$2:$A$2000,$A48,Sets!$D$2:$D$2000,X$1,Sets!$J$2:$J$2000,"N"))</f>
        <v/>
      </c>
      <c r="Y48" s="26">
        <f>IF(_xlfn.MAXIFS(Sets!$H$2:$H$2000,Sets!$A$2:$A$2000,$A48,Sets!$D$2:$D$2000,Y$1,Sets!$J$2:$J$2000,"N")=0,"",_xlfn.MAXIFS(Sets!$H$2:$H$2000,Sets!$A$2:$A$2000,$A48,Sets!$D$2:$D$2000,Y$1,Sets!$J$2:$J$2000,"N"))</f>
        <v/>
      </c>
      <c r="Z48" s="26">
        <f>IF(_xlfn.MAXIFS(Sets!$H$2:$H$2000,Sets!$A$2:$A$2000,$A48,Sets!$D$2:$D$2000,Z$1,Sets!$J$2:$J$2000,"N")=0,"",_xlfn.MAXIFS(Sets!$H$2:$H$2000,Sets!$A$2:$A$2000,$A48,Sets!$D$2:$D$2000,Z$1,Sets!$J$2:$J$2000,"N"))</f>
        <v/>
      </c>
      <c r="AA48" s="26">
        <f>IF(_xlfn.MAXIFS(Sets!$H$2:$H$2000,Sets!$A$2:$A$2000,$A48,Sets!$D$2:$D$2000,AA$1,Sets!$J$2:$J$2000,"N")=0,"",_xlfn.MAXIFS(Sets!$H$2:$H$2000,Sets!$A$2:$A$2000,$A48,Sets!$D$2:$D$2000,AA$1,Sets!$J$2:$J$2000,"N"))</f>
        <v/>
      </c>
      <c r="AB48" s="26">
        <f>IF(_xlfn.MAXIFS(Sets!$H$2:$H$2000,Sets!$A$2:$A$2000,$A48,Sets!$D$2:$D$2000,AB$1,Sets!$J$2:$J$2000,"N")=0,"",_xlfn.MAXIFS(Sets!$H$2:$H$2000,Sets!$A$2:$A$2000,$A48,Sets!$D$2:$D$2000,AB$1,Sets!$J$2:$J$2000,"N"))</f>
        <v/>
      </c>
      <c r="AC48" s="26">
        <f>IF(_xlfn.MAXIFS(Sets!$H$2:$H$2000,Sets!$A$2:$A$2000,$A48,Sets!$D$2:$D$2000,AC$1,Sets!$J$2:$J$2000,"N")=0,"",_xlfn.MAXIFS(Sets!$H$2:$H$2000,Sets!$A$2:$A$2000,$A48,Sets!$D$2:$D$2000,AC$1,Sets!$J$2:$J$2000,"N"))</f>
        <v/>
      </c>
      <c r="AD48" s="26">
        <f>IF(_xlfn.MAXIFS(Sets!$H$2:$H$2000,Sets!$A$2:$A$2000,$A48,Sets!$D$2:$D$2000,AD$1,Sets!$J$2:$J$2000,"N")=0,"",_xlfn.MAXIFS(Sets!$H$2:$H$2000,Sets!$A$2:$A$2000,$A48,Sets!$D$2:$D$2000,AD$1,Sets!$J$2:$J$2000,"N"))</f>
        <v/>
      </c>
      <c r="AE48" s="26">
        <f>IF(_xlfn.MAXIFS(Sets!$H$2:$H$2000,Sets!$A$2:$A$2000,$A48,Sets!$D$2:$D$2000,AE$1,Sets!$J$2:$J$2000,"N")=0,"",_xlfn.MAXIFS(Sets!$H$2:$H$2000,Sets!$A$2:$A$2000,$A48,Sets!$D$2:$D$2000,AE$1,Sets!$J$2:$J$2000,"N"))</f>
        <v/>
      </c>
      <c r="AF48" s="26">
        <f>IF(_xlfn.MAXIFS(Sets!$H$2:$H$2000,Sets!$A$2:$A$2000,$A48,Sets!$D$2:$D$2000,AF$1,Sets!$J$2:$J$2000,"N")=0,"",_xlfn.MAXIFS(Sets!$H$2:$H$2000,Sets!$A$2:$A$2000,$A48,Sets!$D$2:$D$2000,AF$1,Sets!$J$2:$J$2000,"N"))</f>
        <v/>
      </c>
      <c r="AG48" s="26">
        <f>IF(_xlfn.MAXIFS(Sets!$H$2:$H$2000,Sets!$A$2:$A$2000,$A48,Sets!$D$2:$D$2000,AG$1,Sets!$J$2:$J$2000,"N")=0,"",_xlfn.MAXIFS(Sets!$H$2:$H$2000,Sets!$A$2:$A$2000,$A48,Sets!$D$2:$D$2000,AG$1,Sets!$J$2:$J$2000,"N"))</f>
        <v/>
      </c>
      <c r="AH48" s="26">
        <f>IF(_xlfn.MAXIFS(Sets!$H$2:$H$2000,Sets!$A$2:$A$2000,$A48,Sets!$D$2:$D$2000,AH$1,Sets!$J$2:$J$2000,"N")=0,"",_xlfn.MAXIFS(Sets!$H$2:$H$2000,Sets!$A$2:$A$2000,$A48,Sets!$D$2:$D$2000,AH$1,Sets!$J$2:$J$2000,"N"))</f>
        <v/>
      </c>
      <c r="AI48">
        <f>IF(_xlfn.MAXIFS(Sets!$H$2:$H$2000,Sets!$A$2:$A$2000,$A48,Sets!$D$2:$D$2000,AI$1,Sets!$J$2:$J$2000,"N")=0,"",_xlfn.MAXIFS(Sets!$H$2:$H$2000,Sets!$A$2:$A$2000,$A48,Sets!$D$2:$D$2000,AI$1,Sets!$J$2:$J$2000,"N"))</f>
        <v/>
      </c>
      <c r="AJ48">
        <f>IF(_xlfn.MAXIFS(Sets!$H$2:$H$2000,Sets!$A$2:$A$2000,$A48,Sets!$D$2:$D$2000,AJ$1,Sets!$J$2:$J$2000,"N")=0,"",_xlfn.MAXIFS(Sets!$H$2:$H$2000,Sets!$A$2:$A$2000,$A48,Sets!$D$2:$D$2000,AJ$1,Sets!$J$2:$J$2000,"N"))</f>
        <v/>
      </c>
      <c r="AK48">
        <f>IF(_xlfn.MAXIFS(Sets!$H$2:$H$2000,Sets!$A$2:$A$2000,$A48,Sets!$D$2:$D$2000,AK$1,Sets!$J$2:$J$2000,"N")=0,"",_xlfn.MAXIFS(Sets!$H$2:$H$2000,Sets!$A$2:$A$2000,$A48,Sets!$D$2:$D$2000,AK$1,Sets!$J$2:$J$2000,"N"))</f>
        <v/>
      </c>
      <c r="AL48">
        <f>IF(_xlfn.MAXIFS(Sets!$H$2:$H$2000,Sets!$A$2:$A$2000,$A48,Sets!$D$2:$D$2000,AL$1,Sets!$J$2:$J$2000,"N")=0,"",_xlfn.MAXIFS(Sets!$H$2:$H$2000,Sets!$A$2:$A$2000,$A48,Sets!$D$2:$D$2000,AL$1,Sets!$J$2:$J$2000,"N"))</f>
        <v/>
      </c>
      <c r="AM48">
        <f>IF(_xlfn.MAXIFS(Sets!$H$2:$H$2000,Sets!$A$2:$A$2000,$A48,Sets!$D$2:$D$2000,AM$1,Sets!$J$2:$J$2000,"N")=0,"",_xlfn.MAXIFS(Sets!$H$2:$H$2000,Sets!$A$2:$A$2000,$A48,Sets!$D$2:$D$2000,AM$1,Sets!$J$2:$J$2000,"N"))</f>
        <v/>
      </c>
      <c r="AN48">
        <f>IF(_xlfn.MAXIFS(Sets!$H$2:$H$2000,Sets!$A$2:$A$2000,$A48,Sets!$D$2:$D$2000,AN$1,Sets!$J$2:$J$2000,"N")=0,"",_xlfn.MAXIFS(Sets!$H$2:$H$2000,Sets!$A$2:$A$2000,$A48,Sets!$D$2:$D$2000,AN$1,Sets!$J$2:$J$2000,"N"))</f>
        <v/>
      </c>
      <c r="AO48">
        <f>IF(_xlfn.MAXIFS(Sets!$H$2:$H$2000,Sets!$A$2:$A$2000,$A48,Sets!$D$2:$D$2000,AO$1,Sets!$J$2:$J$2000,"N")=0,"",_xlfn.MAXIFS(Sets!$H$2:$H$2000,Sets!$A$2:$A$2000,$A48,Sets!$D$2:$D$2000,AO$1,Sets!$J$2:$J$2000,"N"))</f>
        <v/>
      </c>
      <c r="AP48">
        <f>IF(_xlfn.MAXIFS(Sets!$H$2:$H$2000,Sets!$A$2:$A$2000,$A48,Sets!$D$2:$D$2000,AP$1,Sets!$J$2:$J$2000,"N")=0,"",_xlfn.MAXIFS(Sets!$H$2:$H$2000,Sets!$A$2:$A$2000,$A48,Sets!$D$2:$D$2000,AP$1,Sets!$J$2:$J$2000,"N"))</f>
        <v/>
      </c>
    </row>
    <row r="49" ht="15" customHeight="1" s="22">
      <c r="A49" s="39" t="n">
        <v>46219</v>
      </c>
      <c r="B49" s="26">
        <f>IF(_xlfn.MAXIFS(Sets!$H$2:$H$2000,Sets!$A$2:$A$2000,$A49,Sets!$D$2:$D$2000,B$1,Sets!$J$2:$J$2000,"N")=0,"",_xlfn.MAXIFS(Sets!$H$2:$H$2000,Sets!$A$2:$A$2000,$A49,Sets!$D$2:$D$2000,B$1,Sets!$J$2:$J$2000,"N"))</f>
        <v/>
      </c>
      <c r="C49" s="26">
        <f>IF(_xlfn.MAXIFS(Sets!$H$2:$H$2000,Sets!$A$2:$A$2000,$A49,Sets!$D$2:$D$2000,C$1,Sets!$J$2:$J$2000,"N")=0,"",_xlfn.MAXIFS(Sets!$H$2:$H$2000,Sets!$A$2:$A$2000,$A49,Sets!$D$2:$D$2000,C$1,Sets!$J$2:$J$2000,"N"))</f>
        <v/>
      </c>
      <c r="D49" s="26">
        <f>IF(_xlfn.MAXIFS(Sets!$H$2:$H$2000,Sets!$A$2:$A$2000,$A49,Sets!$D$2:$D$2000,D$1,Sets!$J$2:$J$2000,"N")=0,"",_xlfn.MAXIFS(Sets!$H$2:$H$2000,Sets!$A$2:$A$2000,$A49,Sets!$D$2:$D$2000,D$1,Sets!$J$2:$J$2000,"N"))</f>
        <v/>
      </c>
      <c r="E49" s="26">
        <f>IF(_xlfn.MAXIFS(Sets!$H$2:$H$2000,Sets!$A$2:$A$2000,$A49,Sets!$D$2:$D$2000,E$1,Sets!$J$2:$J$2000,"N")=0,"",_xlfn.MAXIFS(Sets!$H$2:$H$2000,Sets!$A$2:$A$2000,$A49,Sets!$D$2:$D$2000,E$1,Sets!$J$2:$J$2000,"N"))</f>
        <v/>
      </c>
      <c r="F49" s="26">
        <f>IF(_xlfn.MAXIFS(Sets!$H$2:$H$2000,Sets!$A$2:$A$2000,$A49,Sets!$D$2:$D$2000,F$1,Sets!$J$2:$J$2000,"N")=0,"",_xlfn.MAXIFS(Sets!$H$2:$H$2000,Sets!$A$2:$A$2000,$A49,Sets!$D$2:$D$2000,F$1,Sets!$J$2:$J$2000,"N"))</f>
        <v/>
      </c>
      <c r="G49" s="26">
        <f>IF(_xlfn.MAXIFS(Sets!$H$2:$H$2000,Sets!$A$2:$A$2000,$A49,Sets!$D$2:$D$2000,G$1,Sets!$J$2:$J$2000,"N")=0,"",_xlfn.MAXIFS(Sets!$H$2:$H$2000,Sets!$A$2:$A$2000,$A49,Sets!$D$2:$D$2000,G$1,Sets!$J$2:$J$2000,"N"))</f>
        <v/>
      </c>
      <c r="H49" s="26">
        <f>IF(_xlfn.MAXIFS(Sets!$H$2:$H$2000,Sets!$A$2:$A$2000,$A49,Sets!$D$2:$D$2000,H$1,Sets!$J$2:$J$2000,"N")=0,"",_xlfn.MAXIFS(Sets!$H$2:$H$2000,Sets!$A$2:$A$2000,$A49,Sets!$D$2:$D$2000,H$1,Sets!$J$2:$J$2000,"N"))</f>
        <v/>
      </c>
      <c r="I49" s="26">
        <f>IF(_xlfn.MAXIFS(Sets!$H$2:$H$2000,Sets!$A$2:$A$2000,$A49,Sets!$D$2:$D$2000,I$1,Sets!$J$2:$J$2000,"N")=0,"",_xlfn.MAXIFS(Sets!$H$2:$H$2000,Sets!$A$2:$A$2000,$A49,Sets!$D$2:$D$2000,I$1,Sets!$J$2:$J$2000,"N"))</f>
        <v/>
      </c>
      <c r="J49" s="26">
        <f>IF(_xlfn.MAXIFS(Sets!$H$2:$H$2000,Sets!$A$2:$A$2000,$A49,Sets!$D$2:$D$2000,J$1,Sets!$J$2:$J$2000,"N")=0,"",_xlfn.MAXIFS(Sets!$H$2:$H$2000,Sets!$A$2:$A$2000,$A49,Sets!$D$2:$D$2000,J$1,Sets!$J$2:$J$2000,"N"))</f>
        <v/>
      </c>
      <c r="K49" s="26">
        <f>IF(_xlfn.MAXIFS(Sets!$H$2:$H$2000,Sets!$A$2:$A$2000,$A49,Sets!$D$2:$D$2000,K$1,Sets!$J$2:$J$2000,"N")=0,"",_xlfn.MAXIFS(Sets!$H$2:$H$2000,Sets!$A$2:$A$2000,$A49,Sets!$D$2:$D$2000,K$1,Sets!$J$2:$J$2000,"N"))</f>
        <v/>
      </c>
      <c r="L49" s="26">
        <f>IF(_xlfn.MAXIFS(Sets!$H$2:$H$2000,Sets!$A$2:$A$2000,$A49,Sets!$D$2:$D$2000,L$1,Sets!$J$2:$J$2000,"N")=0,"",_xlfn.MAXIFS(Sets!$H$2:$H$2000,Sets!$A$2:$A$2000,$A49,Sets!$D$2:$D$2000,L$1,Sets!$J$2:$J$2000,"N"))</f>
        <v/>
      </c>
      <c r="M49" s="26">
        <f>IF(_xlfn.MAXIFS(Sets!$H$2:$H$2000,Sets!$A$2:$A$2000,$A49,Sets!$D$2:$D$2000,M$1,Sets!$J$2:$J$2000,"N")=0,"",_xlfn.MAXIFS(Sets!$H$2:$H$2000,Sets!$A$2:$A$2000,$A49,Sets!$D$2:$D$2000,M$1,Sets!$J$2:$J$2000,"N"))</f>
        <v/>
      </c>
      <c r="N49" s="26">
        <f>IF(_xlfn.MAXIFS(Sets!$H$2:$H$2000,Sets!$A$2:$A$2000,$A49,Sets!$D$2:$D$2000,N$1,Sets!$J$2:$J$2000,"N")=0,"",_xlfn.MAXIFS(Sets!$H$2:$H$2000,Sets!$A$2:$A$2000,$A49,Sets!$D$2:$D$2000,N$1,Sets!$J$2:$J$2000,"N"))</f>
        <v/>
      </c>
      <c r="O49" s="26">
        <f>IF(_xlfn.MAXIFS(Sets!$H$2:$H$2000,Sets!$A$2:$A$2000,$A49,Sets!$D$2:$D$2000,O$1,Sets!$J$2:$J$2000,"N")=0,"",_xlfn.MAXIFS(Sets!$H$2:$H$2000,Sets!$A$2:$A$2000,$A49,Sets!$D$2:$D$2000,O$1,Sets!$J$2:$J$2000,"N"))</f>
        <v/>
      </c>
      <c r="P49" s="26">
        <f>IF(_xlfn.MAXIFS(Sets!$H$2:$H$2000,Sets!$A$2:$A$2000,$A49,Sets!$D$2:$D$2000,P$1,Sets!$J$2:$J$2000,"N")=0,"",_xlfn.MAXIFS(Sets!$H$2:$H$2000,Sets!$A$2:$A$2000,$A49,Sets!$D$2:$D$2000,P$1,Sets!$J$2:$J$2000,"N"))</f>
        <v/>
      </c>
      <c r="Q49" s="26">
        <f>IF(_xlfn.MAXIFS(Sets!$H$2:$H$2000,Sets!$A$2:$A$2000,$A49,Sets!$D$2:$D$2000,Q$1,Sets!$J$2:$J$2000,"N")=0,"",_xlfn.MAXIFS(Sets!$H$2:$H$2000,Sets!$A$2:$A$2000,$A49,Sets!$D$2:$D$2000,Q$1,Sets!$J$2:$J$2000,"N"))</f>
        <v/>
      </c>
      <c r="R49" s="26">
        <f>IF(_xlfn.MAXIFS(Sets!$H$2:$H$2000,Sets!$A$2:$A$2000,$A49,Sets!$D$2:$D$2000,R$1,Sets!$J$2:$J$2000,"N")=0,"",_xlfn.MAXIFS(Sets!$H$2:$H$2000,Sets!$A$2:$A$2000,$A49,Sets!$D$2:$D$2000,R$1,Sets!$J$2:$J$2000,"N"))</f>
        <v/>
      </c>
      <c r="S49" s="26">
        <f>IF(_xlfn.MAXIFS(Sets!$H$2:$H$2000,Sets!$A$2:$A$2000,$A49,Sets!$D$2:$D$2000,S$1,Sets!$J$2:$J$2000,"N")=0,"",_xlfn.MAXIFS(Sets!$H$2:$H$2000,Sets!$A$2:$A$2000,$A49,Sets!$D$2:$D$2000,S$1,Sets!$J$2:$J$2000,"N"))</f>
        <v/>
      </c>
      <c r="T49" s="26">
        <f>IF(_xlfn.MAXIFS(Sets!$H$2:$H$2000,Sets!$A$2:$A$2000,$A49,Sets!$D$2:$D$2000,T$1,Sets!$J$2:$J$2000,"N")=0,"",_xlfn.MAXIFS(Sets!$H$2:$H$2000,Sets!$A$2:$A$2000,$A49,Sets!$D$2:$D$2000,T$1,Sets!$J$2:$J$2000,"N"))</f>
        <v/>
      </c>
      <c r="U49" s="26">
        <f>IF(_xlfn.MAXIFS(Sets!$H$2:$H$2000,Sets!$A$2:$A$2000,$A49,Sets!$D$2:$D$2000,U$1,Sets!$J$2:$J$2000,"N")=0,"",_xlfn.MAXIFS(Sets!$H$2:$H$2000,Sets!$A$2:$A$2000,$A49,Sets!$D$2:$D$2000,U$1,Sets!$J$2:$J$2000,"N"))</f>
        <v/>
      </c>
      <c r="V49" s="26">
        <f>IF(_xlfn.MAXIFS(Sets!$H$2:$H$2000,Sets!$A$2:$A$2000,$A49,Sets!$D$2:$D$2000,V$1,Sets!$J$2:$J$2000,"N")=0,"",_xlfn.MAXIFS(Sets!$H$2:$H$2000,Sets!$A$2:$A$2000,$A49,Sets!$D$2:$D$2000,V$1,Sets!$J$2:$J$2000,"N"))</f>
        <v/>
      </c>
      <c r="W49" s="26">
        <f>IF(_xlfn.MAXIFS(Sets!$H$2:$H$2000,Sets!$A$2:$A$2000,$A49,Sets!$D$2:$D$2000,W$1,Sets!$J$2:$J$2000,"N")=0,"",_xlfn.MAXIFS(Sets!$H$2:$H$2000,Sets!$A$2:$A$2000,$A49,Sets!$D$2:$D$2000,W$1,Sets!$J$2:$J$2000,"N"))</f>
        <v/>
      </c>
      <c r="X49" s="26">
        <f>IF(_xlfn.MAXIFS(Sets!$H$2:$H$2000,Sets!$A$2:$A$2000,$A49,Sets!$D$2:$D$2000,X$1,Sets!$J$2:$J$2000,"N")=0,"",_xlfn.MAXIFS(Sets!$H$2:$H$2000,Sets!$A$2:$A$2000,$A49,Sets!$D$2:$D$2000,X$1,Sets!$J$2:$J$2000,"N"))</f>
        <v/>
      </c>
      <c r="Y49" s="26">
        <f>IF(_xlfn.MAXIFS(Sets!$H$2:$H$2000,Sets!$A$2:$A$2000,$A49,Sets!$D$2:$D$2000,Y$1,Sets!$J$2:$J$2000,"N")=0,"",_xlfn.MAXIFS(Sets!$H$2:$H$2000,Sets!$A$2:$A$2000,$A49,Sets!$D$2:$D$2000,Y$1,Sets!$J$2:$J$2000,"N"))</f>
        <v/>
      </c>
      <c r="Z49" s="26">
        <f>IF(_xlfn.MAXIFS(Sets!$H$2:$H$2000,Sets!$A$2:$A$2000,$A49,Sets!$D$2:$D$2000,Z$1,Sets!$J$2:$J$2000,"N")=0,"",_xlfn.MAXIFS(Sets!$H$2:$H$2000,Sets!$A$2:$A$2000,$A49,Sets!$D$2:$D$2000,Z$1,Sets!$J$2:$J$2000,"N"))</f>
        <v/>
      </c>
      <c r="AA49" s="26">
        <f>IF(_xlfn.MAXIFS(Sets!$H$2:$H$2000,Sets!$A$2:$A$2000,$A49,Sets!$D$2:$D$2000,AA$1,Sets!$J$2:$J$2000,"N")=0,"",_xlfn.MAXIFS(Sets!$H$2:$H$2000,Sets!$A$2:$A$2000,$A49,Sets!$D$2:$D$2000,AA$1,Sets!$J$2:$J$2000,"N"))</f>
        <v/>
      </c>
      <c r="AB49" s="26">
        <f>IF(_xlfn.MAXIFS(Sets!$H$2:$H$2000,Sets!$A$2:$A$2000,$A49,Sets!$D$2:$D$2000,AB$1,Sets!$J$2:$J$2000,"N")=0,"",_xlfn.MAXIFS(Sets!$H$2:$H$2000,Sets!$A$2:$A$2000,$A49,Sets!$D$2:$D$2000,AB$1,Sets!$J$2:$J$2000,"N"))</f>
        <v/>
      </c>
      <c r="AC49" s="26">
        <f>IF(_xlfn.MAXIFS(Sets!$H$2:$H$2000,Sets!$A$2:$A$2000,$A49,Sets!$D$2:$D$2000,AC$1,Sets!$J$2:$J$2000,"N")=0,"",_xlfn.MAXIFS(Sets!$H$2:$H$2000,Sets!$A$2:$A$2000,$A49,Sets!$D$2:$D$2000,AC$1,Sets!$J$2:$J$2000,"N"))</f>
        <v/>
      </c>
      <c r="AD49" s="26">
        <f>IF(_xlfn.MAXIFS(Sets!$H$2:$H$2000,Sets!$A$2:$A$2000,$A49,Sets!$D$2:$D$2000,AD$1,Sets!$J$2:$J$2000,"N")=0,"",_xlfn.MAXIFS(Sets!$H$2:$H$2000,Sets!$A$2:$A$2000,$A49,Sets!$D$2:$D$2000,AD$1,Sets!$J$2:$J$2000,"N"))</f>
        <v/>
      </c>
      <c r="AE49" s="26">
        <f>IF(_xlfn.MAXIFS(Sets!$H$2:$H$2000,Sets!$A$2:$A$2000,$A49,Sets!$D$2:$D$2000,AE$1,Sets!$J$2:$J$2000,"N")=0,"",_xlfn.MAXIFS(Sets!$H$2:$H$2000,Sets!$A$2:$A$2000,$A49,Sets!$D$2:$D$2000,AE$1,Sets!$J$2:$J$2000,"N"))</f>
        <v/>
      </c>
      <c r="AF49" s="26">
        <f>IF(_xlfn.MAXIFS(Sets!$H$2:$H$2000,Sets!$A$2:$A$2000,$A49,Sets!$D$2:$D$2000,AF$1,Sets!$J$2:$J$2000,"N")=0,"",_xlfn.MAXIFS(Sets!$H$2:$H$2000,Sets!$A$2:$A$2000,$A49,Sets!$D$2:$D$2000,AF$1,Sets!$J$2:$J$2000,"N"))</f>
        <v/>
      </c>
      <c r="AG49" s="26">
        <f>IF(_xlfn.MAXIFS(Sets!$H$2:$H$2000,Sets!$A$2:$A$2000,$A49,Sets!$D$2:$D$2000,AG$1,Sets!$J$2:$J$2000,"N")=0,"",_xlfn.MAXIFS(Sets!$H$2:$H$2000,Sets!$A$2:$A$2000,$A49,Sets!$D$2:$D$2000,AG$1,Sets!$J$2:$J$2000,"N"))</f>
        <v/>
      </c>
      <c r="AH49" s="26">
        <f>IF(_xlfn.MAXIFS(Sets!$H$2:$H$2000,Sets!$A$2:$A$2000,$A49,Sets!$D$2:$D$2000,AH$1,Sets!$J$2:$J$2000,"N")=0,"",_xlfn.MAXIFS(Sets!$H$2:$H$2000,Sets!$A$2:$A$2000,$A49,Sets!$D$2:$D$2000,AH$1,Sets!$J$2:$J$2000,"N"))</f>
        <v/>
      </c>
      <c r="AI49">
        <f>IF(_xlfn.MAXIFS(Sets!$H$2:$H$2000,Sets!$A$2:$A$2000,$A49,Sets!$D$2:$D$2000,AI$1,Sets!$J$2:$J$2000,"N")=0,"",_xlfn.MAXIFS(Sets!$H$2:$H$2000,Sets!$A$2:$A$2000,$A49,Sets!$D$2:$D$2000,AI$1,Sets!$J$2:$J$2000,"N"))</f>
        <v/>
      </c>
      <c r="AJ49">
        <f>IF(_xlfn.MAXIFS(Sets!$H$2:$H$2000,Sets!$A$2:$A$2000,$A49,Sets!$D$2:$D$2000,AJ$1,Sets!$J$2:$J$2000,"N")=0,"",_xlfn.MAXIFS(Sets!$H$2:$H$2000,Sets!$A$2:$A$2000,$A49,Sets!$D$2:$D$2000,AJ$1,Sets!$J$2:$J$2000,"N"))</f>
        <v/>
      </c>
      <c r="AK49">
        <f>IF(_xlfn.MAXIFS(Sets!$H$2:$H$2000,Sets!$A$2:$A$2000,$A49,Sets!$D$2:$D$2000,AK$1,Sets!$J$2:$J$2000,"N")=0,"",_xlfn.MAXIFS(Sets!$H$2:$H$2000,Sets!$A$2:$A$2000,$A49,Sets!$D$2:$D$2000,AK$1,Sets!$J$2:$J$2000,"N"))</f>
        <v/>
      </c>
      <c r="AL49">
        <f>IF(_xlfn.MAXIFS(Sets!$H$2:$H$2000,Sets!$A$2:$A$2000,$A49,Sets!$D$2:$D$2000,AL$1,Sets!$J$2:$J$2000,"N")=0,"",_xlfn.MAXIFS(Sets!$H$2:$H$2000,Sets!$A$2:$A$2000,$A49,Sets!$D$2:$D$2000,AL$1,Sets!$J$2:$J$2000,"N"))</f>
        <v/>
      </c>
      <c r="AM49">
        <f>IF(_xlfn.MAXIFS(Sets!$H$2:$H$2000,Sets!$A$2:$A$2000,$A49,Sets!$D$2:$D$2000,AM$1,Sets!$J$2:$J$2000,"N")=0,"",_xlfn.MAXIFS(Sets!$H$2:$H$2000,Sets!$A$2:$A$2000,$A49,Sets!$D$2:$D$2000,AM$1,Sets!$J$2:$J$2000,"N"))</f>
        <v/>
      </c>
      <c r="AN49">
        <f>IF(_xlfn.MAXIFS(Sets!$H$2:$H$2000,Sets!$A$2:$A$2000,$A49,Sets!$D$2:$D$2000,AN$1,Sets!$J$2:$J$2000,"N")=0,"",_xlfn.MAXIFS(Sets!$H$2:$H$2000,Sets!$A$2:$A$2000,$A49,Sets!$D$2:$D$2000,AN$1,Sets!$J$2:$J$2000,"N"))</f>
        <v/>
      </c>
      <c r="AO49">
        <f>IF(_xlfn.MAXIFS(Sets!$H$2:$H$2000,Sets!$A$2:$A$2000,$A49,Sets!$D$2:$D$2000,AO$1,Sets!$J$2:$J$2000,"N")=0,"",_xlfn.MAXIFS(Sets!$H$2:$H$2000,Sets!$A$2:$A$2000,$A49,Sets!$D$2:$D$2000,AO$1,Sets!$J$2:$J$2000,"N"))</f>
        <v/>
      </c>
      <c r="AP49">
        <f>IF(_xlfn.MAXIFS(Sets!$H$2:$H$2000,Sets!$A$2:$A$2000,$A49,Sets!$D$2:$D$2000,AP$1,Sets!$J$2:$J$2000,"N")=0,"",_xlfn.MAXIFS(Sets!$H$2:$H$2000,Sets!$A$2:$A$2000,$A49,Sets!$D$2:$D$2000,AP$1,Sets!$J$2:$J$2000,"N"))</f>
        <v/>
      </c>
    </row>
    <row r="50" ht="15" customHeight="1" s="22">
      <c r="A50" s="39" t="n">
        <v>46221</v>
      </c>
      <c r="B50" s="26">
        <f>IF(_xlfn.MAXIFS(Sets!$H$2:$H$2000,Sets!$A$2:$A$2000,$A50,Sets!$D$2:$D$2000,B$1,Sets!$J$2:$J$2000,"N")=0,"",_xlfn.MAXIFS(Sets!$H$2:$H$2000,Sets!$A$2:$A$2000,$A50,Sets!$D$2:$D$2000,B$1,Sets!$J$2:$J$2000,"N"))</f>
        <v/>
      </c>
      <c r="C50" s="26">
        <f>IF(_xlfn.MAXIFS(Sets!$H$2:$H$2000,Sets!$A$2:$A$2000,$A50,Sets!$D$2:$D$2000,C$1,Sets!$J$2:$J$2000,"N")=0,"",_xlfn.MAXIFS(Sets!$H$2:$H$2000,Sets!$A$2:$A$2000,$A50,Sets!$D$2:$D$2000,C$1,Sets!$J$2:$J$2000,"N"))</f>
        <v/>
      </c>
      <c r="D50" s="26">
        <f>IF(_xlfn.MAXIFS(Sets!$H$2:$H$2000,Sets!$A$2:$A$2000,$A50,Sets!$D$2:$D$2000,D$1,Sets!$J$2:$J$2000,"N")=0,"",_xlfn.MAXIFS(Sets!$H$2:$H$2000,Sets!$A$2:$A$2000,$A50,Sets!$D$2:$D$2000,D$1,Sets!$J$2:$J$2000,"N"))</f>
        <v/>
      </c>
      <c r="E50" s="26">
        <f>IF(_xlfn.MAXIFS(Sets!$H$2:$H$2000,Sets!$A$2:$A$2000,$A50,Sets!$D$2:$D$2000,E$1,Sets!$J$2:$J$2000,"N")=0,"",_xlfn.MAXIFS(Sets!$H$2:$H$2000,Sets!$A$2:$A$2000,$A50,Sets!$D$2:$D$2000,E$1,Sets!$J$2:$J$2000,"N"))</f>
        <v/>
      </c>
      <c r="F50" s="26">
        <f>IF(_xlfn.MAXIFS(Sets!$H$2:$H$2000,Sets!$A$2:$A$2000,$A50,Sets!$D$2:$D$2000,F$1,Sets!$J$2:$J$2000,"N")=0,"",_xlfn.MAXIFS(Sets!$H$2:$H$2000,Sets!$A$2:$A$2000,$A50,Sets!$D$2:$D$2000,F$1,Sets!$J$2:$J$2000,"N"))</f>
        <v/>
      </c>
      <c r="G50" s="26">
        <f>IF(_xlfn.MAXIFS(Sets!$H$2:$H$2000,Sets!$A$2:$A$2000,$A50,Sets!$D$2:$D$2000,G$1,Sets!$J$2:$J$2000,"N")=0,"",_xlfn.MAXIFS(Sets!$H$2:$H$2000,Sets!$A$2:$A$2000,$A50,Sets!$D$2:$D$2000,G$1,Sets!$J$2:$J$2000,"N"))</f>
        <v/>
      </c>
      <c r="H50" s="26">
        <f>IF(_xlfn.MAXIFS(Sets!$H$2:$H$2000,Sets!$A$2:$A$2000,$A50,Sets!$D$2:$D$2000,H$1,Sets!$J$2:$J$2000,"N")=0,"",_xlfn.MAXIFS(Sets!$H$2:$H$2000,Sets!$A$2:$A$2000,$A50,Sets!$D$2:$D$2000,H$1,Sets!$J$2:$J$2000,"N"))</f>
        <v/>
      </c>
      <c r="I50" s="26">
        <f>IF(_xlfn.MAXIFS(Sets!$H$2:$H$2000,Sets!$A$2:$A$2000,$A50,Sets!$D$2:$D$2000,I$1,Sets!$J$2:$J$2000,"N")=0,"",_xlfn.MAXIFS(Sets!$H$2:$H$2000,Sets!$A$2:$A$2000,$A50,Sets!$D$2:$D$2000,I$1,Sets!$J$2:$J$2000,"N"))</f>
        <v/>
      </c>
      <c r="J50" s="26">
        <f>IF(_xlfn.MAXIFS(Sets!$H$2:$H$2000,Sets!$A$2:$A$2000,$A50,Sets!$D$2:$D$2000,J$1,Sets!$J$2:$J$2000,"N")=0,"",_xlfn.MAXIFS(Sets!$H$2:$H$2000,Sets!$A$2:$A$2000,$A50,Sets!$D$2:$D$2000,J$1,Sets!$J$2:$J$2000,"N"))</f>
        <v/>
      </c>
      <c r="K50" s="26">
        <f>IF(_xlfn.MAXIFS(Sets!$H$2:$H$2000,Sets!$A$2:$A$2000,$A50,Sets!$D$2:$D$2000,K$1,Sets!$J$2:$J$2000,"N")=0,"",_xlfn.MAXIFS(Sets!$H$2:$H$2000,Sets!$A$2:$A$2000,$A50,Sets!$D$2:$D$2000,K$1,Sets!$J$2:$J$2000,"N"))</f>
        <v/>
      </c>
      <c r="L50" s="26">
        <f>IF(_xlfn.MAXIFS(Sets!$H$2:$H$2000,Sets!$A$2:$A$2000,$A50,Sets!$D$2:$D$2000,L$1,Sets!$J$2:$J$2000,"N")=0,"",_xlfn.MAXIFS(Sets!$H$2:$H$2000,Sets!$A$2:$A$2000,$A50,Sets!$D$2:$D$2000,L$1,Sets!$J$2:$J$2000,"N"))</f>
        <v/>
      </c>
      <c r="M50" s="26">
        <f>IF(_xlfn.MAXIFS(Sets!$H$2:$H$2000,Sets!$A$2:$A$2000,$A50,Sets!$D$2:$D$2000,M$1,Sets!$J$2:$J$2000,"N")=0,"",_xlfn.MAXIFS(Sets!$H$2:$H$2000,Sets!$A$2:$A$2000,$A50,Sets!$D$2:$D$2000,M$1,Sets!$J$2:$J$2000,"N"))</f>
        <v/>
      </c>
      <c r="N50" s="26">
        <f>IF(_xlfn.MAXIFS(Sets!$H$2:$H$2000,Sets!$A$2:$A$2000,$A50,Sets!$D$2:$D$2000,N$1,Sets!$J$2:$J$2000,"N")=0,"",_xlfn.MAXIFS(Sets!$H$2:$H$2000,Sets!$A$2:$A$2000,$A50,Sets!$D$2:$D$2000,N$1,Sets!$J$2:$J$2000,"N"))</f>
        <v/>
      </c>
      <c r="O50" s="26">
        <f>IF(_xlfn.MAXIFS(Sets!$H$2:$H$2000,Sets!$A$2:$A$2000,$A50,Sets!$D$2:$D$2000,O$1,Sets!$J$2:$J$2000,"N")=0,"",_xlfn.MAXIFS(Sets!$H$2:$H$2000,Sets!$A$2:$A$2000,$A50,Sets!$D$2:$D$2000,O$1,Sets!$J$2:$J$2000,"N"))</f>
        <v/>
      </c>
      <c r="P50" s="26">
        <f>IF(_xlfn.MAXIFS(Sets!$H$2:$H$2000,Sets!$A$2:$A$2000,$A50,Sets!$D$2:$D$2000,P$1,Sets!$J$2:$J$2000,"N")=0,"",_xlfn.MAXIFS(Sets!$H$2:$H$2000,Sets!$A$2:$A$2000,$A50,Sets!$D$2:$D$2000,P$1,Sets!$J$2:$J$2000,"N"))</f>
        <v/>
      </c>
      <c r="Q50" s="26">
        <f>IF(_xlfn.MAXIFS(Sets!$H$2:$H$2000,Sets!$A$2:$A$2000,$A50,Sets!$D$2:$D$2000,Q$1,Sets!$J$2:$J$2000,"N")=0,"",_xlfn.MAXIFS(Sets!$H$2:$H$2000,Sets!$A$2:$A$2000,$A50,Sets!$D$2:$D$2000,Q$1,Sets!$J$2:$J$2000,"N"))</f>
        <v/>
      </c>
      <c r="R50" s="26">
        <f>IF(_xlfn.MAXIFS(Sets!$H$2:$H$2000,Sets!$A$2:$A$2000,$A50,Sets!$D$2:$D$2000,R$1,Sets!$J$2:$J$2000,"N")=0,"",_xlfn.MAXIFS(Sets!$H$2:$H$2000,Sets!$A$2:$A$2000,$A50,Sets!$D$2:$D$2000,R$1,Sets!$J$2:$J$2000,"N"))</f>
        <v/>
      </c>
      <c r="S50" s="26">
        <f>IF(_xlfn.MAXIFS(Sets!$H$2:$H$2000,Sets!$A$2:$A$2000,$A50,Sets!$D$2:$D$2000,S$1,Sets!$J$2:$J$2000,"N")=0,"",_xlfn.MAXIFS(Sets!$H$2:$H$2000,Sets!$A$2:$A$2000,$A50,Sets!$D$2:$D$2000,S$1,Sets!$J$2:$J$2000,"N"))</f>
        <v/>
      </c>
      <c r="T50" s="26">
        <f>IF(_xlfn.MAXIFS(Sets!$H$2:$H$2000,Sets!$A$2:$A$2000,$A50,Sets!$D$2:$D$2000,T$1,Sets!$J$2:$J$2000,"N")=0,"",_xlfn.MAXIFS(Sets!$H$2:$H$2000,Sets!$A$2:$A$2000,$A50,Sets!$D$2:$D$2000,T$1,Sets!$J$2:$J$2000,"N"))</f>
        <v/>
      </c>
      <c r="U50" s="26">
        <f>IF(_xlfn.MAXIFS(Sets!$H$2:$H$2000,Sets!$A$2:$A$2000,$A50,Sets!$D$2:$D$2000,U$1,Sets!$J$2:$J$2000,"N")=0,"",_xlfn.MAXIFS(Sets!$H$2:$H$2000,Sets!$A$2:$A$2000,$A50,Sets!$D$2:$D$2000,U$1,Sets!$J$2:$J$2000,"N"))</f>
        <v/>
      </c>
      <c r="V50" s="26">
        <f>IF(_xlfn.MAXIFS(Sets!$H$2:$H$2000,Sets!$A$2:$A$2000,$A50,Sets!$D$2:$D$2000,V$1,Sets!$J$2:$J$2000,"N")=0,"",_xlfn.MAXIFS(Sets!$H$2:$H$2000,Sets!$A$2:$A$2000,$A50,Sets!$D$2:$D$2000,V$1,Sets!$J$2:$J$2000,"N"))</f>
        <v/>
      </c>
      <c r="W50" s="26">
        <f>IF(_xlfn.MAXIFS(Sets!$H$2:$H$2000,Sets!$A$2:$A$2000,$A50,Sets!$D$2:$D$2000,W$1,Sets!$J$2:$J$2000,"N")=0,"",_xlfn.MAXIFS(Sets!$H$2:$H$2000,Sets!$A$2:$A$2000,$A50,Sets!$D$2:$D$2000,W$1,Sets!$J$2:$J$2000,"N"))</f>
        <v/>
      </c>
      <c r="X50" s="26">
        <f>IF(_xlfn.MAXIFS(Sets!$H$2:$H$2000,Sets!$A$2:$A$2000,$A50,Sets!$D$2:$D$2000,X$1,Sets!$J$2:$J$2000,"N")=0,"",_xlfn.MAXIFS(Sets!$H$2:$H$2000,Sets!$A$2:$A$2000,$A50,Sets!$D$2:$D$2000,X$1,Sets!$J$2:$J$2000,"N"))</f>
        <v/>
      </c>
      <c r="Y50" s="26">
        <f>IF(_xlfn.MAXIFS(Sets!$H$2:$H$2000,Sets!$A$2:$A$2000,$A50,Sets!$D$2:$D$2000,Y$1,Sets!$J$2:$J$2000,"N")=0,"",_xlfn.MAXIFS(Sets!$H$2:$H$2000,Sets!$A$2:$A$2000,$A50,Sets!$D$2:$D$2000,Y$1,Sets!$J$2:$J$2000,"N"))</f>
        <v/>
      </c>
      <c r="Z50" s="26">
        <f>IF(_xlfn.MAXIFS(Sets!$H$2:$H$2000,Sets!$A$2:$A$2000,$A50,Sets!$D$2:$D$2000,Z$1,Sets!$J$2:$J$2000,"N")=0,"",_xlfn.MAXIFS(Sets!$H$2:$H$2000,Sets!$A$2:$A$2000,$A50,Sets!$D$2:$D$2000,Z$1,Sets!$J$2:$J$2000,"N"))</f>
        <v/>
      </c>
      <c r="AA50" s="26">
        <f>IF(_xlfn.MAXIFS(Sets!$H$2:$H$2000,Sets!$A$2:$A$2000,$A50,Sets!$D$2:$D$2000,AA$1,Sets!$J$2:$J$2000,"N")=0,"",_xlfn.MAXIFS(Sets!$H$2:$H$2000,Sets!$A$2:$A$2000,$A50,Sets!$D$2:$D$2000,AA$1,Sets!$J$2:$J$2000,"N"))</f>
        <v/>
      </c>
      <c r="AB50" s="26">
        <f>IF(_xlfn.MAXIFS(Sets!$H$2:$H$2000,Sets!$A$2:$A$2000,$A50,Sets!$D$2:$D$2000,AB$1,Sets!$J$2:$J$2000,"N")=0,"",_xlfn.MAXIFS(Sets!$H$2:$H$2000,Sets!$A$2:$A$2000,$A50,Sets!$D$2:$D$2000,AB$1,Sets!$J$2:$J$2000,"N"))</f>
        <v/>
      </c>
      <c r="AC50" s="26">
        <f>IF(_xlfn.MAXIFS(Sets!$H$2:$H$2000,Sets!$A$2:$A$2000,$A50,Sets!$D$2:$D$2000,AC$1,Sets!$J$2:$J$2000,"N")=0,"",_xlfn.MAXIFS(Sets!$H$2:$H$2000,Sets!$A$2:$A$2000,$A50,Sets!$D$2:$D$2000,AC$1,Sets!$J$2:$J$2000,"N"))</f>
        <v/>
      </c>
      <c r="AD50" s="26">
        <f>IF(_xlfn.MAXIFS(Sets!$H$2:$H$2000,Sets!$A$2:$A$2000,$A50,Sets!$D$2:$D$2000,AD$1,Sets!$J$2:$J$2000,"N")=0,"",_xlfn.MAXIFS(Sets!$H$2:$H$2000,Sets!$A$2:$A$2000,$A50,Sets!$D$2:$D$2000,AD$1,Sets!$J$2:$J$2000,"N"))</f>
        <v/>
      </c>
      <c r="AE50" s="26">
        <f>IF(_xlfn.MAXIFS(Sets!$H$2:$H$2000,Sets!$A$2:$A$2000,$A50,Sets!$D$2:$D$2000,AE$1,Sets!$J$2:$J$2000,"N")=0,"",_xlfn.MAXIFS(Sets!$H$2:$H$2000,Sets!$A$2:$A$2000,$A50,Sets!$D$2:$D$2000,AE$1,Sets!$J$2:$J$2000,"N"))</f>
        <v/>
      </c>
      <c r="AF50" s="26">
        <f>IF(_xlfn.MAXIFS(Sets!$H$2:$H$2000,Sets!$A$2:$A$2000,$A50,Sets!$D$2:$D$2000,AF$1,Sets!$J$2:$J$2000,"N")=0,"",_xlfn.MAXIFS(Sets!$H$2:$H$2000,Sets!$A$2:$A$2000,$A50,Sets!$D$2:$D$2000,AF$1,Sets!$J$2:$J$2000,"N"))</f>
        <v/>
      </c>
      <c r="AG50" s="26">
        <f>IF(_xlfn.MAXIFS(Sets!$H$2:$H$2000,Sets!$A$2:$A$2000,$A50,Sets!$D$2:$D$2000,AG$1,Sets!$J$2:$J$2000,"N")=0,"",_xlfn.MAXIFS(Sets!$H$2:$H$2000,Sets!$A$2:$A$2000,$A50,Sets!$D$2:$D$2000,AG$1,Sets!$J$2:$J$2000,"N"))</f>
        <v/>
      </c>
      <c r="AH50" s="26">
        <f>IF(_xlfn.MAXIFS(Sets!$H$2:$H$2000,Sets!$A$2:$A$2000,$A50,Sets!$D$2:$D$2000,AH$1,Sets!$J$2:$J$2000,"N")=0,"",_xlfn.MAXIFS(Sets!$H$2:$H$2000,Sets!$A$2:$A$2000,$A50,Sets!$D$2:$D$2000,AH$1,Sets!$J$2:$J$2000,"N"))</f>
        <v/>
      </c>
      <c r="AI50">
        <f>IF(_xlfn.MAXIFS(Sets!$H$2:$H$2000,Sets!$A$2:$A$2000,$A50,Sets!$D$2:$D$2000,AI$1,Sets!$J$2:$J$2000,"N")=0,"",_xlfn.MAXIFS(Sets!$H$2:$H$2000,Sets!$A$2:$A$2000,$A50,Sets!$D$2:$D$2000,AI$1,Sets!$J$2:$J$2000,"N"))</f>
        <v/>
      </c>
      <c r="AJ50">
        <f>IF(_xlfn.MAXIFS(Sets!$H$2:$H$2000,Sets!$A$2:$A$2000,$A50,Sets!$D$2:$D$2000,AJ$1,Sets!$J$2:$J$2000,"N")=0,"",_xlfn.MAXIFS(Sets!$H$2:$H$2000,Sets!$A$2:$A$2000,$A50,Sets!$D$2:$D$2000,AJ$1,Sets!$J$2:$J$2000,"N"))</f>
        <v/>
      </c>
      <c r="AK50">
        <f>IF(_xlfn.MAXIFS(Sets!$H$2:$H$2000,Sets!$A$2:$A$2000,$A50,Sets!$D$2:$D$2000,AK$1,Sets!$J$2:$J$2000,"N")=0,"",_xlfn.MAXIFS(Sets!$H$2:$H$2000,Sets!$A$2:$A$2000,$A50,Sets!$D$2:$D$2000,AK$1,Sets!$J$2:$J$2000,"N"))</f>
        <v/>
      </c>
      <c r="AL50">
        <f>IF(_xlfn.MAXIFS(Sets!$H$2:$H$2000,Sets!$A$2:$A$2000,$A50,Sets!$D$2:$D$2000,AL$1,Sets!$J$2:$J$2000,"N")=0,"",_xlfn.MAXIFS(Sets!$H$2:$H$2000,Sets!$A$2:$A$2000,$A50,Sets!$D$2:$D$2000,AL$1,Sets!$J$2:$J$2000,"N"))</f>
        <v/>
      </c>
      <c r="AM50">
        <f>IF(_xlfn.MAXIFS(Sets!$H$2:$H$2000,Sets!$A$2:$A$2000,$A50,Sets!$D$2:$D$2000,AM$1,Sets!$J$2:$J$2000,"N")=0,"",_xlfn.MAXIFS(Sets!$H$2:$H$2000,Sets!$A$2:$A$2000,$A50,Sets!$D$2:$D$2000,AM$1,Sets!$J$2:$J$2000,"N"))</f>
        <v/>
      </c>
      <c r="AN50">
        <f>IF(_xlfn.MAXIFS(Sets!$H$2:$H$2000,Sets!$A$2:$A$2000,$A50,Sets!$D$2:$D$2000,AN$1,Sets!$J$2:$J$2000,"N")=0,"",_xlfn.MAXIFS(Sets!$H$2:$H$2000,Sets!$A$2:$A$2000,$A50,Sets!$D$2:$D$2000,AN$1,Sets!$J$2:$J$2000,"N"))</f>
        <v/>
      </c>
      <c r="AO50">
        <f>IF(_xlfn.MAXIFS(Sets!$H$2:$H$2000,Sets!$A$2:$A$2000,$A50,Sets!$D$2:$D$2000,AO$1,Sets!$J$2:$J$2000,"N")=0,"",_xlfn.MAXIFS(Sets!$H$2:$H$2000,Sets!$A$2:$A$2000,$A50,Sets!$D$2:$D$2000,AO$1,Sets!$J$2:$J$2000,"N"))</f>
        <v/>
      </c>
      <c r="AP50">
        <f>IF(_xlfn.MAXIFS(Sets!$H$2:$H$2000,Sets!$A$2:$A$2000,$A50,Sets!$D$2:$D$2000,AP$1,Sets!$J$2:$J$2000,"N")=0,"",_xlfn.MAXIFS(Sets!$H$2:$H$2000,Sets!$A$2:$A$2000,$A50,Sets!$D$2:$D$2000,AP$1,Sets!$J$2:$J$2000,"N"))</f>
        <v/>
      </c>
    </row>
    <row r="51" ht="15" customHeight="1" s="22">
      <c r="A51" s="39" t="n">
        <v>46222</v>
      </c>
      <c r="B51" s="26">
        <f>IF(_xlfn.MAXIFS(Sets!$H$2:$H$2000,Sets!$A$2:$A$2000,$A51,Sets!$D$2:$D$2000,B$1,Sets!$J$2:$J$2000,"N")=0,"",_xlfn.MAXIFS(Sets!$H$2:$H$2000,Sets!$A$2:$A$2000,$A51,Sets!$D$2:$D$2000,B$1,Sets!$J$2:$J$2000,"N"))</f>
        <v/>
      </c>
      <c r="C51" s="26">
        <f>IF(_xlfn.MAXIFS(Sets!$H$2:$H$2000,Sets!$A$2:$A$2000,$A51,Sets!$D$2:$D$2000,C$1,Sets!$J$2:$J$2000,"N")=0,"",_xlfn.MAXIFS(Sets!$H$2:$H$2000,Sets!$A$2:$A$2000,$A51,Sets!$D$2:$D$2000,C$1,Sets!$J$2:$J$2000,"N"))</f>
        <v/>
      </c>
      <c r="D51" s="26">
        <f>IF(_xlfn.MAXIFS(Sets!$H$2:$H$2000,Sets!$A$2:$A$2000,$A51,Sets!$D$2:$D$2000,D$1,Sets!$J$2:$J$2000,"N")=0,"",_xlfn.MAXIFS(Sets!$H$2:$H$2000,Sets!$A$2:$A$2000,$A51,Sets!$D$2:$D$2000,D$1,Sets!$J$2:$J$2000,"N"))</f>
        <v/>
      </c>
      <c r="E51" s="26">
        <f>IF(_xlfn.MAXIFS(Sets!$H$2:$H$2000,Sets!$A$2:$A$2000,$A51,Sets!$D$2:$D$2000,E$1,Sets!$J$2:$J$2000,"N")=0,"",_xlfn.MAXIFS(Sets!$H$2:$H$2000,Sets!$A$2:$A$2000,$A51,Sets!$D$2:$D$2000,E$1,Sets!$J$2:$J$2000,"N"))</f>
        <v/>
      </c>
      <c r="F51" s="26">
        <f>IF(_xlfn.MAXIFS(Sets!$H$2:$H$2000,Sets!$A$2:$A$2000,$A51,Sets!$D$2:$D$2000,F$1,Sets!$J$2:$J$2000,"N")=0,"",_xlfn.MAXIFS(Sets!$H$2:$H$2000,Sets!$A$2:$A$2000,$A51,Sets!$D$2:$D$2000,F$1,Sets!$J$2:$J$2000,"N"))</f>
        <v/>
      </c>
      <c r="G51" s="26">
        <f>IF(_xlfn.MAXIFS(Sets!$H$2:$H$2000,Sets!$A$2:$A$2000,$A51,Sets!$D$2:$D$2000,G$1,Sets!$J$2:$J$2000,"N")=0,"",_xlfn.MAXIFS(Sets!$H$2:$H$2000,Sets!$A$2:$A$2000,$A51,Sets!$D$2:$D$2000,G$1,Sets!$J$2:$J$2000,"N"))</f>
        <v/>
      </c>
      <c r="H51" s="26">
        <f>IF(_xlfn.MAXIFS(Sets!$H$2:$H$2000,Sets!$A$2:$A$2000,$A51,Sets!$D$2:$D$2000,H$1,Sets!$J$2:$J$2000,"N")=0,"",_xlfn.MAXIFS(Sets!$H$2:$H$2000,Sets!$A$2:$A$2000,$A51,Sets!$D$2:$D$2000,H$1,Sets!$J$2:$J$2000,"N"))</f>
        <v/>
      </c>
      <c r="I51" s="26">
        <f>IF(_xlfn.MAXIFS(Sets!$H$2:$H$2000,Sets!$A$2:$A$2000,$A51,Sets!$D$2:$D$2000,I$1,Sets!$J$2:$J$2000,"N")=0,"",_xlfn.MAXIFS(Sets!$H$2:$H$2000,Sets!$A$2:$A$2000,$A51,Sets!$D$2:$D$2000,I$1,Sets!$J$2:$J$2000,"N"))</f>
        <v/>
      </c>
      <c r="J51" s="26">
        <f>IF(_xlfn.MAXIFS(Sets!$H$2:$H$2000,Sets!$A$2:$A$2000,$A51,Sets!$D$2:$D$2000,J$1,Sets!$J$2:$J$2000,"N")=0,"",_xlfn.MAXIFS(Sets!$H$2:$H$2000,Sets!$A$2:$A$2000,$A51,Sets!$D$2:$D$2000,J$1,Sets!$J$2:$J$2000,"N"))</f>
        <v/>
      </c>
      <c r="K51" s="26">
        <f>IF(_xlfn.MAXIFS(Sets!$H$2:$H$2000,Sets!$A$2:$A$2000,$A51,Sets!$D$2:$D$2000,K$1,Sets!$J$2:$J$2000,"N")=0,"",_xlfn.MAXIFS(Sets!$H$2:$H$2000,Sets!$A$2:$A$2000,$A51,Sets!$D$2:$D$2000,K$1,Sets!$J$2:$J$2000,"N"))</f>
        <v/>
      </c>
      <c r="L51" s="26">
        <f>IF(_xlfn.MAXIFS(Sets!$H$2:$H$2000,Sets!$A$2:$A$2000,$A51,Sets!$D$2:$D$2000,L$1,Sets!$J$2:$J$2000,"N")=0,"",_xlfn.MAXIFS(Sets!$H$2:$H$2000,Sets!$A$2:$A$2000,$A51,Sets!$D$2:$D$2000,L$1,Sets!$J$2:$J$2000,"N"))</f>
        <v/>
      </c>
      <c r="M51" s="26">
        <f>IF(_xlfn.MAXIFS(Sets!$H$2:$H$2000,Sets!$A$2:$A$2000,$A51,Sets!$D$2:$D$2000,M$1,Sets!$J$2:$J$2000,"N")=0,"",_xlfn.MAXIFS(Sets!$H$2:$H$2000,Sets!$A$2:$A$2000,$A51,Sets!$D$2:$D$2000,M$1,Sets!$J$2:$J$2000,"N"))</f>
        <v/>
      </c>
      <c r="N51" s="26">
        <f>IF(_xlfn.MAXIFS(Sets!$H$2:$H$2000,Sets!$A$2:$A$2000,$A51,Sets!$D$2:$D$2000,N$1,Sets!$J$2:$J$2000,"N")=0,"",_xlfn.MAXIFS(Sets!$H$2:$H$2000,Sets!$A$2:$A$2000,$A51,Sets!$D$2:$D$2000,N$1,Sets!$J$2:$J$2000,"N"))</f>
        <v/>
      </c>
      <c r="O51" s="26">
        <f>IF(_xlfn.MAXIFS(Sets!$H$2:$H$2000,Sets!$A$2:$A$2000,$A51,Sets!$D$2:$D$2000,O$1,Sets!$J$2:$J$2000,"N")=0,"",_xlfn.MAXIFS(Sets!$H$2:$H$2000,Sets!$A$2:$A$2000,$A51,Sets!$D$2:$D$2000,O$1,Sets!$J$2:$J$2000,"N"))</f>
        <v/>
      </c>
      <c r="P51" s="26">
        <f>IF(_xlfn.MAXIFS(Sets!$H$2:$H$2000,Sets!$A$2:$A$2000,$A51,Sets!$D$2:$D$2000,P$1,Sets!$J$2:$J$2000,"N")=0,"",_xlfn.MAXIFS(Sets!$H$2:$H$2000,Sets!$A$2:$A$2000,$A51,Sets!$D$2:$D$2000,P$1,Sets!$J$2:$J$2000,"N"))</f>
        <v/>
      </c>
      <c r="Q51" s="26">
        <f>IF(_xlfn.MAXIFS(Sets!$H$2:$H$2000,Sets!$A$2:$A$2000,$A51,Sets!$D$2:$D$2000,Q$1,Sets!$J$2:$J$2000,"N")=0,"",_xlfn.MAXIFS(Sets!$H$2:$H$2000,Sets!$A$2:$A$2000,$A51,Sets!$D$2:$D$2000,Q$1,Sets!$J$2:$J$2000,"N"))</f>
        <v/>
      </c>
      <c r="R51" s="26">
        <f>IF(_xlfn.MAXIFS(Sets!$H$2:$H$2000,Sets!$A$2:$A$2000,$A51,Sets!$D$2:$D$2000,R$1,Sets!$J$2:$J$2000,"N")=0,"",_xlfn.MAXIFS(Sets!$H$2:$H$2000,Sets!$A$2:$A$2000,$A51,Sets!$D$2:$D$2000,R$1,Sets!$J$2:$J$2000,"N"))</f>
        <v/>
      </c>
      <c r="S51" s="26">
        <f>IF(_xlfn.MAXIFS(Sets!$H$2:$H$2000,Sets!$A$2:$A$2000,$A51,Sets!$D$2:$D$2000,S$1,Sets!$J$2:$J$2000,"N")=0,"",_xlfn.MAXIFS(Sets!$H$2:$H$2000,Sets!$A$2:$A$2000,$A51,Sets!$D$2:$D$2000,S$1,Sets!$J$2:$J$2000,"N"))</f>
        <v/>
      </c>
      <c r="T51" s="26">
        <f>IF(_xlfn.MAXIFS(Sets!$H$2:$H$2000,Sets!$A$2:$A$2000,$A51,Sets!$D$2:$D$2000,T$1,Sets!$J$2:$J$2000,"N")=0,"",_xlfn.MAXIFS(Sets!$H$2:$H$2000,Sets!$A$2:$A$2000,$A51,Sets!$D$2:$D$2000,T$1,Sets!$J$2:$J$2000,"N"))</f>
        <v/>
      </c>
      <c r="U51" s="26">
        <f>IF(_xlfn.MAXIFS(Sets!$H$2:$H$2000,Sets!$A$2:$A$2000,$A51,Sets!$D$2:$D$2000,U$1,Sets!$J$2:$J$2000,"N")=0,"",_xlfn.MAXIFS(Sets!$H$2:$H$2000,Sets!$A$2:$A$2000,$A51,Sets!$D$2:$D$2000,U$1,Sets!$J$2:$J$2000,"N"))</f>
        <v/>
      </c>
      <c r="V51" s="26">
        <f>IF(_xlfn.MAXIFS(Sets!$H$2:$H$2000,Sets!$A$2:$A$2000,$A51,Sets!$D$2:$D$2000,V$1,Sets!$J$2:$J$2000,"N")=0,"",_xlfn.MAXIFS(Sets!$H$2:$H$2000,Sets!$A$2:$A$2000,$A51,Sets!$D$2:$D$2000,V$1,Sets!$J$2:$J$2000,"N"))</f>
        <v/>
      </c>
      <c r="W51" s="26">
        <f>IF(_xlfn.MAXIFS(Sets!$H$2:$H$2000,Sets!$A$2:$A$2000,$A51,Sets!$D$2:$D$2000,W$1,Sets!$J$2:$J$2000,"N")=0,"",_xlfn.MAXIFS(Sets!$H$2:$H$2000,Sets!$A$2:$A$2000,$A51,Sets!$D$2:$D$2000,W$1,Sets!$J$2:$J$2000,"N"))</f>
        <v/>
      </c>
      <c r="X51" s="26">
        <f>IF(_xlfn.MAXIFS(Sets!$H$2:$H$2000,Sets!$A$2:$A$2000,$A51,Sets!$D$2:$D$2000,X$1,Sets!$J$2:$J$2000,"N")=0,"",_xlfn.MAXIFS(Sets!$H$2:$H$2000,Sets!$A$2:$A$2000,$A51,Sets!$D$2:$D$2000,X$1,Sets!$J$2:$J$2000,"N"))</f>
        <v/>
      </c>
      <c r="Y51" s="26">
        <f>IF(_xlfn.MAXIFS(Sets!$H$2:$H$2000,Sets!$A$2:$A$2000,$A51,Sets!$D$2:$D$2000,Y$1,Sets!$J$2:$J$2000,"N")=0,"",_xlfn.MAXIFS(Sets!$H$2:$H$2000,Sets!$A$2:$A$2000,$A51,Sets!$D$2:$D$2000,Y$1,Sets!$J$2:$J$2000,"N"))</f>
        <v/>
      </c>
      <c r="Z51" s="26">
        <f>IF(_xlfn.MAXIFS(Sets!$H$2:$H$2000,Sets!$A$2:$A$2000,$A51,Sets!$D$2:$D$2000,Z$1,Sets!$J$2:$J$2000,"N")=0,"",_xlfn.MAXIFS(Sets!$H$2:$H$2000,Sets!$A$2:$A$2000,$A51,Sets!$D$2:$D$2000,Z$1,Sets!$J$2:$J$2000,"N"))</f>
        <v/>
      </c>
      <c r="AA51" s="26">
        <f>IF(_xlfn.MAXIFS(Sets!$H$2:$H$2000,Sets!$A$2:$A$2000,$A51,Sets!$D$2:$D$2000,AA$1,Sets!$J$2:$J$2000,"N")=0,"",_xlfn.MAXIFS(Sets!$H$2:$H$2000,Sets!$A$2:$A$2000,$A51,Sets!$D$2:$D$2000,AA$1,Sets!$J$2:$J$2000,"N"))</f>
        <v/>
      </c>
      <c r="AB51" s="26">
        <f>IF(_xlfn.MAXIFS(Sets!$H$2:$H$2000,Sets!$A$2:$A$2000,$A51,Sets!$D$2:$D$2000,AB$1,Sets!$J$2:$J$2000,"N")=0,"",_xlfn.MAXIFS(Sets!$H$2:$H$2000,Sets!$A$2:$A$2000,$A51,Sets!$D$2:$D$2000,AB$1,Sets!$J$2:$J$2000,"N"))</f>
        <v/>
      </c>
      <c r="AC51" s="26">
        <f>IF(_xlfn.MAXIFS(Sets!$H$2:$H$2000,Sets!$A$2:$A$2000,$A51,Sets!$D$2:$D$2000,AC$1,Sets!$J$2:$J$2000,"N")=0,"",_xlfn.MAXIFS(Sets!$H$2:$H$2000,Sets!$A$2:$A$2000,$A51,Sets!$D$2:$D$2000,AC$1,Sets!$J$2:$J$2000,"N"))</f>
        <v/>
      </c>
      <c r="AD51" s="26">
        <f>IF(_xlfn.MAXIFS(Sets!$H$2:$H$2000,Sets!$A$2:$A$2000,$A51,Sets!$D$2:$D$2000,AD$1,Sets!$J$2:$J$2000,"N")=0,"",_xlfn.MAXIFS(Sets!$H$2:$H$2000,Sets!$A$2:$A$2000,$A51,Sets!$D$2:$D$2000,AD$1,Sets!$J$2:$J$2000,"N"))</f>
        <v/>
      </c>
      <c r="AE51" s="26">
        <f>IF(_xlfn.MAXIFS(Sets!$H$2:$H$2000,Sets!$A$2:$A$2000,$A51,Sets!$D$2:$D$2000,AE$1,Sets!$J$2:$J$2000,"N")=0,"",_xlfn.MAXIFS(Sets!$H$2:$H$2000,Sets!$A$2:$A$2000,$A51,Sets!$D$2:$D$2000,AE$1,Sets!$J$2:$J$2000,"N"))</f>
        <v/>
      </c>
      <c r="AF51" s="26">
        <f>IF(_xlfn.MAXIFS(Sets!$H$2:$H$2000,Sets!$A$2:$A$2000,$A51,Sets!$D$2:$D$2000,AF$1,Sets!$J$2:$J$2000,"N")=0,"",_xlfn.MAXIFS(Sets!$H$2:$H$2000,Sets!$A$2:$A$2000,$A51,Sets!$D$2:$D$2000,AF$1,Sets!$J$2:$J$2000,"N"))</f>
        <v/>
      </c>
      <c r="AG51" s="26">
        <f>IF(_xlfn.MAXIFS(Sets!$H$2:$H$2000,Sets!$A$2:$A$2000,$A51,Sets!$D$2:$D$2000,AG$1,Sets!$J$2:$J$2000,"N")=0,"",_xlfn.MAXIFS(Sets!$H$2:$H$2000,Sets!$A$2:$A$2000,$A51,Sets!$D$2:$D$2000,AG$1,Sets!$J$2:$J$2000,"N"))</f>
        <v/>
      </c>
      <c r="AH51" s="26">
        <f>IF(_xlfn.MAXIFS(Sets!$H$2:$H$2000,Sets!$A$2:$A$2000,$A51,Sets!$D$2:$D$2000,AH$1,Sets!$J$2:$J$2000,"N")=0,"",_xlfn.MAXIFS(Sets!$H$2:$H$2000,Sets!$A$2:$A$2000,$A51,Sets!$D$2:$D$2000,AH$1,Sets!$J$2:$J$2000,"N"))</f>
        <v/>
      </c>
      <c r="AI51">
        <f>IF(_xlfn.MAXIFS(Sets!$H$2:$H$2000,Sets!$A$2:$A$2000,$A51,Sets!$D$2:$D$2000,AI$1,Sets!$J$2:$J$2000,"N")=0,"",_xlfn.MAXIFS(Sets!$H$2:$H$2000,Sets!$A$2:$A$2000,$A51,Sets!$D$2:$D$2000,AI$1,Sets!$J$2:$J$2000,"N"))</f>
        <v/>
      </c>
      <c r="AJ51">
        <f>IF(_xlfn.MAXIFS(Sets!$H$2:$H$2000,Sets!$A$2:$A$2000,$A51,Sets!$D$2:$D$2000,AJ$1,Sets!$J$2:$J$2000,"N")=0,"",_xlfn.MAXIFS(Sets!$H$2:$H$2000,Sets!$A$2:$A$2000,$A51,Sets!$D$2:$D$2000,AJ$1,Sets!$J$2:$J$2000,"N"))</f>
        <v/>
      </c>
      <c r="AK51">
        <f>IF(_xlfn.MAXIFS(Sets!$H$2:$H$2000,Sets!$A$2:$A$2000,$A51,Sets!$D$2:$D$2000,AK$1,Sets!$J$2:$J$2000,"N")=0,"",_xlfn.MAXIFS(Sets!$H$2:$H$2000,Sets!$A$2:$A$2000,$A51,Sets!$D$2:$D$2000,AK$1,Sets!$J$2:$J$2000,"N"))</f>
        <v/>
      </c>
      <c r="AL51">
        <f>IF(_xlfn.MAXIFS(Sets!$H$2:$H$2000,Sets!$A$2:$A$2000,$A51,Sets!$D$2:$D$2000,AL$1,Sets!$J$2:$J$2000,"N")=0,"",_xlfn.MAXIFS(Sets!$H$2:$H$2000,Sets!$A$2:$A$2000,$A51,Sets!$D$2:$D$2000,AL$1,Sets!$J$2:$J$2000,"N"))</f>
        <v/>
      </c>
      <c r="AM51">
        <f>IF(_xlfn.MAXIFS(Sets!$H$2:$H$2000,Sets!$A$2:$A$2000,$A51,Sets!$D$2:$D$2000,AM$1,Sets!$J$2:$J$2000,"N")=0,"",_xlfn.MAXIFS(Sets!$H$2:$H$2000,Sets!$A$2:$A$2000,$A51,Sets!$D$2:$D$2000,AM$1,Sets!$J$2:$J$2000,"N"))</f>
        <v/>
      </c>
      <c r="AN51">
        <f>IF(_xlfn.MAXIFS(Sets!$H$2:$H$2000,Sets!$A$2:$A$2000,$A51,Sets!$D$2:$D$2000,AN$1,Sets!$J$2:$J$2000,"N")=0,"",_xlfn.MAXIFS(Sets!$H$2:$H$2000,Sets!$A$2:$A$2000,$A51,Sets!$D$2:$D$2000,AN$1,Sets!$J$2:$J$2000,"N"))</f>
        <v/>
      </c>
      <c r="AO51">
        <f>IF(_xlfn.MAXIFS(Sets!$H$2:$H$2000,Sets!$A$2:$A$2000,$A51,Sets!$D$2:$D$2000,AO$1,Sets!$J$2:$J$2000,"N")=0,"",_xlfn.MAXIFS(Sets!$H$2:$H$2000,Sets!$A$2:$A$2000,$A51,Sets!$D$2:$D$2000,AO$1,Sets!$J$2:$J$2000,"N"))</f>
        <v/>
      </c>
      <c r="AP51">
        <f>IF(_xlfn.MAXIFS(Sets!$H$2:$H$2000,Sets!$A$2:$A$2000,$A51,Sets!$D$2:$D$2000,AP$1,Sets!$J$2:$J$2000,"N")=0,"",_xlfn.MAXIFS(Sets!$H$2:$H$2000,Sets!$A$2:$A$2000,$A51,Sets!$D$2:$D$2000,AP$1,Sets!$J$2:$J$2000,"N"))</f>
        <v/>
      </c>
    </row>
    <row r="52" ht="15" customHeight="1" s="22">
      <c r="A52" s="39" t="n">
        <v>46224</v>
      </c>
      <c r="B52" s="26">
        <f>IF(_xlfn.MAXIFS(Sets!$H$2:$H$2000,Sets!$A$2:$A$2000,$A52,Sets!$D$2:$D$2000,B$1,Sets!$J$2:$J$2000,"N")=0,"",_xlfn.MAXIFS(Sets!$H$2:$H$2000,Sets!$A$2:$A$2000,$A52,Sets!$D$2:$D$2000,B$1,Sets!$J$2:$J$2000,"N"))</f>
        <v/>
      </c>
      <c r="C52" s="26">
        <f>IF(_xlfn.MAXIFS(Sets!$H$2:$H$2000,Sets!$A$2:$A$2000,$A52,Sets!$D$2:$D$2000,C$1,Sets!$J$2:$J$2000,"N")=0,"",_xlfn.MAXIFS(Sets!$H$2:$H$2000,Sets!$A$2:$A$2000,$A52,Sets!$D$2:$D$2000,C$1,Sets!$J$2:$J$2000,"N"))</f>
        <v/>
      </c>
      <c r="D52" s="26">
        <f>IF(_xlfn.MAXIFS(Sets!$H$2:$H$2000,Sets!$A$2:$A$2000,$A52,Sets!$D$2:$D$2000,D$1,Sets!$J$2:$J$2000,"N")=0,"",_xlfn.MAXIFS(Sets!$H$2:$H$2000,Sets!$A$2:$A$2000,$A52,Sets!$D$2:$D$2000,D$1,Sets!$J$2:$J$2000,"N"))</f>
        <v/>
      </c>
      <c r="E52" s="26">
        <f>IF(_xlfn.MAXIFS(Sets!$H$2:$H$2000,Sets!$A$2:$A$2000,$A52,Sets!$D$2:$D$2000,E$1,Sets!$J$2:$J$2000,"N")=0,"",_xlfn.MAXIFS(Sets!$H$2:$H$2000,Sets!$A$2:$A$2000,$A52,Sets!$D$2:$D$2000,E$1,Sets!$J$2:$J$2000,"N"))</f>
        <v/>
      </c>
      <c r="F52" s="26">
        <f>IF(_xlfn.MAXIFS(Sets!$H$2:$H$2000,Sets!$A$2:$A$2000,$A52,Sets!$D$2:$D$2000,F$1,Sets!$J$2:$J$2000,"N")=0,"",_xlfn.MAXIFS(Sets!$H$2:$H$2000,Sets!$A$2:$A$2000,$A52,Sets!$D$2:$D$2000,F$1,Sets!$J$2:$J$2000,"N"))</f>
        <v/>
      </c>
      <c r="G52" s="26">
        <f>IF(_xlfn.MAXIFS(Sets!$H$2:$H$2000,Sets!$A$2:$A$2000,$A52,Sets!$D$2:$D$2000,G$1,Sets!$J$2:$J$2000,"N")=0,"",_xlfn.MAXIFS(Sets!$H$2:$H$2000,Sets!$A$2:$A$2000,$A52,Sets!$D$2:$D$2000,G$1,Sets!$J$2:$J$2000,"N"))</f>
        <v/>
      </c>
      <c r="H52" s="26">
        <f>IF(_xlfn.MAXIFS(Sets!$H$2:$H$2000,Sets!$A$2:$A$2000,$A52,Sets!$D$2:$D$2000,H$1,Sets!$J$2:$J$2000,"N")=0,"",_xlfn.MAXIFS(Sets!$H$2:$H$2000,Sets!$A$2:$A$2000,$A52,Sets!$D$2:$D$2000,H$1,Sets!$J$2:$J$2000,"N"))</f>
        <v/>
      </c>
      <c r="I52" s="26">
        <f>IF(_xlfn.MAXIFS(Sets!$H$2:$H$2000,Sets!$A$2:$A$2000,$A52,Sets!$D$2:$D$2000,I$1,Sets!$J$2:$J$2000,"N")=0,"",_xlfn.MAXIFS(Sets!$H$2:$H$2000,Sets!$A$2:$A$2000,$A52,Sets!$D$2:$D$2000,I$1,Sets!$J$2:$J$2000,"N"))</f>
        <v/>
      </c>
      <c r="J52" s="26">
        <f>IF(_xlfn.MAXIFS(Sets!$H$2:$H$2000,Sets!$A$2:$A$2000,$A52,Sets!$D$2:$D$2000,J$1,Sets!$J$2:$J$2000,"N")=0,"",_xlfn.MAXIFS(Sets!$H$2:$H$2000,Sets!$A$2:$A$2000,$A52,Sets!$D$2:$D$2000,J$1,Sets!$J$2:$J$2000,"N"))</f>
        <v/>
      </c>
      <c r="K52" s="26">
        <f>IF(_xlfn.MAXIFS(Sets!$H$2:$H$2000,Sets!$A$2:$A$2000,$A52,Sets!$D$2:$D$2000,K$1,Sets!$J$2:$J$2000,"N")=0,"",_xlfn.MAXIFS(Sets!$H$2:$H$2000,Sets!$A$2:$A$2000,$A52,Sets!$D$2:$D$2000,K$1,Sets!$J$2:$J$2000,"N"))</f>
        <v/>
      </c>
      <c r="L52" s="26">
        <f>IF(_xlfn.MAXIFS(Sets!$H$2:$H$2000,Sets!$A$2:$A$2000,$A52,Sets!$D$2:$D$2000,L$1,Sets!$J$2:$J$2000,"N")=0,"",_xlfn.MAXIFS(Sets!$H$2:$H$2000,Sets!$A$2:$A$2000,$A52,Sets!$D$2:$D$2000,L$1,Sets!$J$2:$J$2000,"N"))</f>
        <v/>
      </c>
      <c r="M52" s="26">
        <f>IF(_xlfn.MAXIFS(Sets!$H$2:$H$2000,Sets!$A$2:$A$2000,$A52,Sets!$D$2:$D$2000,M$1,Sets!$J$2:$J$2000,"N")=0,"",_xlfn.MAXIFS(Sets!$H$2:$H$2000,Sets!$A$2:$A$2000,$A52,Sets!$D$2:$D$2000,M$1,Sets!$J$2:$J$2000,"N"))</f>
        <v/>
      </c>
      <c r="N52" s="26">
        <f>IF(_xlfn.MAXIFS(Sets!$H$2:$H$2000,Sets!$A$2:$A$2000,$A52,Sets!$D$2:$D$2000,N$1,Sets!$J$2:$J$2000,"N")=0,"",_xlfn.MAXIFS(Sets!$H$2:$H$2000,Sets!$A$2:$A$2000,$A52,Sets!$D$2:$D$2000,N$1,Sets!$J$2:$J$2000,"N"))</f>
        <v/>
      </c>
      <c r="O52" s="26">
        <f>IF(_xlfn.MAXIFS(Sets!$H$2:$H$2000,Sets!$A$2:$A$2000,$A52,Sets!$D$2:$D$2000,O$1,Sets!$J$2:$J$2000,"N")=0,"",_xlfn.MAXIFS(Sets!$H$2:$H$2000,Sets!$A$2:$A$2000,$A52,Sets!$D$2:$D$2000,O$1,Sets!$J$2:$J$2000,"N"))</f>
        <v/>
      </c>
      <c r="P52" s="26">
        <f>IF(_xlfn.MAXIFS(Sets!$H$2:$H$2000,Sets!$A$2:$A$2000,$A52,Sets!$D$2:$D$2000,P$1,Sets!$J$2:$J$2000,"N")=0,"",_xlfn.MAXIFS(Sets!$H$2:$H$2000,Sets!$A$2:$A$2000,$A52,Sets!$D$2:$D$2000,P$1,Sets!$J$2:$J$2000,"N"))</f>
        <v/>
      </c>
      <c r="Q52" s="26">
        <f>IF(_xlfn.MAXIFS(Sets!$H$2:$H$2000,Sets!$A$2:$A$2000,$A52,Sets!$D$2:$D$2000,Q$1,Sets!$J$2:$J$2000,"N")=0,"",_xlfn.MAXIFS(Sets!$H$2:$H$2000,Sets!$A$2:$A$2000,$A52,Sets!$D$2:$D$2000,Q$1,Sets!$J$2:$J$2000,"N"))</f>
        <v/>
      </c>
      <c r="R52" s="26">
        <f>IF(_xlfn.MAXIFS(Sets!$H$2:$H$2000,Sets!$A$2:$A$2000,$A52,Sets!$D$2:$D$2000,R$1,Sets!$J$2:$J$2000,"N")=0,"",_xlfn.MAXIFS(Sets!$H$2:$H$2000,Sets!$A$2:$A$2000,$A52,Sets!$D$2:$D$2000,R$1,Sets!$J$2:$J$2000,"N"))</f>
        <v/>
      </c>
      <c r="S52" s="26">
        <f>IF(_xlfn.MAXIFS(Sets!$H$2:$H$2000,Sets!$A$2:$A$2000,$A52,Sets!$D$2:$D$2000,S$1,Sets!$J$2:$J$2000,"N")=0,"",_xlfn.MAXIFS(Sets!$H$2:$H$2000,Sets!$A$2:$A$2000,$A52,Sets!$D$2:$D$2000,S$1,Sets!$J$2:$J$2000,"N"))</f>
        <v/>
      </c>
      <c r="T52" s="26">
        <f>IF(_xlfn.MAXIFS(Sets!$H$2:$H$2000,Sets!$A$2:$A$2000,$A52,Sets!$D$2:$D$2000,T$1,Sets!$J$2:$J$2000,"N")=0,"",_xlfn.MAXIFS(Sets!$H$2:$H$2000,Sets!$A$2:$A$2000,$A52,Sets!$D$2:$D$2000,T$1,Sets!$J$2:$J$2000,"N"))</f>
        <v/>
      </c>
      <c r="U52" s="26">
        <f>IF(_xlfn.MAXIFS(Sets!$H$2:$H$2000,Sets!$A$2:$A$2000,$A52,Sets!$D$2:$D$2000,U$1,Sets!$J$2:$J$2000,"N")=0,"",_xlfn.MAXIFS(Sets!$H$2:$H$2000,Sets!$A$2:$A$2000,$A52,Sets!$D$2:$D$2000,U$1,Sets!$J$2:$J$2000,"N"))</f>
        <v/>
      </c>
      <c r="V52" s="26">
        <f>IF(_xlfn.MAXIFS(Sets!$H$2:$H$2000,Sets!$A$2:$A$2000,$A52,Sets!$D$2:$D$2000,V$1,Sets!$J$2:$J$2000,"N")=0,"",_xlfn.MAXIFS(Sets!$H$2:$H$2000,Sets!$A$2:$A$2000,$A52,Sets!$D$2:$D$2000,V$1,Sets!$J$2:$J$2000,"N"))</f>
        <v/>
      </c>
      <c r="W52" s="26">
        <f>IF(_xlfn.MAXIFS(Sets!$H$2:$H$2000,Sets!$A$2:$A$2000,$A52,Sets!$D$2:$D$2000,W$1,Sets!$J$2:$J$2000,"N")=0,"",_xlfn.MAXIFS(Sets!$H$2:$H$2000,Sets!$A$2:$A$2000,$A52,Sets!$D$2:$D$2000,W$1,Sets!$J$2:$J$2000,"N"))</f>
        <v/>
      </c>
      <c r="X52" s="26">
        <f>IF(_xlfn.MAXIFS(Sets!$H$2:$H$2000,Sets!$A$2:$A$2000,$A52,Sets!$D$2:$D$2000,X$1,Sets!$J$2:$J$2000,"N")=0,"",_xlfn.MAXIFS(Sets!$H$2:$H$2000,Sets!$A$2:$A$2000,$A52,Sets!$D$2:$D$2000,X$1,Sets!$J$2:$J$2000,"N"))</f>
        <v/>
      </c>
      <c r="Y52" s="26">
        <f>IF(_xlfn.MAXIFS(Sets!$H$2:$H$2000,Sets!$A$2:$A$2000,$A52,Sets!$D$2:$D$2000,Y$1,Sets!$J$2:$J$2000,"N")=0,"",_xlfn.MAXIFS(Sets!$H$2:$H$2000,Sets!$A$2:$A$2000,$A52,Sets!$D$2:$D$2000,Y$1,Sets!$J$2:$J$2000,"N"))</f>
        <v/>
      </c>
      <c r="Z52" s="26">
        <f>IF(_xlfn.MAXIFS(Sets!$H$2:$H$2000,Sets!$A$2:$A$2000,$A52,Sets!$D$2:$D$2000,Z$1,Sets!$J$2:$J$2000,"N")=0,"",_xlfn.MAXIFS(Sets!$H$2:$H$2000,Sets!$A$2:$A$2000,$A52,Sets!$D$2:$D$2000,Z$1,Sets!$J$2:$J$2000,"N"))</f>
        <v/>
      </c>
      <c r="AA52" s="26">
        <f>IF(_xlfn.MAXIFS(Sets!$H$2:$H$2000,Sets!$A$2:$A$2000,$A52,Sets!$D$2:$D$2000,AA$1,Sets!$J$2:$J$2000,"N")=0,"",_xlfn.MAXIFS(Sets!$H$2:$H$2000,Sets!$A$2:$A$2000,$A52,Sets!$D$2:$D$2000,AA$1,Sets!$J$2:$J$2000,"N"))</f>
        <v/>
      </c>
      <c r="AB52" s="26">
        <f>IF(_xlfn.MAXIFS(Sets!$H$2:$H$2000,Sets!$A$2:$A$2000,$A52,Sets!$D$2:$D$2000,AB$1,Sets!$J$2:$J$2000,"N")=0,"",_xlfn.MAXIFS(Sets!$H$2:$H$2000,Sets!$A$2:$A$2000,$A52,Sets!$D$2:$D$2000,AB$1,Sets!$J$2:$J$2000,"N"))</f>
        <v/>
      </c>
      <c r="AC52" s="26">
        <f>IF(_xlfn.MAXIFS(Sets!$H$2:$H$2000,Sets!$A$2:$A$2000,$A52,Sets!$D$2:$D$2000,AC$1,Sets!$J$2:$J$2000,"N")=0,"",_xlfn.MAXIFS(Sets!$H$2:$H$2000,Sets!$A$2:$A$2000,$A52,Sets!$D$2:$D$2000,AC$1,Sets!$J$2:$J$2000,"N"))</f>
        <v/>
      </c>
      <c r="AD52" s="26">
        <f>IF(_xlfn.MAXIFS(Sets!$H$2:$H$2000,Sets!$A$2:$A$2000,$A52,Sets!$D$2:$D$2000,AD$1,Sets!$J$2:$J$2000,"N")=0,"",_xlfn.MAXIFS(Sets!$H$2:$H$2000,Sets!$A$2:$A$2000,$A52,Sets!$D$2:$D$2000,AD$1,Sets!$J$2:$J$2000,"N"))</f>
        <v/>
      </c>
      <c r="AE52" s="26">
        <f>IF(_xlfn.MAXIFS(Sets!$H$2:$H$2000,Sets!$A$2:$A$2000,$A52,Sets!$D$2:$D$2000,AE$1,Sets!$J$2:$J$2000,"N")=0,"",_xlfn.MAXIFS(Sets!$H$2:$H$2000,Sets!$A$2:$A$2000,$A52,Sets!$D$2:$D$2000,AE$1,Sets!$J$2:$J$2000,"N"))</f>
        <v/>
      </c>
      <c r="AF52" s="26">
        <f>IF(_xlfn.MAXIFS(Sets!$H$2:$H$2000,Sets!$A$2:$A$2000,$A52,Sets!$D$2:$D$2000,AF$1,Sets!$J$2:$J$2000,"N")=0,"",_xlfn.MAXIFS(Sets!$H$2:$H$2000,Sets!$A$2:$A$2000,$A52,Sets!$D$2:$D$2000,AF$1,Sets!$J$2:$J$2000,"N"))</f>
        <v/>
      </c>
      <c r="AG52" s="26">
        <f>IF(_xlfn.MAXIFS(Sets!$H$2:$H$2000,Sets!$A$2:$A$2000,$A52,Sets!$D$2:$D$2000,AG$1,Sets!$J$2:$J$2000,"N")=0,"",_xlfn.MAXIFS(Sets!$H$2:$H$2000,Sets!$A$2:$A$2000,$A52,Sets!$D$2:$D$2000,AG$1,Sets!$J$2:$J$2000,"N"))</f>
        <v/>
      </c>
      <c r="AH52" s="26">
        <f>IF(_xlfn.MAXIFS(Sets!$H$2:$H$2000,Sets!$A$2:$A$2000,$A52,Sets!$D$2:$D$2000,AH$1,Sets!$J$2:$J$2000,"N")=0,"",_xlfn.MAXIFS(Sets!$H$2:$H$2000,Sets!$A$2:$A$2000,$A52,Sets!$D$2:$D$2000,AH$1,Sets!$J$2:$J$2000,"N"))</f>
        <v/>
      </c>
      <c r="AI52">
        <f>IF(_xlfn.MAXIFS(Sets!$H$2:$H$2000,Sets!$A$2:$A$2000,$A52,Sets!$D$2:$D$2000,AI$1,Sets!$J$2:$J$2000,"N")=0,"",_xlfn.MAXIFS(Sets!$H$2:$H$2000,Sets!$A$2:$A$2000,$A52,Sets!$D$2:$D$2000,AI$1,Sets!$J$2:$J$2000,"N"))</f>
        <v/>
      </c>
      <c r="AJ52">
        <f>IF(_xlfn.MAXIFS(Sets!$H$2:$H$2000,Sets!$A$2:$A$2000,$A52,Sets!$D$2:$D$2000,AJ$1,Sets!$J$2:$J$2000,"N")=0,"",_xlfn.MAXIFS(Sets!$H$2:$H$2000,Sets!$A$2:$A$2000,$A52,Sets!$D$2:$D$2000,AJ$1,Sets!$J$2:$J$2000,"N"))</f>
        <v/>
      </c>
      <c r="AK52">
        <f>IF(_xlfn.MAXIFS(Sets!$H$2:$H$2000,Sets!$A$2:$A$2000,$A52,Sets!$D$2:$D$2000,AK$1,Sets!$J$2:$J$2000,"N")=0,"",_xlfn.MAXIFS(Sets!$H$2:$H$2000,Sets!$A$2:$A$2000,$A52,Sets!$D$2:$D$2000,AK$1,Sets!$J$2:$J$2000,"N"))</f>
        <v/>
      </c>
      <c r="AL52">
        <f>IF(_xlfn.MAXIFS(Sets!$H$2:$H$2000,Sets!$A$2:$A$2000,$A52,Sets!$D$2:$D$2000,AL$1,Sets!$J$2:$J$2000,"N")=0,"",_xlfn.MAXIFS(Sets!$H$2:$H$2000,Sets!$A$2:$A$2000,$A52,Sets!$D$2:$D$2000,AL$1,Sets!$J$2:$J$2000,"N"))</f>
        <v/>
      </c>
      <c r="AM52">
        <f>IF(_xlfn.MAXIFS(Sets!$H$2:$H$2000,Sets!$A$2:$A$2000,$A52,Sets!$D$2:$D$2000,AM$1,Sets!$J$2:$J$2000,"N")=0,"",_xlfn.MAXIFS(Sets!$H$2:$H$2000,Sets!$A$2:$A$2000,$A52,Sets!$D$2:$D$2000,AM$1,Sets!$J$2:$J$2000,"N"))</f>
        <v/>
      </c>
      <c r="AN52">
        <f>IF(_xlfn.MAXIFS(Sets!$H$2:$H$2000,Sets!$A$2:$A$2000,$A52,Sets!$D$2:$D$2000,AN$1,Sets!$J$2:$J$2000,"N")=0,"",_xlfn.MAXIFS(Sets!$H$2:$H$2000,Sets!$A$2:$A$2000,$A52,Sets!$D$2:$D$2000,AN$1,Sets!$J$2:$J$2000,"N"))</f>
        <v/>
      </c>
      <c r="AO52">
        <f>IF(_xlfn.MAXIFS(Sets!$H$2:$H$2000,Sets!$A$2:$A$2000,$A52,Sets!$D$2:$D$2000,AO$1,Sets!$J$2:$J$2000,"N")=0,"",_xlfn.MAXIFS(Sets!$H$2:$H$2000,Sets!$A$2:$A$2000,$A52,Sets!$D$2:$D$2000,AO$1,Sets!$J$2:$J$2000,"N"))</f>
        <v/>
      </c>
      <c r="AP52">
        <f>IF(_xlfn.MAXIFS(Sets!$H$2:$H$2000,Sets!$A$2:$A$2000,$A52,Sets!$D$2:$D$2000,AP$1,Sets!$J$2:$J$2000,"N")=0,"",_xlfn.MAXIFS(Sets!$H$2:$H$2000,Sets!$A$2:$A$2000,$A52,Sets!$D$2:$D$2000,AP$1,Sets!$J$2:$J$2000,"N"))</f>
        <v/>
      </c>
    </row>
    <row r="53">
      <c r="A53" s="36" t="n">
        <v>46227</v>
      </c>
      <c r="B53">
        <f>IF(_xlfn.MAXIFS(Sets!$H$2:$H$2000,Sets!$A$2:$A$2000,$A53,Sets!$D$2:$D$2000,B$1,Sets!$J$2:$J$2000,"N")=0,"",_xlfn.MAXIFS(Sets!$H$2:$H$2000,Sets!$A$2:$A$2000,$A53,Sets!$D$2:$D$2000,B$1,Sets!$J$2:$J$2000,"N"))</f>
        <v/>
      </c>
      <c r="C53">
        <f>IF(_xlfn.MAXIFS(Sets!$H$2:$H$2000,Sets!$A$2:$A$2000,$A53,Sets!$D$2:$D$2000,C$1,Sets!$J$2:$J$2000,"N")=0,"",_xlfn.MAXIFS(Sets!$H$2:$H$2000,Sets!$A$2:$A$2000,$A53,Sets!$D$2:$D$2000,C$1,Sets!$J$2:$J$2000,"N"))</f>
        <v/>
      </c>
      <c r="D53">
        <f>IF(_xlfn.MAXIFS(Sets!$H$2:$H$2000,Sets!$A$2:$A$2000,$A53,Sets!$D$2:$D$2000,D$1,Sets!$J$2:$J$2000,"N")=0,"",_xlfn.MAXIFS(Sets!$H$2:$H$2000,Sets!$A$2:$A$2000,$A53,Sets!$D$2:$D$2000,D$1,Sets!$J$2:$J$2000,"N"))</f>
        <v/>
      </c>
      <c r="E53">
        <f>IF(_xlfn.MAXIFS(Sets!$H$2:$H$2000,Sets!$A$2:$A$2000,$A53,Sets!$D$2:$D$2000,E$1,Sets!$J$2:$J$2000,"N")=0,"",_xlfn.MAXIFS(Sets!$H$2:$H$2000,Sets!$A$2:$A$2000,$A53,Sets!$D$2:$D$2000,E$1,Sets!$J$2:$J$2000,"N"))</f>
        <v/>
      </c>
      <c r="F53">
        <f>IF(_xlfn.MAXIFS(Sets!$H$2:$H$2000,Sets!$A$2:$A$2000,$A53,Sets!$D$2:$D$2000,F$1,Sets!$J$2:$J$2000,"N")=0,"",_xlfn.MAXIFS(Sets!$H$2:$H$2000,Sets!$A$2:$A$2000,$A53,Sets!$D$2:$D$2000,F$1,Sets!$J$2:$J$2000,"N"))</f>
        <v/>
      </c>
      <c r="G53">
        <f>IF(_xlfn.MAXIFS(Sets!$H$2:$H$2000,Sets!$A$2:$A$2000,$A53,Sets!$D$2:$D$2000,G$1,Sets!$J$2:$J$2000,"N")=0,"",_xlfn.MAXIFS(Sets!$H$2:$H$2000,Sets!$A$2:$A$2000,$A53,Sets!$D$2:$D$2000,G$1,Sets!$J$2:$J$2000,"N"))</f>
        <v/>
      </c>
      <c r="H53">
        <f>IF(_xlfn.MAXIFS(Sets!$H$2:$H$2000,Sets!$A$2:$A$2000,$A53,Sets!$D$2:$D$2000,H$1,Sets!$J$2:$J$2000,"N")=0,"",_xlfn.MAXIFS(Sets!$H$2:$H$2000,Sets!$A$2:$A$2000,$A53,Sets!$D$2:$D$2000,H$1,Sets!$J$2:$J$2000,"N"))</f>
        <v/>
      </c>
      <c r="I53">
        <f>IF(_xlfn.MAXIFS(Sets!$H$2:$H$2000,Sets!$A$2:$A$2000,$A53,Sets!$D$2:$D$2000,I$1,Sets!$J$2:$J$2000,"N")=0,"",_xlfn.MAXIFS(Sets!$H$2:$H$2000,Sets!$A$2:$A$2000,$A53,Sets!$D$2:$D$2000,I$1,Sets!$J$2:$J$2000,"N"))</f>
        <v/>
      </c>
      <c r="J53">
        <f>IF(_xlfn.MAXIFS(Sets!$H$2:$H$2000,Sets!$A$2:$A$2000,$A53,Sets!$D$2:$D$2000,J$1,Sets!$J$2:$J$2000,"N")=0,"",_xlfn.MAXIFS(Sets!$H$2:$H$2000,Sets!$A$2:$A$2000,$A53,Sets!$D$2:$D$2000,J$1,Sets!$J$2:$J$2000,"N"))</f>
        <v/>
      </c>
      <c r="K53">
        <f>IF(_xlfn.MAXIFS(Sets!$H$2:$H$2000,Sets!$A$2:$A$2000,$A53,Sets!$D$2:$D$2000,K$1,Sets!$J$2:$J$2000,"N")=0,"",_xlfn.MAXIFS(Sets!$H$2:$H$2000,Sets!$A$2:$A$2000,$A53,Sets!$D$2:$D$2000,K$1,Sets!$J$2:$J$2000,"N"))</f>
        <v/>
      </c>
      <c r="L53">
        <f>IF(_xlfn.MAXIFS(Sets!$H$2:$H$2000,Sets!$A$2:$A$2000,$A53,Sets!$D$2:$D$2000,L$1,Sets!$J$2:$J$2000,"N")=0,"",_xlfn.MAXIFS(Sets!$H$2:$H$2000,Sets!$A$2:$A$2000,$A53,Sets!$D$2:$D$2000,L$1,Sets!$J$2:$J$2000,"N"))</f>
        <v/>
      </c>
      <c r="M53">
        <f>IF(_xlfn.MAXIFS(Sets!$H$2:$H$2000,Sets!$A$2:$A$2000,$A53,Sets!$D$2:$D$2000,M$1,Sets!$J$2:$J$2000,"N")=0,"",_xlfn.MAXIFS(Sets!$H$2:$H$2000,Sets!$A$2:$A$2000,$A53,Sets!$D$2:$D$2000,M$1,Sets!$J$2:$J$2000,"N"))</f>
        <v/>
      </c>
      <c r="N53">
        <f>IF(_xlfn.MAXIFS(Sets!$H$2:$H$2000,Sets!$A$2:$A$2000,$A53,Sets!$D$2:$D$2000,N$1,Sets!$J$2:$J$2000,"N")=0,"",_xlfn.MAXIFS(Sets!$H$2:$H$2000,Sets!$A$2:$A$2000,$A53,Sets!$D$2:$D$2000,N$1,Sets!$J$2:$J$2000,"N"))</f>
        <v/>
      </c>
      <c r="O53">
        <f>IF(_xlfn.MAXIFS(Sets!$H$2:$H$2000,Sets!$A$2:$A$2000,$A53,Sets!$D$2:$D$2000,O$1,Sets!$J$2:$J$2000,"N")=0,"",_xlfn.MAXIFS(Sets!$H$2:$H$2000,Sets!$A$2:$A$2000,$A53,Sets!$D$2:$D$2000,O$1,Sets!$J$2:$J$2000,"N"))</f>
        <v/>
      </c>
      <c r="P53">
        <f>IF(_xlfn.MAXIFS(Sets!$H$2:$H$2000,Sets!$A$2:$A$2000,$A53,Sets!$D$2:$D$2000,P$1,Sets!$J$2:$J$2000,"N")=0,"",_xlfn.MAXIFS(Sets!$H$2:$H$2000,Sets!$A$2:$A$2000,$A53,Sets!$D$2:$D$2000,P$1,Sets!$J$2:$J$2000,"N"))</f>
        <v/>
      </c>
      <c r="Q53">
        <f>IF(_xlfn.MAXIFS(Sets!$H$2:$H$2000,Sets!$A$2:$A$2000,$A53,Sets!$D$2:$D$2000,Q$1,Sets!$J$2:$J$2000,"N")=0,"",_xlfn.MAXIFS(Sets!$H$2:$H$2000,Sets!$A$2:$A$2000,$A53,Sets!$D$2:$D$2000,Q$1,Sets!$J$2:$J$2000,"N"))</f>
        <v/>
      </c>
      <c r="R53">
        <f>IF(_xlfn.MAXIFS(Sets!$H$2:$H$2000,Sets!$A$2:$A$2000,$A53,Sets!$D$2:$D$2000,R$1,Sets!$J$2:$J$2000,"N")=0,"",_xlfn.MAXIFS(Sets!$H$2:$H$2000,Sets!$A$2:$A$2000,$A53,Sets!$D$2:$D$2000,R$1,Sets!$J$2:$J$2000,"N"))</f>
        <v/>
      </c>
      <c r="S53">
        <f>IF(_xlfn.MAXIFS(Sets!$H$2:$H$2000,Sets!$A$2:$A$2000,$A53,Sets!$D$2:$D$2000,S$1,Sets!$J$2:$J$2000,"N")=0,"",_xlfn.MAXIFS(Sets!$H$2:$H$2000,Sets!$A$2:$A$2000,$A53,Sets!$D$2:$D$2000,S$1,Sets!$J$2:$J$2000,"N"))</f>
        <v/>
      </c>
      <c r="T53">
        <f>IF(_xlfn.MAXIFS(Sets!$H$2:$H$2000,Sets!$A$2:$A$2000,$A53,Sets!$D$2:$D$2000,T$1,Sets!$J$2:$J$2000,"N")=0,"",_xlfn.MAXIFS(Sets!$H$2:$H$2000,Sets!$A$2:$A$2000,$A53,Sets!$D$2:$D$2000,T$1,Sets!$J$2:$J$2000,"N"))</f>
        <v/>
      </c>
      <c r="U53">
        <f>IF(_xlfn.MAXIFS(Sets!$H$2:$H$2000,Sets!$A$2:$A$2000,$A53,Sets!$D$2:$D$2000,U$1,Sets!$J$2:$J$2000,"N")=0,"",_xlfn.MAXIFS(Sets!$H$2:$H$2000,Sets!$A$2:$A$2000,$A53,Sets!$D$2:$D$2000,U$1,Sets!$J$2:$J$2000,"N"))</f>
        <v/>
      </c>
      <c r="V53">
        <f>IF(_xlfn.MAXIFS(Sets!$H$2:$H$2000,Sets!$A$2:$A$2000,$A53,Sets!$D$2:$D$2000,V$1,Sets!$J$2:$J$2000,"N")=0,"",_xlfn.MAXIFS(Sets!$H$2:$H$2000,Sets!$A$2:$A$2000,$A53,Sets!$D$2:$D$2000,V$1,Sets!$J$2:$J$2000,"N"))</f>
        <v/>
      </c>
      <c r="W53">
        <f>IF(_xlfn.MAXIFS(Sets!$H$2:$H$2000,Sets!$A$2:$A$2000,$A53,Sets!$D$2:$D$2000,W$1,Sets!$J$2:$J$2000,"N")=0,"",_xlfn.MAXIFS(Sets!$H$2:$H$2000,Sets!$A$2:$A$2000,$A53,Sets!$D$2:$D$2000,W$1,Sets!$J$2:$J$2000,"N"))</f>
        <v/>
      </c>
      <c r="X53">
        <f>IF(_xlfn.MAXIFS(Sets!$H$2:$H$2000,Sets!$A$2:$A$2000,$A53,Sets!$D$2:$D$2000,X$1,Sets!$J$2:$J$2000,"N")=0,"",_xlfn.MAXIFS(Sets!$H$2:$H$2000,Sets!$A$2:$A$2000,$A53,Sets!$D$2:$D$2000,X$1,Sets!$J$2:$J$2000,"N"))</f>
        <v/>
      </c>
      <c r="Y53">
        <f>IF(_xlfn.MAXIFS(Sets!$H$2:$H$2000,Sets!$A$2:$A$2000,$A53,Sets!$D$2:$D$2000,Y$1,Sets!$J$2:$J$2000,"N")=0,"",_xlfn.MAXIFS(Sets!$H$2:$H$2000,Sets!$A$2:$A$2000,$A53,Sets!$D$2:$D$2000,Y$1,Sets!$J$2:$J$2000,"N"))</f>
        <v/>
      </c>
      <c r="Z53">
        <f>IF(_xlfn.MAXIFS(Sets!$H$2:$H$2000,Sets!$A$2:$A$2000,$A53,Sets!$D$2:$D$2000,Z$1,Sets!$J$2:$J$2000,"N")=0,"",_xlfn.MAXIFS(Sets!$H$2:$H$2000,Sets!$A$2:$A$2000,$A53,Sets!$D$2:$D$2000,Z$1,Sets!$J$2:$J$2000,"N"))</f>
        <v/>
      </c>
      <c r="AA53">
        <f>IF(_xlfn.MAXIFS(Sets!$H$2:$H$2000,Sets!$A$2:$A$2000,$A53,Sets!$D$2:$D$2000,AA$1,Sets!$J$2:$J$2000,"N")=0,"",_xlfn.MAXIFS(Sets!$H$2:$H$2000,Sets!$A$2:$A$2000,$A53,Sets!$D$2:$D$2000,AA$1,Sets!$J$2:$J$2000,"N"))</f>
        <v/>
      </c>
      <c r="AB53">
        <f>IF(_xlfn.MAXIFS(Sets!$H$2:$H$2000,Sets!$A$2:$A$2000,$A53,Sets!$D$2:$D$2000,AB$1,Sets!$J$2:$J$2000,"N")=0,"",_xlfn.MAXIFS(Sets!$H$2:$H$2000,Sets!$A$2:$A$2000,$A53,Sets!$D$2:$D$2000,AB$1,Sets!$J$2:$J$2000,"N"))</f>
        <v/>
      </c>
      <c r="AC53">
        <f>IF(_xlfn.MAXIFS(Sets!$H$2:$H$2000,Sets!$A$2:$A$2000,$A53,Sets!$D$2:$D$2000,AC$1,Sets!$J$2:$J$2000,"N")=0,"",_xlfn.MAXIFS(Sets!$H$2:$H$2000,Sets!$A$2:$A$2000,$A53,Sets!$D$2:$D$2000,AC$1,Sets!$J$2:$J$2000,"N"))</f>
        <v/>
      </c>
      <c r="AD53">
        <f>IF(_xlfn.MAXIFS(Sets!$H$2:$H$2000,Sets!$A$2:$A$2000,$A53,Sets!$D$2:$D$2000,AD$1,Sets!$J$2:$J$2000,"N")=0,"",_xlfn.MAXIFS(Sets!$H$2:$H$2000,Sets!$A$2:$A$2000,$A53,Sets!$D$2:$D$2000,AD$1,Sets!$J$2:$J$2000,"N"))</f>
        <v/>
      </c>
      <c r="AE53">
        <f>IF(_xlfn.MAXIFS(Sets!$H$2:$H$2000,Sets!$A$2:$A$2000,$A53,Sets!$D$2:$D$2000,AE$1,Sets!$J$2:$J$2000,"N")=0,"",_xlfn.MAXIFS(Sets!$H$2:$H$2000,Sets!$A$2:$A$2000,$A53,Sets!$D$2:$D$2000,AE$1,Sets!$J$2:$J$2000,"N"))</f>
        <v/>
      </c>
      <c r="AF53">
        <f>IF(_xlfn.MAXIFS(Sets!$H$2:$H$2000,Sets!$A$2:$A$2000,$A53,Sets!$D$2:$D$2000,AF$1,Sets!$J$2:$J$2000,"N")=0,"",_xlfn.MAXIFS(Sets!$H$2:$H$2000,Sets!$A$2:$A$2000,$A53,Sets!$D$2:$D$2000,AF$1,Sets!$J$2:$J$2000,"N"))</f>
        <v/>
      </c>
      <c r="AG53">
        <f>IF(_xlfn.MAXIFS(Sets!$H$2:$H$2000,Sets!$A$2:$A$2000,$A53,Sets!$D$2:$D$2000,AG$1,Sets!$J$2:$J$2000,"N")=0,"",_xlfn.MAXIFS(Sets!$H$2:$H$2000,Sets!$A$2:$A$2000,$A53,Sets!$D$2:$D$2000,AG$1,Sets!$J$2:$J$2000,"N"))</f>
        <v/>
      </c>
      <c r="AH53">
        <f>IF(_xlfn.MAXIFS(Sets!$H$2:$H$2000,Sets!$A$2:$A$2000,$A53,Sets!$D$2:$D$2000,AH$1,Sets!$J$2:$J$2000,"N")=0,"",_xlfn.MAXIFS(Sets!$H$2:$H$2000,Sets!$A$2:$A$2000,$A53,Sets!$D$2:$D$2000,AH$1,Sets!$J$2:$J$2000,"N"))</f>
        <v/>
      </c>
      <c r="AI53">
        <f>IF(_xlfn.MAXIFS(Sets!$H$2:$H$2000,Sets!$A$2:$A$2000,$A53,Sets!$D$2:$D$2000,AI$1,Sets!$J$2:$J$2000,"N")=0,"",_xlfn.MAXIFS(Sets!$H$2:$H$2000,Sets!$A$2:$A$2000,$A53,Sets!$D$2:$D$2000,AI$1,Sets!$J$2:$J$2000,"N"))</f>
        <v/>
      </c>
      <c r="AJ53">
        <f>IF(_xlfn.MAXIFS(Sets!$H$2:$H$2000,Sets!$A$2:$A$2000,$A53,Sets!$D$2:$D$2000,AJ$1,Sets!$J$2:$J$2000,"N")=0,"",_xlfn.MAXIFS(Sets!$H$2:$H$2000,Sets!$A$2:$A$2000,$A53,Sets!$D$2:$D$2000,AJ$1,Sets!$J$2:$J$2000,"N"))</f>
        <v/>
      </c>
      <c r="AK53">
        <f>IF(_xlfn.MAXIFS(Sets!$H$2:$H$2000,Sets!$A$2:$A$2000,$A53,Sets!$D$2:$D$2000,AK$1,Sets!$J$2:$J$2000,"N")=0,"",_xlfn.MAXIFS(Sets!$H$2:$H$2000,Sets!$A$2:$A$2000,$A53,Sets!$D$2:$D$2000,AK$1,Sets!$J$2:$J$2000,"N"))</f>
        <v/>
      </c>
      <c r="AL53">
        <f>IF(_xlfn.MAXIFS(Sets!$H$2:$H$2000,Sets!$A$2:$A$2000,$A53,Sets!$D$2:$D$2000,AL$1,Sets!$J$2:$J$2000,"N")=0,"",_xlfn.MAXIFS(Sets!$H$2:$H$2000,Sets!$A$2:$A$2000,$A53,Sets!$D$2:$D$2000,AL$1,Sets!$J$2:$J$2000,"N"))</f>
        <v/>
      </c>
      <c r="AM53">
        <f>IF(_xlfn.MAXIFS(Sets!$H$2:$H$2000,Sets!$A$2:$A$2000,$A53,Sets!$D$2:$D$2000,AM$1,Sets!$J$2:$J$2000,"N")=0,"",_xlfn.MAXIFS(Sets!$H$2:$H$2000,Sets!$A$2:$A$2000,$A53,Sets!$D$2:$D$2000,AM$1,Sets!$J$2:$J$2000,"N"))</f>
        <v/>
      </c>
      <c r="AN53">
        <f>IF(_xlfn.MAXIFS(Sets!$H$2:$H$2000,Sets!$A$2:$A$2000,$A53,Sets!$D$2:$D$2000,AN$1,Sets!$J$2:$J$2000,"N")=0,"",_xlfn.MAXIFS(Sets!$H$2:$H$2000,Sets!$A$2:$A$2000,$A53,Sets!$D$2:$D$2000,AN$1,Sets!$J$2:$J$2000,"N"))</f>
        <v/>
      </c>
      <c r="AO53">
        <f>IF(_xlfn.MAXIFS(Sets!$H$2:$H$2000,Sets!$A$2:$A$2000,$A53,Sets!$D$2:$D$2000,AO$1,Sets!$J$2:$J$2000,"N")=0,"",_xlfn.MAXIFS(Sets!$H$2:$H$2000,Sets!$A$2:$A$2000,$A53,Sets!$D$2:$D$2000,AO$1,Sets!$J$2:$J$2000,"N"))</f>
        <v/>
      </c>
      <c r="AP53">
        <f>IF(_xlfn.MAXIFS(Sets!$H$2:$H$2000,Sets!$A$2:$A$2000,$A53,Sets!$D$2:$D$2000,AP$1,Sets!$J$2:$J$2000,"N")=0,"",_xlfn.MAXIFS(Sets!$H$2:$H$2000,Sets!$A$2:$A$2000,$A53,Sets!$D$2:$D$2000,AP$1,Sets!$J$2:$J$2000,"N"))</f>
        <v/>
      </c>
    </row>
    <row r="54">
      <c r="A54" s="36" t="n">
        <v>46229</v>
      </c>
      <c r="B54">
        <f>IF(_xlfn.MAXIFS(Sets!$H$2:$H$2000,Sets!$A$2:$A$2000,$A54,Sets!$D$2:$D$2000,B$1,Sets!$J$2:$J$2000,"N")=0,"",_xlfn.MAXIFS(Sets!$H$2:$H$2000,Sets!$A$2:$A$2000,$A54,Sets!$D$2:$D$2000,B$1,Sets!$J$2:$J$2000,"N"))</f>
        <v/>
      </c>
      <c r="C54">
        <f>IF(_xlfn.MAXIFS(Sets!$H$2:$H$2000,Sets!$A$2:$A$2000,$A54,Sets!$D$2:$D$2000,C$1,Sets!$J$2:$J$2000,"N")=0,"",_xlfn.MAXIFS(Sets!$H$2:$H$2000,Sets!$A$2:$A$2000,$A54,Sets!$D$2:$D$2000,C$1,Sets!$J$2:$J$2000,"N"))</f>
        <v/>
      </c>
      <c r="D54">
        <f>IF(_xlfn.MAXIFS(Sets!$H$2:$H$2000,Sets!$A$2:$A$2000,$A54,Sets!$D$2:$D$2000,D$1,Sets!$J$2:$J$2000,"N")=0,"",_xlfn.MAXIFS(Sets!$H$2:$H$2000,Sets!$A$2:$A$2000,$A54,Sets!$D$2:$D$2000,D$1,Sets!$J$2:$J$2000,"N"))</f>
        <v/>
      </c>
      <c r="E54">
        <f>IF(_xlfn.MAXIFS(Sets!$H$2:$H$2000,Sets!$A$2:$A$2000,$A54,Sets!$D$2:$D$2000,E$1,Sets!$J$2:$J$2000,"N")=0,"",_xlfn.MAXIFS(Sets!$H$2:$H$2000,Sets!$A$2:$A$2000,$A54,Sets!$D$2:$D$2000,E$1,Sets!$J$2:$J$2000,"N"))</f>
        <v/>
      </c>
      <c r="F54">
        <f>IF(_xlfn.MAXIFS(Sets!$H$2:$H$2000,Sets!$A$2:$A$2000,$A54,Sets!$D$2:$D$2000,F$1,Sets!$J$2:$J$2000,"N")=0,"",_xlfn.MAXIFS(Sets!$H$2:$H$2000,Sets!$A$2:$A$2000,$A54,Sets!$D$2:$D$2000,F$1,Sets!$J$2:$J$2000,"N"))</f>
        <v/>
      </c>
      <c r="G54">
        <f>IF(_xlfn.MAXIFS(Sets!$H$2:$H$2000,Sets!$A$2:$A$2000,$A54,Sets!$D$2:$D$2000,G$1,Sets!$J$2:$J$2000,"N")=0,"",_xlfn.MAXIFS(Sets!$H$2:$H$2000,Sets!$A$2:$A$2000,$A54,Sets!$D$2:$D$2000,G$1,Sets!$J$2:$J$2000,"N"))</f>
        <v/>
      </c>
      <c r="H54">
        <f>IF(_xlfn.MAXIFS(Sets!$H$2:$H$2000,Sets!$A$2:$A$2000,$A54,Sets!$D$2:$D$2000,H$1,Sets!$J$2:$J$2000,"N")=0,"",_xlfn.MAXIFS(Sets!$H$2:$H$2000,Sets!$A$2:$A$2000,$A54,Sets!$D$2:$D$2000,H$1,Sets!$J$2:$J$2000,"N"))</f>
        <v/>
      </c>
      <c r="I54">
        <f>IF(_xlfn.MAXIFS(Sets!$H$2:$H$2000,Sets!$A$2:$A$2000,$A54,Sets!$D$2:$D$2000,I$1,Sets!$J$2:$J$2000,"N")=0,"",_xlfn.MAXIFS(Sets!$H$2:$H$2000,Sets!$A$2:$A$2000,$A54,Sets!$D$2:$D$2000,I$1,Sets!$J$2:$J$2000,"N"))</f>
        <v/>
      </c>
      <c r="J54">
        <f>IF(_xlfn.MAXIFS(Sets!$H$2:$H$2000,Sets!$A$2:$A$2000,$A54,Sets!$D$2:$D$2000,J$1,Sets!$J$2:$J$2000,"N")=0,"",_xlfn.MAXIFS(Sets!$H$2:$H$2000,Sets!$A$2:$A$2000,$A54,Sets!$D$2:$D$2000,J$1,Sets!$J$2:$J$2000,"N"))</f>
        <v/>
      </c>
      <c r="K54">
        <f>IF(_xlfn.MAXIFS(Sets!$H$2:$H$2000,Sets!$A$2:$A$2000,$A54,Sets!$D$2:$D$2000,K$1,Sets!$J$2:$J$2000,"N")=0,"",_xlfn.MAXIFS(Sets!$H$2:$H$2000,Sets!$A$2:$A$2000,$A54,Sets!$D$2:$D$2000,K$1,Sets!$J$2:$J$2000,"N"))</f>
        <v/>
      </c>
      <c r="L54">
        <f>IF(_xlfn.MAXIFS(Sets!$H$2:$H$2000,Sets!$A$2:$A$2000,$A54,Sets!$D$2:$D$2000,L$1,Sets!$J$2:$J$2000,"N")=0,"",_xlfn.MAXIFS(Sets!$H$2:$H$2000,Sets!$A$2:$A$2000,$A54,Sets!$D$2:$D$2000,L$1,Sets!$J$2:$J$2000,"N"))</f>
        <v/>
      </c>
      <c r="M54">
        <f>IF(_xlfn.MAXIFS(Sets!$H$2:$H$2000,Sets!$A$2:$A$2000,$A54,Sets!$D$2:$D$2000,M$1,Sets!$J$2:$J$2000,"N")=0,"",_xlfn.MAXIFS(Sets!$H$2:$H$2000,Sets!$A$2:$A$2000,$A54,Sets!$D$2:$D$2000,M$1,Sets!$J$2:$J$2000,"N"))</f>
        <v/>
      </c>
      <c r="N54">
        <f>IF(_xlfn.MAXIFS(Sets!$H$2:$H$2000,Sets!$A$2:$A$2000,$A54,Sets!$D$2:$D$2000,N$1,Sets!$J$2:$J$2000,"N")=0,"",_xlfn.MAXIFS(Sets!$H$2:$H$2000,Sets!$A$2:$A$2000,$A54,Sets!$D$2:$D$2000,N$1,Sets!$J$2:$J$2000,"N"))</f>
        <v/>
      </c>
      <c r="O54">
        <f>IF(_xlfn.MAXIFS(Sets!$H$2:$H$2000,Sets!$A$2:$A$2000,$A54,Sets!$D$2:$D$2000,O$1,Sets!$J$2:$J$2000,"N")=0,"",_xlfn.MAXIFS(Sets!$H$2:$H$2000,Sets!$A$2:$A$2000,$A54,Sets!$D$2:$D$2000,O$1,Sets!$J$2:$J$2000,"N"))</f>
        <v/>
      </c>
      <c r="P54">
        <f>IF(_xlfn.MAXIFS(Sets!$H$2:$H$2000,Sets!$A$2:$A$2000,$A54,Sets!$D$2:$D$2000,P$1,Sets!$J$2:$J$2000,"N")=0,"",_xlfn.MAXIFS(Sets!$H$2:$H$2000,Sets!$A$2:$A$2000,$A54,Sets!$D$2:$D$2000,P$1,Sets!$J$2:$J$2000,"N"))</f>
        <v/>
      </c>
      <c r="Q54">
        <f>IF(_xlfn.MAXIFS(Sets!$H$2:$H$2000,Sets!$A$2:$A$2000,$A54,Sets!$D$2:$D$2000,Q$1,Sets!$J$2:$J$2000,"N")=0,"",_xlfn.MAXIFS(Sets!$H$2:$H$2000,Sets!$A$2:$A$2000,$A54,Sets!$D$2:$D$2000,Q$1,Sets!$J$2:$J$2000,"N"))</f>
        <v/>
      </c>
      <c r="R54">
        <f>IF(_xlfn.MAXIFS(Sets!$H$2:$H$2000,Sets!$A$2:$A$2000,$A54,Sets!$D$2:$D$2000,R$1,Sets!$J$2:$J$2000,"N")=0,"",_xlfn.MAXIFS(Sets!$H$2:$H$2000,Sets!$A$2:$A$2000,$A54,Sets!$D$2:$D$2000,R$1,Sets!$J$2:$J$2000,"N"))</f>
        <v/>
      </c>
      <c r="S54">
        <f>IF(_xlfn.MAXIFS(Sets!$H$2:$H$2000,Sets!$A$2:$A$2000,$A54,Sets!$D$2:$D$2000,S$1,Sets!$J$2:$J$2000,"N")=0,"",_xlfn.MAXIFS(Sets!$H$2:$H$2000,Sets!$A$2:$A$2000,$A54,Sets!$D$2:$D$2000,S$1,Sets!$J$2:$J$2000,"N"))</f>
        <v/>
      </c>
      <c r="T54">
        <f>IF(_xlfn.MAXIFS(Sets!$H$2:$H$2000,Sets!$A$2:$A$2000,$A54,Sets!$D$2:$D$2000,T$1,Sets!$J$2:$J$2000,"N")=0,"",_xlfn.MAXIFS(Sets!$H$2:$H$2000,Sets!$A$2:$A$2000,$A54,Sets!$D$2:$D$2000,T$1,Sets!$J$2:$J$2000,"N"))</f>
        <v/>
      </c>
      <c r="U54">
        <f>IF(_xlfn.MAXIFS(Sets!$H$2:$H$2000,Sets!$A$2:$A$2000,$A54,Sets!$D$2:$D$2000,U$1,Sets!$J$2:$J$2000,"N")=0,"",_xlfn.MAXIFS(Sets!$H$2:$H$2000,Sets!$A$2:$A$2000,$A54,Sets!$D$2:$D$2000,U$1,Sets!$J$2:$J$2000,"N"))</f>
        <v/>
      </c>
      <c r="V54">
        <f>IF(_xlfn.MAXIFS(Sets!$H$2:$H$2000,Sets!$A$2:$A$2000,$A54,Sets!$D$2:$D$2000,V$1,Sets!$J$2:$J$2000,"N")=0,"",_xlfn.MAXIFS(Sets!$H$2:$H$2000,Sets!$A$2:$A$2000,$A54,Sets!$D$2:$D$2000,V$1,Sets!$J$2:$J$2000,"N"))</f>
        <v/>
      </c>
      <c r="W54">
        <f>IF(_xlfn.MAXIFS(Sets!$H$2:$H$2000,Sets!$A$2:$A$2000,$A54,Sets!$D$2:$D$2000,W$1,Sets!$J$2:$J$2000,"N")=0,"",_xlfn.MAXIFS(Sets!$H$2:$H$2000,Sets!$A$2:$A$2000,$A54,Sets!$D$2:$D$2000,W$1,Sets!$J$2:$J$2000,"N"))</f>
        <v/>
      </c>
      <c r="X54">
        <f>IF(_xlfn.MAXIFS(Sets!$H$2:$H$2000,Sets!$A$2:$A$2000,$A54,Sets!$D$2:$D$2000,X$1,Sets!$J$2:$J$2000,"N")=0,"",_xlfn.MAXIFS(Sets!$H$2:$H$2000,Sets!$A$2:$A$2000,$A54,Sets!$D$2:$D$2000,X$1,Sets!$J$2:$J$2000,"N"))</f>
        <v/>
      </c>
      <c r="Y54">
        <f>IF(_xlfn.MAXIFS(Sets!$H$2:$H$2000,Sets!$A$2:$A$2000,$A54,Sets!$D$2:$D$2000,Y$1,Sets!$J$2:$J$2000,"N")=0,"",_xlfn.MAXIFS(Sets!$H$2:$H$2000,Sets!$A$2:$A$2000,$A54,Sets!$D$2:$D$2000,Y$1,Sets!$J$2:$J$2000,"N"))</f>
        <v/>
      </c>
      <c r="Z54">
        <f>IF(_xlfn.MAXIFS(Sets!$H$2:$H$2000,Sets!$A$2:$A$2000,$A54,Sets!$D$2:$D$2000,Z$1,Sets!$J$2:$J$2000,"N")=0,"",_xlfn.MAXIFS(Sets!$H$2:$H$2000,Sets!$A$2:$A$2000,$A54,Sets!$D$2:$D$2000,Z$1,Sets!$J$2:$J$2000,"N"))</f>
        <v/>
      </c>
      <c r="AA54">
        <f>IF(_xlfn.MAXIFS(Sets!$H$2:$H$2000,Sets!$A$2:$A$2000,$A54,Sets!$D$2:$D$2000,AA$1,Sets!$J$2:$J$2000,"N")=0,"",_xlfn.MAXIFS(Sets!$H$2:$H$2000,Sets!$A$2:$A$2000,$A54,Sets!$D$2:$D$2000,AA$1,Sets!$J$2:$J$2000,"N"))</f>
        <v/>
      </c>
      <c r="AB54">
        <f>IF(_xlfn.MAXIFS(Sets!$H$2:$H$2000,Sets!$A$2:$A$2000,$A54,Sets!$D$2:$D$2000,AB$1,Sets!$J$2:$J$2000,"N")=0,"",_xlfn.MAXIFS(Sets!$H$2:$H$2000,Sets!$A$2:$A$2000,$A54,Sets!$D$2:$D$2000,AB$1,Sets!$J$2:$J$2000,"N"))</f>
        <v/>
      </c>
      <c r="AC54">
        <f>IF(_xlfn.MAXIFS(Sets!$H$2:$H$2000,Sets!$A$2:$A$2000,$A54,Sets!$D$2:$D$2000,AC$1,Sets!$J$2:$J$2000,"N")=0,"",_xlfn.MAXIFS(Sets!$H$2:$H$2000,Sets!$A$2:$A$2000,$A54,Sets!$D$2:$D$2000,AC$1,Sets!$J$2:$J$2000,"N"))</f>
        <v/>
      </c>
      <c r="AD54">
        <f>IF(_xlfn.MAXIFS(Sets!$H$2:$H$2000,Sets!$A$2:$A$2000,$A54,Sets!$D$2:$D$2000,AD$1,Sets!$J$2:$J$2000,"N")=0,"",_xlfn.MAXIFS(Sets!$H$2:$H$2000,Sets!$A$2:$A$2000,$A54,Sets!$D$2:$D$2000,AD$1,Sets!$J$2:$J$2000,"N"))</f>
        <v/>
      </c>
      <c r="AE54">
        <f>IF(_xlfn.MAXIFS(Sets!$H$2:$H$2000,Sets!$A$2:$A$2000,$A54,Sets!$D$2:$D$2000,AE$1,Sets!$J$2:$J$2000,"N")=0,"",_xlfn.MAXIFS(Sets!$H$2:$H$2000,Sets!$A$2:$A$2000,$A54,Sets!$D$2:$D$2000,AE$1,Sets!$J$2:$J$2000,"N"))</f>
        <v/>
      </c>
      <c r="AF54">
        <f>IF(_xlfn.MAXIFS(Sets!$H$2:$H$2000,Sets!$A$2:$A$2000,$A54,Sets!$D$2:$D$2000,AF$1,Sets!$J$2:$J$2000,"N")=0,"",_xlfn.MAXIFS(Sets!$H$2:$H$2000,Sets!$A$2:$A$2000,$A54,Sets!$D$2:$D$2000,AF$1,Sets!$J$2:$J$2000,"N"))</f>
        <v/>
      </c>
      <c r="AG54">
        <f>IF(_xlfn.MAXIFS(Sets!$H$2:$H$2000,Sets!$A$2:$A$2000,$A54,Sets!$D$2:$D$2000,AG$1,Sets!$J$2:$J$2000,"N")=0,"",_xlfn.MAXIFS(Sets!$H$2:$H$2000,Sets!$A$2:$A$2000,$A54,Sets!$D$2:$D$2000,AG$1,Sets!$J$2:$J$2000,"N"))</f>
        <v/>
      </c>
      <c r="AH54">
        <f>IF(_xlfn.MAXIFS(Sets!$H$2:$H$2000,Sets!$A$2:$A$2000,$A54,Sets!$D$2:$D$2000,AH$1,Sets!$J$2:$J$2000,"N")=0,"",_xlfn.MAXIFS(Sets!$H$2:$H$2000,Sets!$A$2:$A$2000,$A54,Sets!$D$2:$D$2000,AH$1,Sets!$J$2:$J$2000,"N"))</f>
        <v/>
      </c>
      <c r="AI54">
        <f>IF(_xlfn.MAXIFS(Sets!$H$2:$H$2000,Sets!$A$2:$A$2000,$A54,Sets!$D$2:$D$2000,AI$1,Sets!$J$2:$J$2000,"N")=0,"",_xlfn.MAXIFS(Sets!$H$2:$H$2000,Sets!$A$2:$A$2000,$A54,Sets!$D$2:$D$2000,AI$1,Sets!$J$2:$J$2000,"N"))</f>
        <v/>
      </c>
      <c r="AJ54">
        <f>IF(_xlfn.MAXIFS(Sets!$H$2:$H$2000,Sets!$A$2:$A$2000,$A54,Sets!$D$2:$D$2000,AJ$1,Sets!$J$2:$J$2000,"N")=0,"",_xlfn.MAXIFS(Sets!$H$2:$H$2000,Sets!$A$2:$A$2000,$A54,Sets!$D$2:$D$2000,AJ$1,Sets!$J$2:$J$2000,"N"))</f>
        <v/>
      </c>
      <c r="AK54">
        <f>IF(_xlfn.MAXIFS(Sets!$H$2:$H$2000,Sets!$A$2:$A$2000,$A54,Sets!$D$2:$D$2000,AK$1,Sets!$J$2:$J$2000,"N")=0,"",_xlfn.MAXIFS(Sets!$H$2:$H$2000,Sets!$A$2:$A$2000,$A54,Sets!$D$2:$D$2000,AK$1,Sets!$J$2:$J$2000,"N"))</f>
        <v/>
      </c>
      <c r="AL54">
        <f>IF(_xlfn.MAXIFS(Sets!$H$2:$H$2000,Sets!$A$2:$A$2000,$A54,Sets!$D$2:$D$2000,AL$1,Sets!$J$2:$J$2000,"N")=0,"",_xlfn.MAXIFS(Sets!$H$2:$H$2000,Sets!$A$2:$A$2000,$A54,Sets!$D$2:$D$2000,AL$1,Sets!$J$2:$J$2000,"N"))</f>
        <v/>
      </c>
      <c r="AM54">
        <f>IF(_xlfn.MAXIFS(Sets!$H$2:$H$2000,Sets!$A$2:$A$2000,$A54,Sets!$D$2:$D$2000,AM$1,Sets!$J$2:$J$2000,"N")=0,"",_xlfn.MAXIFS(Sets!$H$2:$H$2000,Sets!$A$2:$A$2000,$A54,Sets!$D$2:$D$2000,AM$1,Sets!$J$2:$J$2000,"N"))</f>
        <v/>
      </c>
      <c r="AN54">
        <f>IF(_xlfn.MAXIFS(Sets!$H$2:$H$2000,Sets!$A$2:$A$2000,$A54,Sets!$D$2:$D$2000,AN$1,Sets!$J$2:$J$2000,"N")=0,"",_xlfn.MAXIFS(Sets!$H$2:$H$2000,Sets!$A$2:$A$2000,$A54,Sets!$D$2:$D$2000,AN$1,Sets!$J$2:$J$2000,"N"))</f>
        <v/>
      </c>
      <c r="AO54">
        <f>IF(_xlfn.MAXIFS(Sets!$H$2:$H$2000,Sets!$A$2:$A$2000,$A54,Sets!$D$2:$D$2000,AO$1,Sets!$J$2:$J$2000,"N")=0,"",_xlfn.MAXIFS(Sets!$H$2:$H$2000,Sets!$A$2:$A$2000,$A54,Sets!$D$2:$D$2000,AO$1,Sets!$J$2:$J$2000,"N"))</f>
        <v/>
      </c>
      <c r="AP54">
        <f>IF(_xlfn.MAXIFS(Sets!$H$2:$H$2000,Sets!$A$2:$A$2000,$A54,Sets!$D$2:$D$2000,AP$1,Sets!$J$2:$J$2000,"N")=0,"",_xlfn.MAXIFS(Sets!$H$2:$H$2000,Sets!$A$2:$A$2000,$A54,Sets!$D$2:$D$2000,AP$1,Sets!$J$2:$J$2000,"N"))</f>
        <v/>
      </c>
    </row>
    <row r="55">
      <c r="A55" s="36" t="n">
        <v>46230</v>
      </c>
      <c r="B55">
        <f>IF(_xlfn.MAXIFS(Sets!$H$2:$H$2000,Sets!$A$2:$A$2000,$A55,Sets!$D$2:$D$2000,B$1,Sets!$J$2:$J$2000,"N")=0,"",_xlfn.MAXIFS(Sets!$H$2:$H$2000,Sets!$A$2:$A$2000,$A55,Sets!$D$2:$D$2000,B$1,Sets!$J$2:$J$2000,"N"))</f>
        <v/>
      </c>
      <c r="C55">
        <f>IF(_xlfn.MAXIFS(Sets!$H$2:$H$2000,Sets!$A$2:$A$2000,$A55,Sets!$D$2:$D$2000,C$1,Sets!$J$2:$J$2000,"N")=0,"",_xlfn.MAXIFS(Sets!$H$2:$H$2000,Sets!$A$2:$A$2000,$A55,Sets!$D$2:$D$2000,C$1,Sets!$J$2:$J$2000,"N"))</f>
        <v/>
      </c>
      <c r="D55">
        <f>IF(_xlfn.MAXIFS(Sets!$H$2:$H$2000,Sets!$A$2:$A$2000,$A55,Sets!$D$2:$D$2000,D$1,Sets!$J$2:$J$2000,"N")=0,"",_xlfn.MAXIFS(Sets!$H$2:$H$2000,Sets!$A$2:$A$2000,$A55,Sets!$D$2:$D$2000,D$1,Sets!$J$2:$J$2000,"N"))</f>
        <v/>
      </c>
      <c r="E55">
        <f>IF(_xlfn.MAXIFS(Sets!$H$2:$H$2000,Sets!$A$2:$A$2000,$A55,Sets!$D$2:$D$2000,E$1,Sets!$J$2:$J$2000,"N")=0,"",_xlfn.MAXIFS(Sets!$H$2:$H$2000,Sets!$A$2:$A$2000,$A55,Sets!$D$2:$D$2000,E$1,Sets!$J$2:$J$2000,"N"))</f>
        <v/>
      </c>
      <c r="F55">
        <f>IF(_xlfn.MAXIFS(Sets!$H$2:$H$2000,Sets!$A$2:$A$2000,$A55,Sets!$D$2:$D$2000,F$1,Sets!$J$2:$J$2000,"N")=0,"",_xlfn.MAXIFS(Sets!$H$2:$H$2000,Sets!$A$2:$A$2000,$A55,Sets!$D$2:$D$2000,F$1,Sets!$J$2:$J$2000,"N"))</f>
        <v/>
      </c>
      <c r="G55">
        <f>IF(_xlfn.MAXIFS(Sets!$H$2:$H$2000,Sets!$A$2:$A$2000,$A55,Sets!$D$2:$D$2000,G$1,Sets!$J$2:$J$2000,"N")=0,"",_xlfn.MAXIFS(Sets!$H$2:$H$2000,Sets!$A$2:$A$2000,$A55,Sets!$D$2:$D$2000,G$1,Sets!$J$2:$J$2000,"N"))</f>
        <v/>
      </c>
      <c r="H55">
        <f>IF(_xlfn.MAXIFS(Sets!$H$2:$H$2000,Sets!$A$2:$A$2000,$A55,Sets!$D$2:$D$2000,H$1,Sets!$J$2:$J$2000,"N")=0,"",_xlfn.MAXIFS(Sets!$H$2:$H$2000,Sets!$A$2:$A$2000,$A55,Sets!$D$2:$D$2000,H$1,Sets!$J$2:$J$2000,"N"))</f>
        <v/>
      </c>
      <c r="I55">
        <f>IF(_xlfn.MAXIFS(Sets!$H$2:$H$2000,Sets!$A$2:$A$2000,$A55,Sets!$D$2:$D$2000,I$1,Sets!$J$2:$J$2000,"N")=0,"",_xlfn.MAXIFS(Sets!$H$2:$H$2000,Sets!$A$2:$A$2000,$A55,Sets!$D$2:$D$2000,I$1,Sets!$J$2:$J$2000,"N"))</f>
        <v/>
      </c>
      <c r="J55">
        <f>IF(_xlfn.MAXIFS(Sets!$H$2:$H$2000,Sets!$A$2:$A$2000,$A55,Sets!$D$2:$D$2000,J$1,Sets!$J$2:$J$2000,"N")=0,"",_xlfn.MAXIFS(Sets!$H$2:$H$2000,Sets!$A$2:$A$2000,$A55,Sets!$D$2:$D$2000,J$1,Sets!$J$2:$J$2000,"N"))</f>
        <v/>
      </c>
      <c r="K55">
        <f>IF(_xlfn.MAXIFS(Sets!$H$2:$H$2000,Sets!$A$2:$A$2000,$A55,Sets!$D$2:$D$2000,K$1,Sets!$J$2:$J$2000,"N")=0,"",_xlfn.MAXIFS(Sets!$H$2:$H$2000,Sets!$A$2:$A$2000,$A55,Sets!$D$2:$D$2000,K$1,Sets!$J$2:$J$2000,"N"))</f>
        <v/>
      </c>
      <c r="L55">
        <f>IF(_xlfn.MAXIFS(Sets!$H$2:$H$2000,Sets!$A$2:$A$2000,$A55,Sets!$D$2:$D$2000,L$1,Sets!$J$2:$J$2000,"N")=0,"",_xlfn.MAXIFS(Sets!$H$2:$H$2000,Sets!$A$2:$A$2000,$A55,Sets!$D$2:$D$2000,L$1,Sets!$J$2:$J$2000,"N"))</f>
        <v/>
      </c>
      <c r="M55">
        <f>IF(_xlfn.MAXIFS(Sets!$H$2:$H$2000,Sets!$A$2:$A$2000,$A55,Sets!$D$2:$D$2000,M$1,Sets!$J$2:$J$2000,"N")=0,"",_xlfn.MAXIFS(Sets!$H$2:$H$2000,Sets!$A$2:$A$2000,$A55,Sets!$D$2:$D$2000,M$1,Sets!$J$2:$J$2000,"N"))</f>
        <v/>
      </c>
      <c r="N55">
        <f>IF(_xlfn.MAXIFS(Sets!$H$2:$H$2000,Sets!$A$2:$A$2000,$A55,Sets!$D$2:$D$2000,N$1,Sets!$J$2:$J$2000,"N")=0,"",_xlfn.MAXIFS(Sets!$H$2:$H$2000,Sets!$A$2:$A$2000,$A55,Sets!$D$2:$D$2000,N$1,Sets!$J$2:$J$2000,"N"))</f>
        <v/>
      </c>
      <c r="O55">
        <f>IF(_xlfn.MAXIFS(Sets!$H$2:$H$2000,Sets!$A$2:$A$2000,$A55,Sets!$D$2:$D$2000,O$1,Sets!$J$2:$J$2000,"N")=0,"",_xlfn.MAXIFS(Sets!$H$2:$H$2000,Sets!$A$2:$A$2000,$A55,Sets!$D$2:$D$2000,O$1,Sets!$J$2:$J$2000,"N"))</f>
        <v/>
      </c>
      <c r="P55">
        <f>IF(_xlfn.MAXIFS(Sets!$H$2:$H$2000,Sets!$A$2:$A$2000,$A55,Sets!$D$2:$D$2000,P$1,Sets!$J$2:$J$2000,"N")=0,"",_xlfn.MAXIFS(Sets!$H$2:$H$2000,Sets!$A$2:$A$2000,$A55,Sets!$D$2:$D$2000,P$1,Sets!$J$2:$J$2000,"N"))</f>
        <v/>
      </c>
      <c r="Q55">
        <f>IF(_xlfn.MAXIFS(Sets!$H$2:$H$2000,Sets!$A$2:$A$2000,$A55,Sets!$D$2:$D$2000,Q$1,Sets!$J$2:$J$2000,"N")=0,"",_xlfn.MAXIFS(Sets!$H$2:$H$2000,Sets!$A$2:$A$2000,$A55,Sets!$D$2:$D$2000,Q$1,Sets!$J$2:$J$2000,"N"))</f>
        <v/>
      </c>
      <c r="R55">
        <f>IF(_xlfn.MAXIFS(Sets!$H$2:$H$2000,Sets!$A$2:$A$2000,$A55,Sets!$D$2:$D$2000,R$1,Sets!$J$2:$J$2000,"N")=0,"",_xlfn.MAXIFS(Sets!$H$2:$H$2000,Sets!$A$2:$A$2000,$A55,Sets!$D$2:$D$2000,R$1,Sets!$J$2:$J$2000,"N"))</f>
        <v/>
      </c>
      <c r="S55">
        <f>IF(_xlfn.MAXIFS(Sets!$H$2:$H$2000,Sets!$A$2:$A$2000,$A55,Sets!$D$2:$D$2000,S$1,Sets!$J$2:$J$2000,"N")=0,"",_xlfn.MAXIFS(Sets!$H$2:$H$2000,Sets!$A$2:$A$2000,$A55,Sets!$D$2:$D$2000,S$1,Sets!$J$2:$J$2000,"N"))</f>
        <v/>
      </c>
      <c r="T55">
        <f>IF(_xlfn.MAXIFS(Sets!$H$2:$H$2000,Sets!$A$2:$A$2000,$A55,Sets!$D$2:$D$2000,T$1,Sets!$J$2:$J$2000,"N")=0,"",_xlfn.MAXIFS(Sets!$H$2:$H$2000,Sets!$A$2:$A$2000,$A55,Sets!$D$2:$D$2000,T$1,Sets!$J$2:$J$2000,"N"))</f>
        <v/>
      </c>
      <c r="U55">
        <f>IF(_xlfn.MAXIFS(Sets!$H$2:$H$2000,Sets!$A$2:$A$2000,$A55,Sets!$D$2:$D$2000,U$1,Sets!$J$2:$J$2000,"N")=0,"",_xlfn.MAXIFS(Sets!$H$2:$H$2000,Sets!$A$2:$A$2000,$A55,Sets!$D$2:$D$2000,U$1,Sets!$J$2:$J$2000,"N"))</f>
        <v/>
      </c>
      <c r="V55">
        <f>IF(_xlfn.MAXIFS(Sets!$H$2:$H$2000,Sets!$A$2:$A$2000,$A55,Sets!$D$2:$D$2000,V$1,Sets!$J$2:$J$2000,"N")=0,"",_xlfn.MAXIFS(Sets!$H$2:$H$2000,Sets!$A$2:$A$2000,$A55,Sets!$D$2:$D$2000,V$1,Sets!$J$2:$J$2000,"N"))</f>
        <v/>
      </c>
      <c r="W55">
        <f>IF(_xlfn.MAXIFS(Sets!$H$2:$H$2000,Sets!$A$2:$A$2000,$A55,Sets!$D$2:$D$2000,W$1,Sets!$J$2:$J$2000,"N")=0,"",_xlfn.MAXIFS(Sets!$H$2:$H$2000,Sets!$A$2:$A$2000,$A55,Sets!$D$2:$D$2000,W$1,Sets!$J$2:$J$2000,"N"))</f>
        <v/>
      </c>
      <c r="X55">
        <f>IF(_xlfn.MAXIFS(Sets!$H$2:$H$2000,Sets!$A$2:$A$2000,$A55,Sets!$D$2:$D$2000,X$1,Sets!$J$2:$J$2000,"N")=0,"",_xlfn.MAXIFS(Sets!$H$2:$H$2000,Sets!$A$2:$A$2000,$A55,Sets!$D$2:$D$2000,X$1,Sets!$J$2:$J$2000,"N"))</f>
        <v/>
      </c>
      <c r="Y55">
        <f>IF(_xlfn.MAXIFS(Sets!$H$2:$H$2000,Sets!$A$2:$A$2000,$A55,Sets!$D$2:$D$2000,Y$1,Sets!$J$2:$J$2000,"N")=0,"",_xlfn.MAXIFS(Sets!$H$2:$H$2000,Sets!$A$2:$A$2000,$A55,Sets!$D$2:$D$2000,Y$1,Sets!$J$2:$J$2000,"N"))</f>
        <v/>
      </c>
      <c r="Z55">
        <f>IF(_xlfn.MAXIFS(Sets!$H$2:$H$2000,Sets!$A$2:$A$2000,$A55,Sets!$D$2:$D$2000,Z$1,Sets!$J$2:$J$2000,"N")=0,"",_xlfn.MAXIFS(Sets!$H$2:$H$2000,Sets!$A$2:$A$2000,$A55,Sets!$D$2:$D$2000,Z$1,Sets!$J$2:$J$2000,"N"))</f>
        <v/>
      </c>
      <c r="AA55">
        <f>IF(_xlfn.MAXIFS(Sets!$H$2:$H$2000,Sets!$A$2:$A$2000,$A55,Sets!$D$2:$D$2000,AA$1,Sets!$J$2:$J$2000,"N")=0,"",_xlfn.MAXIFS(Sets!$H$2:$H$2000,Sets!$A$2:$A$2000,$A55,Sets!$D$2:$D$2000,AA$1,Sets!$J$2:$J$2000,"N"))</f>
        <v/>
      </c>
      <c r="AB55">
        <f>IF(_xlfn.MAXIFS(Sets!$H$2:$H$2000,Sets!$A$2:$A$2000,$A55,Sets!$D$2:$D$2000,AB$1,Sets!$J$2:$J$2000,"N")=0,"",_xlfn.MAXIFS(Sets!$H$2:$H$2000,Sets!$A$2:$A$2000,$A55,Sets!$D$2:$D$2000,AB$1,Sets!$J$2:$J$2000,"N"))</f>
        <v/>
      </c>
      <c r="AC55">
        <f>IF(_xlfn.MAXIFS(Sets!$H$2:$H$2000,Sets!$A$2:$A$2000,$A55,Sets!$D$2:$D$2000,AC$1,Sets!$J$2:$J$2000,"N")=0,"",_xlfn.MAXIFS(Sets!$H$2:$H$2000,Sets!$A$2:$A$2000,$A55,Sets!$D$2:$D$2000,AC$1,Sets!$J$2:$J$2000,"N"))</f>
        <v/>
      </c>
      <c r="AD55">
        <f>IF(_xlfn.MAXIFS(Sets!$H$2:$H$2000,Sets!$A$2:$A$2000,$A55,Sets!$D$2:$D$2000,AD$1,Sets!$J$2:$J$2000,"N")=0,"",_xlfn.MAXIFS(Sets!$H$2:$H$2000,Sets!$A$2:$A$2000,$A55,Sets!$D$2:$D$2000,AD$1,Sets!$J$2:$J$2000,"N"))</f>
        <v/>
      </c>
      <c r="AE55">
        <f>IF(_xlfn.MAXIFS(Sets!$H$2:$H$2000,Sets!$A$2:$A$2000,$A55,Sets!$D$2:$D$2000,AE$1,Sets!$J$2:$J$2000,"N")=0,"",_xlfn.MAXIFS(Sets!$H$2:$H$2000,Sets!$A$2:$A$2000,$A55,Sets!$D$2:$D$2000,AE$1,Sets!$J$2:$J$2000,"N"))</f>
        <v/>
      </c>
      <c r="AF55">
        <f>IF(_xlfn.MAXIFS(Sets!$H$2:$H$2000,Sets!$A$2:$A$2000,$A55,Sets!$D$2:$D$2000,AF$1,Sets!$J$2:$J$2000,"N")=0,"",_xlfn.MAXIFS(Sets!$H$2:$H$2000,Sets!$A$2:$A$2000,$A55,Sets!$D$2:$D$2000,AF$1,Sets!$J$2:$J$2000,"N"))</f>
        <v/>
      </c>
      <c r="AG55">
        <f>IF(_xlfn.MAXIFS(Sets!$H$2:$H$2000,Sets!$A$2:$A$2000,$A55,Sets!$D$2:$D$2000,AG$1,Sets!$J$2:$J$2000,"N")=0,"",_xlfn.MAXIFS(Sets!$H$2:$H$2000,Sets!$A$2:$A$2000,$A55,Sets!$D$2:$D$2000,AG$1,Sets!$J$2:$J$2000,"N"))</f>
        <v/>
      </c>
      <c r="AH55">
        <f>IF(_xlfn.MAXIFS(Sets!$H$2:$H$2000,Sets!$A$2:$A$2000,$A55,Sets!$D$2:$D$2000,AH$1,Sets!$J$2:$J$2000,"N")=0,"",_xlfn.MAXIFS(Sets!$H$2:$H$2000,Sets!$A$2:$A$2000,$A55,Sets!$D$2:$D$2000,AH$1,Sets!$J$2:$J$2000,"N"))</f>
        <v/>
      </c>
      <c r="AI55">
        <f>IF(_xlfn.MAXIFS(Sets!$H$2:$H$2000,Sets!$A$2:$A$2000,$A55,Sets!$D$2:$D$2000,AI$1,Sets!$J$2:$J$2000,"N")=0,"",_xlfn.MAXIFS(Sets!$H$2:$H$2000,Sets!$A$2:$A$2000,$A55,Sets!$D$2:$D$2000,AI$1,Sets!$J$2:$J$2000,"N"))</f>
        <v/>
      </c>
      <c r="AJ55">
        <f>IF(_xlfn.MAXIFS(Sets!$H$2:$H$2000,Sets!$A$2:$A$2000,$A55,Sets!$D$2:$D$2000,AJ$1,Sets!$J$2:$J$2000,"N")=0,"",_xlfn.MAXIFS(Sets!$H$2:$H$2000,Sets!$A$2:$A$2000,$A55,Sets!$D$2:$D$2000,AJ$1,Sets!$J$2:$J$2000,"N"))</f>
        <v/>
      </c>
      <c r="AK55">
        <f>IF(_xlfn.MAXIFS(Sets!$H$2:$H$2000,Sets!$A$2:$A$2000,$A55,Sets!$D$2:$D$2000,AK$1,Sets!$J$2:$J$2000,"N")=0,"",_xlfn.MAXIFS(Sets!$H$2:$H$2000,Sets!$A$2:$A$2000,$A55,Sets!$D$2:$D$2000,AK$1,Sets!$J$2:$J$2000,"N"))</f>
        <v/>
      </c>
      <c r="AL55">
        <f>IF(_xlfn.MAXIFS(Sets!$H$2:$H$2000,Sets!$A$2:$A$2000,$A55,Sets!$D$2:$D$2000,AL$1,Sets!$J$2:$J$2000,"N")=0,"",_xlfn.MAXIFS(Sets!$H$2:$H$2000,Sets!$A$2:$A$2000,$A55,Sets!$D$2:$D$2000,AL$1,Sets!$J$2:$J$2000,"N"))</f>
        <v/>
      </c>
      <c r="AM55">
        <f>IF(_xlfn.MAXIFS(Sets!$H$2:$H$2000,Sets!$A$2:$A$2000,$A55,Sets!$D$2:$D$2000,AM$1,Sets!$J$2:$J$2000,"N")=0,"",_xlfn.MAXIFS(Sets!$H$2:$H$2000,Sets!$A$2:$A$2000,$A55,Sets!$D$2:$D$2000,AM$1,Sets!$J$2:$J$2000,"N"))</f>
        <v/>
      </c>
      <c r="AN55">
        <f>IF(_xlfn.MAXIFS(Sets!$H$2:$H$2000,Sets!$A$2:$A$2000,$A55,Sets!$D$2:$D$2000,AN$1,Sets!$J$2:$J$2000,"N")=0,"",_xlfn.MAXIFS(Sets!$H$2:$H$2000,Sets!$A$2:$A$2000,$A55,Sets!$D$2:$D$2000,AN$1,Sets!$J$2:$J$2000,"N"))</f>
        <v/>
      </c>
      <c r="AO55">
        <f>IF(_xlfn.MAXIFS(Sets!$H$2:$H$2000,Sets!$A$2:$A$2000,$A55,Sets!$D$2:$D$2000,AO$1,Sets!$J$2:$J$2000,"N")=0,"",_xlfn.MAXIFS(Sets!$H$2:$H$2000,Sets!$A$2:$A$2000,$A55,Sets!$D$2:$D$2000,AO$1,Sets!$J$2:$J$2000,"N"))</f>
        <v/>
      </c>
      <c r="AP55">
        <f>IF(_xlfn.MAXIFS(Sets!$H$2:$H$2000,Sets!$A$2:$A$2000,$A55,Sets!$D$2:$D$2000,AP$1,Sets!$J$2:$J$2000,"N")=0,"",_xlfn.MAXIFS(Sets!$H$2:$H$2000,Sets!$A$2:$A$2000,$A55,Sets!$D$2:$D$2000,AP$1,Sets!$J$2:$J$2000,"N"))</f>
        <v/>
      </c>
    </row>
    <row r="56">
      <c r="A56" s="36" t="n">
        <v>46233</v>
      </c>
      <c r="B56">
        <f>IF(_xlfn.MAXIFS(Sets!$H$2:$H$2000,Sets!$A$2:$A$2000,$A56,Sets!$D$2:$D$2000,B$1,Sets!$J$2:$J$2000,"N")=0,"",_xlfn.MAXIFS(Sets!$H$2:$H$2000,Sets!$A$2:$A$2000,$A56,Sets!$D$2:$D$2000,B$1,Sets!$J$2:$J$2000,"N"))</f>
        <v/>
      </c>
      <c r="C56">
        <f>IF(_xlfn.MAXIFS(Sets!$H$2:$H$2000,Sets!$A$2:$A$2000,$A56,Sets!$D$2:$D$2000,C$1,Sets!$J$2:$J$2000,"N")=0,"",_xlfn.MAXIFS(Sets!$H$2:$H$2000,Sets!$A$2:$A$2000,$A56,Sets!$D$2:$D$2000,C$1,Sets!$J$2:$J$2000,"N"))</f>
        <v/>
      </c>
      <c r="D56">
        <f>IF(_xlfn.MAXIFS(Sets!$H$2:$H$2000,Sets!$A$2:$A$2000,$A56,Sets!$D$2:$D$2000,D$1,Sets!$J$2:$J$2000,"N")=0,"",_xlfn.MAXIFS(Sets!$H$2:$H$2000,Sets!$A$2:$A$2000,$A56,Sets!$D$2:$D$2000,D$1,Sets!$J$2:$J$2000,"N"))</f>
        <v/>
      </c>
      <c r="E56">
        <f>IF(_xlfn.MAXIFS(Sets!$H$2:$H$2000,Sets!$A$2:$A$2000,$A56,Sets!$D$2:$D$2000,E$1,Sets!$J$2:$J$2000,"N")=0,"",_xlfn.MAXIFS(Sets!$H$2:$H$2000,Sets!$A$2:$A$2000,$A56,Sets!$D$2:$D$2000,E$1,Sets!$J$2:$J$2000,"N"))</f>
        <v/>
      </c>
      <c r="F56">
        <f>IF(_xlfn.MAXIFS(Sets!$H$2:$H$2000,Sets!$A$2:$A$2000,$A56,Sets!$D$2:$D$2000,F$1,Sets!$J$2:$J$2000,"N")=0,"",_xlfn.MAXIFS(Sets!$H$2:$H$2000,Sets!$A$2:$A$2000,$A56,Sets!$D$2:$D$2000,F$1,Sets!$J$2:$J$2000,"N"))</f>
        <v/>
      </c>
      <c r="G56">
        <f>IF(_xlfn.MAXIFS(Sets!$H$2:$H$2000,Sets!$A$2:$A$2000,$A56,Sets!$D$2:$D$2000,G$1,Sets!$J$2:$J$2000,"N")=0,"",_xlfn.MAXIFS(Sets!$H$2:$H$2000,Sets!$A$2:$A$2000,$A56,Sets!$D$2:$D$2000,G$1,Sets!$J$2:$J$2000,"N"))</f>
        <v/>
      </c>
      <c r="H56">
        <f>IF(_xlfn.MAXIFS(Sets!$H$2:$H$2000,Sets!$A$2:$A$2000,$A56,Sets!$D$2:$D$2000,H$1,Sets!$J$2:$J$2000,"N")=0,"",_xlfn.MAXIFS(Sets!$H$2:$H$2000,Sets!$A$2:$A$2000,$A56,Sets!$D$2:$D$2000,H$1,Sets!$J$2:$J$2000,"N"))</f>
        <v/>
      </c>
      <c r="I56">
        <f>IF(_xlfn.MAXIFS(Sets!$H$2:$H$2000,Sets!$A$2:$A$2000,$A56,Sets!$D$2:$D$2000,I$1,Sets!$J$2:$J$2000,"N")=0,"",_xlfn.MAXIFS(Sets!$H$2:$H$2000,Sets!$A$2:$A$2000,$A56,Sets!$D$2:$D$2000,I$1,Sets!$J$2:$J$2000,"N"))</f>
        <v/>
      </c>
      <c r="J56">
        <f>IF(_xlfn.MAXIFS(Sets!$H$2:$H$2000,Sets!$A$2:$A$2000,$A56,Sets!$D$2:$D$2000,J$1,Sets!$J$2:$J$2000,"N")=0,"",_xlfn.MAXIFS(Sets!$H$2:$H$2000,Sets!$A$2:$A$2000,$A56,Sets!$D$2:$D$2000,J$1,Sets!$J$2:$J$2000,"N"))</f>
        <v/>
      </c>
      <c r="K56">
        <f>IF(_xlfn.MAXIFS(Sets!$H$2:$H$2000,Sets!$A$2:$A$2000,$A56,Sets!$D$2:$D$2000,K$1,Sets!$J$2:$J$2000,"N")=0,"",_xlfn.MAXIFS(Sets!$H$2:$H$2000,Sets!$A$2:$A$2000,$A56,Sets!$D$2:$D$2000,K$1,Sets!$J$2:$J$2000,"N"))</f>
        <v/>
      </c>
      <c r="L56">
        <f>IF(_xlfn.MAXIFS(Sets!$H$2:$H$2000,Sets!$A$2:$A$2000,$A56,Sets!$D$2:$D$2000,L$1,Sets!$J$2:$J$2000,"N")=0,"",_xlfn.MAXIFS(Sets!$H$2:$H$2000,Sets!$A$2:$A$2000,$A56,Sets!$D$2:$D$2000,L$1,Sets!$J$2:$J$2000,"N"))</f>
        <v/>
      </c>
      <c r="M56">
        <f>IF(_xlfn.MAXIFS(Sets!$H$2:$H$2000,Sets!$A$2:$A$2000,$A56,Sets!$D$2:$D$2000,M$1,Sets!$J$2:$J$2000,"N")=0,"",_xlfn.MAXIFS(Sets!$H$2:$H$2000,Sets!$A$2:$A$2000,$A56,Sets!$D$2:$D$2000,M$1,Sets!$J$2:$J$2000,"N"))</f>
        <v/>
      </c>
      <c r="N56">
        <f>IF(_xlfn.MAXIFS(Sets!$H$2:$H$2000,Sets!$A$2:$A$2000,$A56,Sets!$D$2:$D$2000,N$1,Sets!$J$2:$J$2000,"N")=0,"",_xlfn.MAXIFS(Sets!$H$2:$H$2000,Sets!$A$2:$A$2000,$A56,Sets!$D$2:$D$2000,N$1,Sets!$J$2:$J$2000,"N"))</f>
        <v/>
      </c>
      <c r="O56">
        <f>IF(_xlfn.MAXIFS(Sets!$H$2:$H$2000,Sets!$A$2:$A$2000,$A56,Sets!$D$2:$D$2000,O$1,Sets!$J$2:$J$2000,"N")=0,"",_xlfn.MAXIFS(Sets!$H$2:$H$2000,Sets!$A$2:$A$2000,$A56,Sets!$D$2:$D$2000,O$1,Sets!$J$2:$J$2000,"N"))</f>
        <v/>
      </c>
      <c r="P56">
        <f>IF(_xlfn.MAXIFS(Sets!$H$2:$H$2000,Sets!$A$2:$A$2000,$A56,Sets!$D$2:$D$2000,P$1,Sets!$J$2:$J$2000,"N")=0,"",_xlfn.MAXIFS(Sets!$H$2:$H$2000,Sets!$A$2:$A$2000,$A56,Sets!$D$2:$D$2000,P$1,Sets!$J$2:$J$2000,"N"))</f>
        <v/>
      </c>
      <c r="Q56">
        <f>IF(_xlfn.MAXIFS(Sets!$H$2:$H$2000,Sets!$A$2:$A$2000,$A56,Sets!$D$2:$D$2000,Q$1,Sets!$J$2:$J$2000,"N")=0,"",_xlfn.MAXIFS(Sets!$H$2:$H$2000,Sets!$A$2:$A$2000,$A56,Sets!$D$2:$D$2000,Q$1,Sets!$J$2:$J$2000,"N"))</f>
        <v/>
      </c>
      <c r="R56">
        <f>IF(_xlfn.MAXIFS(Sets!$H$2:$H$2000,Sets!$A$2:$A$2000,$A56,Sets!$D$2:$D$2000,R$1,Sets!$J$2:$J$2000,"N")=0,"",_xlfn.MAXIFS(Sets!$H$2:$H$2000,Sets!$A$2:$A$2000,$A56,Sets!$D$2:$D$2000,R$1,Sets!$J$2:$J$2000,"N"))</f>
        <v/>
      </c>
      <c r="S56">
        <f>IF(_xlfn.MAXIFS(Sets!$H$2:$H$2000,Sets!$A$2:$A$2000,$A56,Sets!$D$2:$D$2000,S$1,Sets!$J$2:$J$2000,"N")=0,"",_xlfn.MAXIFS(Sets!$H$2:$H$2000,Sets!$A$2:$A$2000,$A56,Sets!$D$2:$D$2000,S$1,Sets!$J$2:$J$2000,"N"))</f>
        <v/>
      </c>
      <c r="T56">
        <f>IF(_xlfn.MAXIFS(Sets!$H$2:$H$2000,Sets!$A$2:$A$2000,$A56,Sets!$D$2:$D$2000,T$1,Sets!$J$2:$J$2000,"N")=0,"",_xlfn.MAXIFS(Sets!$H$2:$H$2000,Sets!$A$2:$A$2000,$A56,Sets!$D$2:$D$2000,T$1,Sets!$J$2:$J$2000,"N"))</f>
        <v/>
      </c>
      <c r="U56">
        <f>IF(_xlfn.MAXIFS(Sets!$H$2:$H$2000,Sets!$A$2:$A$2000,$A56,Sets!$D$2:$D$2000,U$1,Sets!$J$2:$J$2000,"N")=0,"",_xlfn.MAXIFS(Sets!$H$2:$H$2000,Sets!$A$2:$A$2000,$A56,Sets!$D$2:$D$2000,U$1,Sets!$J$2:$J$2000,"N"))</f>
        <v/>
      </c>
      <c r="V56">
        <f>IF(_xlfn.MAXIFS(Sets!$H$2:$H$2000,Sets!$A$2:$A$2000,$A56,Sets!$D$2:$D$2000,V$1,Sets!$J$2:$J$2000,"N")=0,"",_xlfn.MAXIFS(Sets!$H$2:$H$2000,Sets!$A$2:$A$2000,$A56,Sets!$D$2:$D$2000,V$1,Sets!$J$2:$J$2000,"N"))</f>
        <v/>
      </c>
      <c r="W56">
        <f>IF(_xlfn.MAXIFS(Sets!$H$2:$H$2000,Sets!$A$2:$A$2000,$A56,Sets!$D$2:$D$2000,W$1,Sets!$J$2:$J$2000,"N")=0,"",_xlfn.MAXIFS(Sets!$H$2:$H$2000,Sets!$A$2:$A$2000,$A56,Sets!$D$2:$D$2000,W$1,Sets!$J$2:$J$2000,"N"))</f>
        <v/>
      </c>
      <c r="X56">
        <f>IF(_xlfn.MAXIFS(Sets!$H$2:$H$2000,Sets!$A$2:$A$2000,$A56,Sets!$D$2:$D$2000,X$1,Sets!$J$2:$J$2000,"N")=0,"",_xlfn.MAXIFS(Sets!$H$2:$H$2000,Sets!$A$2:$A$2000,$A56,Sets!$D$2:$D$2000,X$1,Sets!$J$2:$J$2000,"N"))</f>
        <v/>
      </c>
      <c r="Y56">
        <f>IF(_xlfn.MAXIFS(Sets!$H$2:$H$2000,Sets!$A$2:$A$2000,$A56,Sets!$D$2:$D$2000,Y$1,Sets!$J$2:$J$2000,"N")=0,"",_xlfn.MAXIFS(Sets!$H$2:$H$2000,Sets!$A$2:$A$2000,$A56,Sets!$D$2:$D$2000,Y$1,Sets!$J$2:$J$2000,"N"))</f>
        <v/>
      </c>
      <c r="Z56">
        <f>IF(_xlfn.MAXIFS(Sets!$H$2:$H$2000,Sets!$A$2:$A$2000,$A56,Sets!$D$2:$D$2000,Z$1,Sets!$J$2:$J$2000,"N")=0,"",_xlfn.MAXIFS(Sets!$H$2:$H$2000,Sets!$A$2:$A$2000,$A56,Sets!$D$2:$D$2000,Z$1,Sets!$J$2:$J$2000,"N"))</f>
        <v/>
      </c>
      <c r="AA56">
        <f>IF(_xlfn.MAXIFS(Sets!$H$2:$H$2000,Sets!$A$2:$A$2000,$A56,Sets!$D$2:$D$2000,AA$1,Sets!$J$2:$J$2000,"N")=0,"",_xlfn.MAXIFS(Sets!$H$2:$H$2000,Sets!$A$2:$A$2000,$A56,Sets!$D$2:$D$2000,AA$1,Sets!$J$2:$J$2000,"N"))</f>
        <v/>
      </c>
      <c r="AB56">
        <f>IF(_xlfn.MAXIFS(Sets!$H$2:$H$2000,Sets!$A$2:$A$2000,$A56,Sets!$D$2:$D$2000,AB$1,Sets!$J$2:$J$2000,"N")=0,"",_xlfn.MAXIFS(Sets!$H$2:$H$2000,Sets!$A$2:$A$2000,$A56,Sets!$D$2:$D$2000,AB$1,Sets!$J$2:$J$2000,"N"))</f>
        <v/>
      </c>
      <c r="AC56">
        <f>IF(_xlfn.MAXIFS(Sets!$H$2:$H$2000,Sets!$A$2:$A$2000,$A56,Sets!$D$2:$D$2000,AC$1,Sets!$J$2:$J$2000,"N")=0,"",_xlfn.MAXIFS(Sets!$H$2:$H$2000,Sets!$A$2:$A$2000,$A56,Sets!$D$2:$D$2000,AC$1,Sets!$J$2:$J$2000,"N"))</f>
        <v/>
      </c>
      <c r="AD56">
        <f>IF(_xlfn.MAXIFS(Sets!$H$2:$H$2000,Sets!$A$2:$A$2000,$A56,Sets!$D$2:$D$2000,AD$1,Sets!$J$2:$J$2000,"N")=0,"",_xlfn.MAXIFS(Sets!$H$2:$H$2000,Sets!$A$2:$A$2000,$A56,Sets!$D$2:$D$2000,AD$1,Sets!$J$2:$J$2000,"N"))</f>
        <v/>
      </c>
      <c r="AE56">
        <f>IF(_xlfn.MAXIFS(Sets!$H$2:$H$2000,Sets!$A$2:$A$2000,$A56,Sets!$D$2:$D$2000,AE$1,Sets!$J$2:$J$2000,"N")=0,"",_xlfn.MAXIFS(Sets!$H$2:$H$2000,Sets!$A$2:$A$2000,$A56,Sets!$D$2:$D$2000,AE$1,Sets!$J$2:$J$2000,"N"))</f>
        <v/>
      </c>
      <c r="AF56">
        <f>IF(_xlfn.MAXIFS(Sets!$H$2:$H$2000,Sets!$A$2:$A$2000,$A56,Sets!$D$2:$D$2000,AF$1,Sets!$J$2:$J$2000,"N")=0,"",_xlfn.MAXIFS(Sets!$H$2:$H$2000,Sets!$A$2:$A$2000,$A56,Sets!$D$2:$D$2000,AF$1,Sets!$J$2:$J$2000,"N"))</f>
        <v/>
      </c>
      <c r="AG56">
        <f>IF(_xlfn.MAXIFS(Sets!$H$2:$H$2000,Sets!$A$2:$A$2000,$A56,Sets!$D$2:$D$2000,AG$1,Sets!$J$2:$J$2000,"N")=0,"",_xlfn.MAXIFS(Sets!$H$2:$H$2000,Sets!$A$2:$A$2000,$A56,Sets!$D$2:$D$2000,AG$1,Sets!$J$2:$J$2000,"N"))</f>
        <v/>
      </c>
      <c r="AH56">
        <f>IF(_xlfn.MAXIFS(Sets!$H$2:$H$2000,Sets!$A$2:$A$2000,$A56,Sets!$D$2:$D$2000,AH$1,Sets!$J$2:$J$2000,"N")=0,"",_xlfn.MAXIFS(Sets!$H$2:$H$2000,Sets!$A$2:$A$2000,$A56,Sets!$D$2:$D$2000,AH$1,Sets!$J$2:$J$2000,"N"))</f>
        <v/>
      </c>
      <c r="AI56">
        <f>IF(_xlfn.MAXIFS(Sets!$H$2:$H$2000,Sets!$A$2:$A$2000,$A56,Sets!$D$2:$D$2000,AI$1,Sets!$J$2:$J$2000,"N")=0,"",_xlfn.MAXIFS(Sets!$H$2:$H$2000,Sets!$A$2:$A$2000,$A56,Sets!$D$2:$D$2000,AI$1,Sets!$J$2:$J$2000,"N"))</f>
        <v/>
      </c>
      <c r="AJ56">
        <f>IF(_xlfn.MAXIFS(Sets!$H$2:$H$2000,Sets!$A$2:$A$2000,$A56,Sets!$D$2:$D$2000,AJ$1,Sets!$J$2:$J$2000,"N")=0,"",_xlfn.MAXIFS(Sets!$H$2:$H$2000,Sets!$A$2:$A$2000,$A56,Sets!$D$2:$D$2000,AJ$1,Sets!$J$2:$J$2000,"N"))</f>
        <v/>
      </c>
      <c r="AK56">
        <f>IF(_xlfn.MAXIFS(Sets!$H$2:$H$2000,Sets!$A$2:$A$2000,$A56,Sets!$D$2:$D$2000,AK$1,Sets!$J$2:$J$2000,"N")=0,"",_xlfn.MAXIFS(Sets!$H$2:$H$2000,Sets!$A$2:$A$2000,$A56,Sets!$D$2:$D$2000,AK$1,Sets!$J$2:$J$2000,"N"))</f>
        <v/>
      </c>
      <c r="AL56">
        <f>IF(_xlfn.MAXIFS(Sets!$H$2:$H$2000,Sets!$A$2:$A$2000,$A56,Sets!$D$2:$D$2000,AL$1,Sets!$J$2:$J$2000,"N")=0,"",_xlfn.MAXIFS(Sets!$H$2:$H$2000,Sets!$A$2:$A$2000,$A56,Sets!$D$2:$D$2000,AL$1,Sets!$J$2:$J$2000,"N"))</f>
        <v/>
      </c>
      <c r="AM56">
        <f>IF(_xlfn.MAXIFS(Sets!$H$2:$H$2000,Sets!$A$2:$A$2000,$A56,Sets!$D$2:$D$2000,AM$1,Sets!$J$2:$J$2000,"N")=0,"",_xlfn.MAXIFS(Sets!$H$2:$H$2000,Sets!$A$2:$A$2000,$A56,Sets!$D$2:$D$2000,AM$1,Sets!$J$2:$J$2000,"N"))</f>
        <v/>
      </c>
      <c r="AN56">
        <f>IF(_xlfn.MAXIFS(Sets!$H$2:$H$2000,Sets!$A$2:$A$2000,$A56,Sets!$D$2:$D$2000,AN$1,Sets!$J$2:$J$2000,"N")=0,"",_xlfn.MAXIFS(Sets!$H$2:$H$2000,Sets!$A$2:$A$2000,$A56,Sets!$D$2:$D$2000,AN$1,Sets!$J$2:$J$2000,"N"))</f>
        <v/>
      </c>
      <c r="AO56">
        <f>IF(_xlfn.MAXIFS(Sets!$H$2:$H$2000,Sets!$A$2:$A$2000,$A56,Sets!$D$2:$D$2000,AO$1,Sets!$J$2:$J$2000,"N")=0,"",_xlfn.MAXIFS(Sets!$H$2:$H$2000,Sets!$A$2:$A$2000,$A56,Sets!$D$2:$D$2000,AO$1,Sets!$J$2:$J$2000,"N"))</f>
        <v/>
      </c>
      <c r="AP56">
        <f>IF(_xlfn.MAXIFS(Sets!$H$2:$H$2000,Sets!$A$2:$A$2000,$A56,Sets!$D$2:$D$2000,AP$1,Sets!$J$2:$J$2000,"N")=0,"",_xlfn.MAXIFS(Sets!$H$2:$H$2000,Sets!$A$2:$A$2000,$A56,Sets!$D$2:$D$2000,AP$1,Sets!$J$2:$J$2000,"N"))</f>
        <v/>
      </c>
    </row>
    <row r="57">
      <c r="A57" s="36" t="n">
        <v>46234</v>
      </c>
      <c r="B57">
        <f>IF(_xlfn.MAXIFS(Sets!$H$2:$H$2000,Sets!$A$2:$A$2000,$A57,Sets!$D$2:$D$2000,B$1,Sets!$J$2:$J$2000,"N")=0,"",_xlfn.MAXIFS(Sets!$H$2:$H$2000,Sets!$A$2:$A$2000,$A57,Sets!$D$2:$D$2000,B$1,Sets!$J$2:$J$2000,"N"))</f>
        <v/>
      </c>
      <c r="C57">
        <f>IF(_xlfn.MAXIFS(Sets!$H$2:$H$2000,Sets!$A$2:$A$2000,$A57,Sets!$D$2:$D$2000,C$1,Sets!$J$2:$J$2000,"N")=0,"",_xlfn.MAXIFS(Sets!$H$2:$H$2000,Sets!$A$2:$A$2000,$A57,Sets!$D$2:$D$2000,C$1,Sets!$J$2:$J$2000,"N"))</f>
        <v/>
      </c>
      <c r="D57">
        <f>IF(_xlfn.MAXIFS(Sets!$H$2:$H$2000,Sets!$A$2:$A$2000,$A57,Sets!$D$2:$D$2000,D$1,Sets!$J$2:$J$2000,"N")=0,"",_xlfn.MAXIFS(Sets!$H$2:$H$2000,Sets!$A$2:$A$2000,$A57,Sets!$D$2:$D$2000,D$1,Sets!$J$2:$J$2000,"N"))</f>
        <v/>
      </c>
      <c r="E57">
        <f>IF(_xlfn.MAXIFS(Sets!$H$2:$H$2000,Sets!$A$2:$A$2000,$A57,Sets!$D$2:$D$2000,E$1,Sets!$J$2:$J$2000,"N")=0,"",_xlfn.MAXIFS(Sets!$H$2:$H$2000,Sets!$A$2:$A$2000,$A57,Sets!$D$2:$D$2000,E$1,Sets!$J$2:$J$2000,"N"))</f>
        <v/>
      </c>
      <c r="F57">
        <f>IF(_xlfn.MAXIFS(Sets!$H$2:$H$2000,Sets!$A$2:$A$2000,$A57,Sets!$D$2:$D$2000,F$1,Sets!$J$2:$J$2000,"N")=0,"",_xlfn.MAXIFS(Sets!$H$2:$H$2000,Sets!$A$2:$A$2000,$A57,Sets!$D$2:$D$2000,F$1,Sets!$J$2:$J$2000,"N"))</f>
        <v/>
      </c>
      <c r="G57">
        <f>IF(_xlfn.MAXIFS(Sets!$H$2:$H$2000,Sets!$A$2:$A$2000,$A57,Sets!$D$2:$D$2000,G$1,Sets!$J$2:$J$2000,"N")=0,"",_xlfn.MAXIFS(Sets!$H$2:$H$2000,Sets!$A$2:$A$2000,$A57,Sets!$D$2:$D$2000,G$1,Sets!$J$2:$J$2000,"N"))</f>
        <v/>
      </c>
      <c r="H57">
        <f>IF(_xlfn.MAXIFS(Sets!$H$2:$H$2000,Sets!$A$2:$A$2000,$A57,Sets!$D$2:$D$2000,H$1,Sets!$J$2:$J$2000,"N")=0,"",_xlfn.MAXIFS(Sets!$H$2:$H$2000,Sets!$A$2:$A$2000,$A57,Sets!$D$2:$D$2000,H$1,Sets!$J$2:$J$2000,"N"))</f>
        <v/>
      </c>
      <c r="I57">
        <f>IF(_xlfn.MAXIFS(Sets!$H$2:$H$2000,Sets!$A$2:$A$2000,$A57,Sets!$D$2:$D$2000,I$1,Sets!$J$2:$J$2000,"N")=0,"",_xlfn.MAXIFS(Sets!$H$2:$H$2000,Sets!$A$2:$A$2000,$A57,Sets!$D$2:$D$2000,I$1,Sets!$J$2:$J$2000,"N"))</f>
        <v/>
      </c>
      <c r="J57">
        <f>IF(_xlfn.MAXIFS(Sets!$H$2:$H$2000,Sets!$A$2:$A$2000,$A57,Sets!$D$2:$D$2000,J$1,Sets!$J$2:$J$2000,"N")=0,"",_xlfn.MAXIFS(Sets!$H$2:$H$2000,Sets!$A$2:$A$2000,$A57,Sets!$D$2:$D$2000,J$1,Sets!$J$2:$J$2000,"N"))</f>
        <v/>
      </c>
      <c r="K57">
        <f>IF(_xlfn.MAXIFS(Sets!$H$2:$H$2000,Sets!$A$2:$A$2000,$A57,Sets!$D$2:$D$2000,K$1,Sets!$J$2:$J$2000,"N")=0,"",_xlfn.MAXIFS(Sets!$H$2:$H$2000,Sets!$A$2:$A$2000,$A57,Sets!$D$2:$D$2000,K$1,Sets!$J$2:$J$2000,"N"))</f>
        <v/>
      </c>
      <c r="L57">
        <f>IF(_xlfn.MAXIFS(Sets!$H$2:$H$2000,Sets!$A$2:$A$2000,$A57,Sets!$D$2:$D$2000,L$1,Sets!$J$2:$J$2000,"N")=0,"",_xlfn.MAXIFS(Sets!$H$2:$H$2000,Sets!$A$2:$A$2000,$A57,Sets!$D$2:$D$2000,L$1,Sets!$J$2:$J$2000,"N"))</f>
        <v/>
      </c>
      <c r="M57">
        <f>IF(_xlfn.MAXIFS(Sets!$H$2:$H$2000,Sets!$A$2:$A$2000,$A57,Sets!$D$2:$D$2000,M$1,Sets!$J$2:$J$2000,"N")=0,"",_xlfn.MAXIFS(Sets!$H$2:$H$2000,Sets!$A$2:$A$2000,$A57,Sets!$D$2:$D$2000,M$1,Sets!$J$2:$J$2000,"N"))</f>
        <v/>
      </c>
      <c r="N57">
        <f>IF(_xlfn.MAXIFS(Sets!$H$2:$H$2000,Sets!$A$2:$A$2000,$A57,Sets!$D$2:$D$2000,N$1,Sets!$J$2:$J$2000,"N")=0,"",_xlfn.MAXIFS(Sets!$H$2:$H$2000,Sets!$A$2:$A$2000,$A57,Sets!$D$2:$D$2000,N$1,Sets!$J$2:$J$2000,"N"))</f>
        <v/>
      </c>
      <c r="O57">
        <f>IF(_xlfn.MAXIFS(Sets!$H$2:$H$2000,Sets!$A$2:$A$2000,$A57,Sets!$D$2:$D$2000,O$1,Sets!$J$2:$J$2000,"N")=0,"",_xlfn.MAXIFS(Sets!$H$2:$H$2000,Sets!$A$2:$A$2000,$A57,Sets!$D$2:$D$2000,O$1,Sets!$J$2:$J$2000,"N"))</f>
        <v/>
      </c>
      <c r="P57">
        <f>IF(_xlfn.MAXIFS(Sets!$H$2:$H$2000,Sets!$A$2:$A$2000,$A57,Sets!$D$2:$D$2000,P$1,Sets!$J$2:$J$2000,"N")=0,"",_xlfn.MAXIFS(Sets!$H$2:$H$2000,Sets!$A$2:$A$2000,$A57,Sets!$D$2:$D$2000,P$1,Sets!$J$2:$J$2000,"N"))</f>
        <v/>
      </c>
      <c r="Q57">
        <f>IF(_xlfn.MAXIFS(Sets!$H$2:$H$2000,Sets!$A$2:$A$2000,$A57,Sets!$D$2:$D$2000,Q$1,Sets!$J$2:$J$2000,"N")=0,"",_xlfn.MAXIFS(Sets!$H$2:$H$2000,Sets!$A$2:$A$2000,$A57,Sets!$D$2:$D$2000,Q$1,Sets!$J$2:$J$2000,"N"))</f>
        <v/>
      </c>
      <c r="R57">
        <f>IF(_xlfn.MAXIFS(Sets!$H$2:$H$2000,Sets!$A$2:$A$2000,$A57,Sets!$D$2:$D$2000,R$1,Sets!$J$2:$J$2000,"N")=0,"",_xlfn.MAXIFS(Sets!$H$2:$H$2000,Sets!$A$2:$A$2000,$A57,Sets!$D$2:$D$2000,R$1,Sets!$J$2:$J$2000,"N"))</f>
        <v/>
      </c>
      <c r="S57">
        <f>IF(_xlfn.MAXIFS(Sets!$H$2:$H$2000,Sets!$A$2:$A$2000,$A57,Sets!$D$2:$D$2000,S$1,Sets!$J$2:$J$2000,"N")=0,"",_xlfn.MAXIFS(Sets!$H$2:$H$2000,Sets!$A$2:$A$2000,$A57,Sets!$D$2:$D$2000,S$1,Sets!$J$2:$J$2000,"N"))</f>
        <v/>
      </c>
      <c r="T57">
        <f>IF(_xlfn.MAXIFS(Sets!$H$2:$H$2000,Sets!$A$2:$A$2000,$A57,Sets!$D$2:$D$2000,T$1,Sets!$J$2:$J$2000,"N")=0,"",_xlfn.MAXIFS(Sets!$H$2:$H$2000,Sets!$A$2:$A$2000,$A57,Sets!$D$2:$D$2000,T$1,Sets!$J$2:$J$2000,"N"))</f>
        <v/>
      </c>
      <c r="U57">
        <f>IF(_xlfn.MAXIFS(Sets!$H$2:$H$2000,Sets!$A$2:$A$2000,$A57,Sets!$D$2:$D$2000,U$1,Sets!$J$2:$J$2000,"N")=0,"",_xlfn.MAXIFS(Sets!$H$2:$H$2000,Sets!$A$2:$A$2000,$A57,Sets!$D$2:$D$2000,U$1,Sets!$J$2:$J$2000,"N"))</f>
        <v/>
      </c>
      <c r="V57">
        <f>IF(_xlfn.MAXIFS(Sets!$H$2:$H$2000,Sets!$A$2:$A$2000,$A57,Sets!$D$2:$D$2000,V$1,Sets!$J$2:$J$2000,"N")=0,"",_xlfn.MAXIFS(Sets!$H$2:$H$2000,Sets!$A$2:$A$2000,$A57,Sets!$D$2:$D$2000,V$1,Sets!$J$2:$J$2000,"N"))</f>
        <v/>
      </c>
      <c r="W57">
        <f>IF(_xlfn.MAXIFS(Sets!$H$2:$H$2000,Sets!$A$2:$A$2000,$A57,Sets!$D$2:$D$2000,W$1,Sets!$J$2:$J$2000,"N")=0,"",_xlfn.MAXIFS(Sets!$H$2:$H$2000,Sets!$A$2:$A$2000,$A57,Sets!$D$2:$D$2000,W$1,Sets!$J$2:$J$2000,"N"))</f>
        <v/>
      </c>
      <c r="X57">
        <f>IF(_xlfn.MAXIFS(Sets!$H$2:$H$2000,Sets!$A$2:$A$2000,$A57,Sets!$D$2:$D$2000,X$1,Sets!$J$2:$J$2000,"N")=0,"",_xlfn.MAXIFS(Sets!$H$2:$H$2000,Sets!$A$2:$A$2000,$A57,Sets!$D$2:$D$2000,X$1,Sets!$J$2:$J$2000,"N"))</f>
        <v/>
      </c>
      <c r="Y57">
        <f>IF(_xlfn.MAXIFS(Sets!$H$2:$H$2000,Sets!$A$2:$A$2000,$A57,Sets!$D$2:$D$2000,Y$1,Sets!$J$2:$J$2000,"N")=0,"",_xlfn.MAXIFS(Sets!$H$2:$H$2000,Sets!$A$2:$A$2000,$A57,Sets!$D$2:$D$2000,Y$1,Sets!$J$2:$J$2000,"N"))</f>
        <v/>
      </c>
      <c r="Z57">
        <f>IF(_xlfn.MAXIFS(Sets!$H$2:$H$2000,Sets!$A$2:$A$2000,$A57,Sets!$D$2:$D$2000,Z$1,Sets!$J$2:$J$2000,"N")=0,"",_xlfn.MAXIFS(Sets!$H$2:$H$2000,Sets!$A$2:$A$2000,$A57,Sets!$D$2:$D$2000,Z$1,Sets!$J$2:$J$2000,"N"))</f>
        <v/>
      </c>
      <c r="AA57">
        <f>IF(_xlfn.MAXIFS(Sets!$H$2:$H$2000,Sets!$A$2:$A$2000,$A57,Sets!$D$2:$D$2000,AA$1,Sets!$J$2:$J$2000,"N")=0,"",_xlfn.MAXIFS(Sets!$H$2:$H$2000,Sets!$A$2:$A$2000,$A57,Sets!$D$2:$D$2000,AA$1,Sets!$J$2:$J$2000,"N"))</f>
        <v/>
      </c>
      <c r="AB57">
        <f>IF(_xlfn.MAXIFS(Sets!$H$2:$H$2000,Sets!$A$2:$A$2000,$A57,Sets!$D$2:$D$2000,AB$1,Sets!$J$2:$J$2000,"N")=0,"",_xlfn.MAXIFS(Sets!$H$2:$H$2000,Sets!$A$2:$A$2000,$A57,Sets!$D$2:$D$2000,AB$1,Sets!$J$2:$J$2000,"N"))</f>
        <v/>
      </c>
      <c r="AC57">
        <f>IF(_xlfn.MAXIFS(Sets!$H$2:$H$2000,Sets!$A$2:$A$2000,$A57,Sets!$D$2:$D$2000,AC$1,Sets!$J$2:$J$2000,"N")=0,"",_xlfn.MAXIFS(Sets!$H$2:$H$2000,Sets!$A$2:$A$2000,$A57,Sets!$D$2:$D$2000,AC$1,Sets!$J$2:$J$2000,"N"))</f>
        <v/>
      </c>
      <c r="AD57">
        <f>IF(_xlfn.MAXIFS(Sets!$H$2:$H$2000,Sets!$A$2:$A$2000,$A57,Sets!$D$2:$D$2000,AD$1,Sets!$J$2:$J$2000,"N")=0,"",_xlfn.MAXIFS(Sets!$H$2:$H$2000,Sets!$A$2:$A$2000,$A57,Sets!$D$2:$D$2000,AD$1,Sets!$J$2:$J$2000,"N"))</f>
        <v/>
      </c>
      <c r="AE57">
        <f>IF(_xlfn.MAXIFS(Sets!$H$2:$H$2000,Sets!$A$2:$A$2000,$A57,Sets!$D$2:$D$2000,AE$1,Sets!$J$2:$J$2000,"N")=0,"",_xlfn.MAXIFS(Sets!$H$2:$H$2000,Sets!$A$2:$A$2000,$A57,Sets!$D$2:$D$2000,AE$1,Sets!$J$2:$J$2000,"N"))</f>
        <v/>
      </c>
      <c r="AF57">
        <f>IF(_xlfn.MAXIFS(Sets!$H$2:$H$2000,Sets!$A$2:$A$2000,$A57,Sets!$D$2:$D$2000,AF$1,Sets!$J$2:$J$2000,"N")=0,"",_xlfn.MAXIFS(Sets!$H$2:$H$2000,Sets!$A$2:$A$2000,$A57,Sets!$D$2:$D$2000,AF$1,Sets!$J$2:$J$2000,"N"))</f>
        <v/>
      </c>
      <c r="AG57">
        <f>IF(_xlfn.MAXIFS(Sets!$H$2:$H$2000,Sets!$A$2:$A$2000,$A57,Sets!$D$2:$D$2000,AG$1,Sets!$J$2:$J$2000,"N")=0,"",_xlfn.MAXIFS(Sets!$H$2:$H$2000,Sets!$A$2:$A$2000,$A57,Sets!$D$2:$D$2000,AG$1,Sets!$J$2:$J$2000,"N"))</f>
        <v/>
      </c>
      <c r="AH57">
        <f>IF(_xlfn.MAXIFS(Sets!$H$2:$H$2000,Sets!$A$2:$A$2000,$A57,Sets!$D$2:$D$2000,AH$1,Sets!$J$2:$J$2000,"N")=0,"",_xlfn.MAXIFS(Sets!$H$2:$H$2000,Sets!$A$2:$A$2000,$A57,Sets!$D$2:$D$2000,AH$1,Sets!$J$2:$J$2000,"N"))</f>
        <v/>
      </c>
      <c r="AI57">
        <f>IF(_xlfn.MAXIFS(Sets!$H$2:$H$2000,Sets!$A$2:$A$2000,$A57,Sets!$D$2:$D$2000,AI$1,Sets!$J$2:$J$2000,"N")=0,"",_xlfn.MAXIFS(Sets!$H$2:$H$2000,Sets!$A$2:$A$2000,$A57,Sets!$D$2:$D$2000,AI$1,Sets!$J$2:$J$2000,"N"))</f>
        <v/>
      </c>
      <c r="AJ57">
        <f>IF(_xlfn.MAXIFS(Sets!$H$2:$H$2000,Sets!$A$2:$A$2000,$A57,Sets!$D$2:$D$2000,AJ$1,Sets!$J$2:$J$2000,"N")=0,"",_xlfn.MAXIFS(Sets!$H$2:$H$2000,Sets!$A$2:$A$2000,$A57,Sets!$D$2:$D$2000,AJ$1,Sets!$J$2:$J$2000,"N"))</f>
        <v/>
      </c>
      <c r="AK57">
        <f>IF(_xlfn.MAXIFS(Sets!$H$2:$H$2000,Sets!$A$2:$A$2000,$A57,Sets!$D$2:$D$2000,AK$1,Sets!$J$2:$J$2000,"N")=0,"",_xlfn.MAXIFS(Sets!$H$2:$H$2000,Sets!$A$2:$A$2000,$A57,Sets!$D$2:$D$2000,AK$1,Sets!$J$2:$J$2000,"N"))</f>
        <v/>
      </c>
      <c r="AL57">
        <f>IF(_xlfn.MAXIFS(Sets!$H$2:$H$2000,Sets!$A$2:$A$2000,$A57,Sets!$D$2:$D$2000,AL$1,Sets!$J$2:$J$2000,"N")=0,"",_xlfn.MAXIFS(Sets!$H$2:$H$2000,Sets!$A$2:$A$2000,$A57,Sets!$D$2:$D$2000,AL$1,Sets!$J$2:$J$2000,"N"))</f>
        <v/>
      </c>
      <c r="AM57">
        <f>IF(_xlfn.MAXIFS(Sets!$H$2:$H$2000,Sets!$A$2:$A$2000,$A57,Sets!$D$2:$D$2000,AM$1,Sets!$J$2:$J$2000,"N")=0,"",_xlfn.MAXIFS(Sets!$H$2:$H$2000,Sets!$A$2:$A$2000,$A57,Sets!$D$2:$D$2000,AM$1,Sets!$J$2:$J$2000,"N"))</f>
        <v/>
      </c>
      <c r="AN57">
        <f>IF(_xlfn.MAXIFS(Sets!$H$2:$H$2000,Sets!$A$2:$A$2000,$A57,Sets!$D$2:$D$2000,AN$1,Sets!$J$2:$J$2000,"N")=0,"",_xlfn.MAXIFS(Sets!$H$2:$H$2000,Sets!$A$2:$A$2000,$A57,Sets!$D$2:$D$2000,AN$1,Sets!$J$2:$J$2000,"N"))</f>
        <v/>
      </c>
      <c r="AO57">
        <f>IF(_xlfn.MAXIFS(Sets!$H$2:$H$2000,Sets!$A$2:$A$2000,$A57,Sets!$D$2:$D$2000,AO$1,Sets!$J$2:$J$2000,"N")=0,"",_xlfn.MAXIFS(Sets!$H$2:$H$2000,Sets!$A$2:$A$2000,$A57,Sets!$D$2:$D$2000,AO$1,Sets!$J$2:$J$2000,"N"))</f>
        <v/>
      </c>
      <c r="AP57">
        <f>IF(_xlfn.MAXIFS(Sets!$H$2:$H$2000,Sets!$A$2:$A$2000,$A57,Sets!$D$2:$D$2000,AP$1,Sets!$J$2:$J$2000,"N")=0,"",_xlfn.MAXIFS(Sets!$H$2:$H$2000,Sets!$A$2:$A$2000,$A57,Sets!$D$2:$D$2000,AP$1,Sets!$J$2:$J$2000,"N"))</f>
        <v/>
      </c>
    </row>
    <row r="58">
      <c r="A58" s="36" t="n">
        <v>46235</v>
      </c>
      <c r="B58">
        <f>IF(_xlfn.MAXIFS(Sets!$H$2:$H$2000,Sets!$A$2:$A$2000,$A58,Sets!$D$2:$D$2000,B$1,Sets!$J$2:$J$2000,"N")=0,"",_xlfn.MAXIFS(Sets!$H$2:$H$2000,Sets!$A$2:$A$2000,$A58,Sets!$D$2:$D$2000,B$1,Sets!$J$2:$J$2000,"N"))</f>
        <v/>
      </c>
      <c r="C58">
        <f>IF(_xlfn.MAXIFS(Sets!$H$2:$H$2000,Sets!$A$2:$A$2000,$A58,Sets!$D$2:$D$2000,C$1,Sets!$J$2:$J$2000,"N")=0,"",_xlfn.MAXIFS(Sets!$H$2:$H$2000,Sets!$A$2:$A$2000,$A58,Sets!$D$2:$D$2000,C$1,Sets!$J$2:$J$2000,"N"))</f>
        <v/>
      </c>
      <c r="D58">
        <f>IF(_xlfn.MAXIFS(Sets!$H$2:$H$2000,Sets!$A$2:$A$2000,$A58,Sets!$D$2:$D$2000,D$1,Sets!$J$2:$J$2000,"N")=0,"",_xlfn.MAXIFS(Sets!$H$2:$H$2000,Sets!$A$2:$A$2000,$A58,Sets!$D$2:$D$2000,D$1,Sets!$J$2:$J$2000,"N"))</f>
        <v/>
      </c>
      <c r="E58">
        <f>IF(_xlfn.MAXIFS(Sets!$H$2:$H$2000,Sets!$A$2:$A$2000,$A58,Sets!$D$2:$D$2000,E$1,Sets!$J$2:$J$2000,"N")=0,"",_xlfn.MAXIFS(Sets!$H$2:$H$2000,Sets!$A$2:$A$2000,$A58,Sets!$D$2:$D$2000,E$1,Sets!$J$2:$J$2000,"N"))</f>
        <v/>
      </c>
      <c r="F58">
        <f>IF(_xlfn.MAXIFS(Sets!$H$2:$H$2000,Sets!$A$2:$A$2000,$A58,Sets!$D$2:$D$2000,F$1,Sets!$J$2:$J$2000,"N")=0,"",_xlfn.MAXIFS(Sets!$H$2:$H$2000,Sets!$A$2:$A$2000,$A58,Sets!$D$2:$D$2000,F$1,Sets!$J$2:$J$2000,"N"))</f>
        <v/>
      </c>
      <c r="G58">
        <f>IF(_xlfn.MAXIFS(Sets!$H$2:$H$2000,Sets!$A$2:$A$2000,$A58,Sets!$D$2:$D$2000,G$1,Sets!$J$2:$J$2000,"N")=0,"",_xlfn.MAXIFS(Sets!$H$2:$H$2000,Sets!$A$2:$A$2000,$A58,Sets!$D$2:$D$2000,G$1,Sets!$J$2:$J$2000,"N"))</f>
        <v/>
      </c>
      <c r="H58">
        <f>IF(_xlfn.MAXIFS(Sets!$H$2:$H$2000,Sets!$A$2:$A$2000,$A58,Sets!$D$2:$D$2000,H$1,Sets!$J$2:$J$2000,"N")=0,"",_xlfn.MAXIFS(Sets!$H$2:$H$2000,Sets!$A$2:$A$2000,$A58,Sets!$D$2:$D$2000,H$1,Sets!$J$2:$J$2000,"N"))</f>
        <v/>
      </c>
      <c r="I58">
        <f>IF(_xlfn.MAXIFS(Sets!$H$2:$H$2000,Sets!$A$2:$A$2000,$A58,Sets!$D$2:$D$2000,I$1,Sets!$J$2:$J$2000,"N")=0,"",_xlfn.MAXIFS(Sets!$H$2:$H$2000,Sets!$A$2:$A$2000,$A58,Sets!$D$2:$D$2000,I$1,Sets!$J$2:$J$2000,"N"))</f>
        <v/>
      </c>
      <c r="J58">
        <f>IF(_xlfn.MAXIFS(Sets!$H$2:$H$2000,Sets!$A$2:$A$2000,$A58,Sets!$D$2:$D$2000,J$1,Sets!$J$2:$J$2000,"N")=0,"",_xlfn.MAXIFS(Sets!$H$2:$H$2000,Sets!$A$2:$A$2000,$A58,Sets!$D$2:$D$2000,J$1,Sets!$J$2:$J$2000,"N"))</f>
        <v/>
      </c>
      <c r="K58">
        <f>IF(_xlfn.MAXIFS(Sets!$H$2:$H$2000,Sets!$A$2:$A$2000,$A58,Sets!$D$2:$D$2000,K$1,Sets!$J$2:$J$2000,"N")=0,"",_xlfn.MAXIFS(Sets!$H$2:$H$2000,Sets!$A$2:$A$2000,$A58,Sets!$D$2:$D$2000,K$1,Sets!$J$2:$J$2000,"N"))</f>
        <v/>
      </c>
      <c r="L58">
        <f>IF(_xlfn.MAXIFS(Sets!$H$2:$H$2000,Sets!$A$2:$A$2000,$A58,Sets!$D$2:$D$2000,L$1,Sets!$J$2:$J$2000,"N")=0,"",_xlfn.MAXIFS(Sets!$H$2:$H$2000,Sets!$A$2:$A$2000,$A58,Sets!$D$2:$D$2000,L$1,Sets!$J$2:$J$2000,"N"))</f>
        <v/>
      </c>
      <c r="M58">
        <f>IF(_xlfn.MAXIFS(Sets!$H$2:$H$2000,Sets!$A$2:$A$2000,$A58,Sets!$D$2:$D$2000,M$1,Sets!$J$2:$J$2000,"N")=0,"",_xlfn.MAXIFS(Sets!$H$2:$H$2000,Sets!$A$2:$A$2000,$A58,Sets!$D$2:$D$2000,M$1,Sets!$J$2:$J$2000,"N"))</f>
        <v/>
      </c>
      <c r="N58">
        <f>IF(_xlfn.MAXIFS(Sets!$H$2:$H$2000,Sets!$A$2:$A$2000,$A58,Sets!$D$2:$D$2000,N$1,Sets!$J$2:$J$2000,"N")=0,"",_xlfn.MAXIFS(Sets!$H$2:$H$2000,Sets!$A$2:$A$2000,$A58,Sets!$D$2:$D$2000,N$1,Sets!$J$2:$J$2000,"N"))</f>
        <v/>
      </c>
      <c r="O58">
        <f>IF(_xlfn.MAXIFS(Sets!$H$2:$H$2000,Sets!$A$2:$A$2000,$A58,Sets!$D$2:$D$2000,O$1,Sets!$J$2:$J$2000,"N")=0,"",_xlfn.MAXIFS(Sets!$H$2:$H$2000,Sets!$A$2:$A$2000,$A58,Sets!$D$2:$D$2000,O$1,Sets!$J$2:$J$2000,"N"))</f>
        <v/>
      </c>
      <c r="P58">
        <f>IF(_xlfn.MAXIFS(Sets!$H$2:$H$2000,Sets!$A$2:$A$2000,$A58,Sets!$D$2:$D$2000,P$1,Sets!$J$2:$J$2000,"N")=0,"",_xlfn.MAXIFS(Sets!$H$2:$H$2000,Sets!$A$2:$A$2000,$A58,Sets!$D$2:$D$2000,P$1,Sets!$J$2:$J$2000,"N"))</f>
        <v/>
      </c>
      <c r="Q58">
        <f>IF(_xlfn.MAXIFS(Sets!$H$2:$H$2000,Sets!$A$2:$A$2000,$A58,Sets!$D$2:$D$2000,Q$1,Sets!$J$2:$J$2000,"N")=0,"",_xlfn.MAXIFS(Sets!$H$2:$H$2000,Sets!$A$2:$A$2000,$A58,Sets!$D$2:$D$2000,Q$1,Sets!$J$2:$J$2000,"N"))</f>
        <v/>
      </c>
      <c r="R58">
        <f>IF(_xlfn.MAXIFS(Sets!$H$2:$H$2000,Sets!$A$2:$A$2000,$A58,Sets!$D$2:$D$2000,R$1,Sets!$J$2:$J$2000,"N")=0,"",_xlfn.MAXIFS(Sets!$H$2:$H$2000,Sets!$A$2:$A$2000,$A58,Sets!$D$2:$D$2000,R$1,Sets!$J$2:$J$2000,"N"))</f>
        <v/>
      </c>
      <c r="S58">
        <f>IF(_xlfn.MAXIFS(Sets!$H$2:$H$2000,Sets!$A$2:$A$2000,$A58,Sets!$D$2:$D$2000,S$1,Sets!$J$2:$J$2000,"N")=0,"",_xlfn.MAXIFS(Sets!$H$2:$H$2000,Sets!$A$2:$A$2000,$A58,Sets!$D$2:$D$2000,S$1,Sets!$J$2:$J$2000,"N"))</f>
        <v/>
      </c>
      <c r="T58">
        <f>IF(_xlfn.MAXIFS(Sets!$H$2:$H$2000,Sets!$A$2:$A$2000,$A58,Sets!$D$2:$D$2000,T$1,Sets!$J$2:$J$2000,"N")=0,"",_xlfn.MAXIFS(Sets!$H$2:$H$2000,Sets!$A$2:$A$2000,$A58,Sets!$D$2:$D$2000,T$1,Sets!$J$2:$J$2000,"N"))</f>
        <v/>
      </c>
      <c r="U58">
        <f>IF(_xlfn.MAXIFS(Sets!$H$2:$H$2000,Sets!$A$2:$A$2000,$A58,Sets!$D$2:$D$2000,U$1,Sets!$J$2:$J$2000,"N")=0,"",_xlfn.MAXIFS(Sets!$H$2:$H$2000,Sets!$A$2:$A$2000,$A58,Sets!$D$2:$D$2000,U$1,Sets!$J$2:$J$2000,"N"))</f>
        <v/>
      </c>
      <c r="V58">
        <f>IF(_xlfn.MAXIFS(Sets!$H$2:$H$2000,Sets!$A$2:$A$2000,$A58,Sets!$D$2:$D$2000,V$1,Sets!$J$2:$J$2000,"N")=0,"",_xlfn.MAXIFS(Sets!$H$2:$H$2000,Sets!$A$2:$A$2000,$A58,Sets!$D$2:$D$2000,V$1,Sets!$J$2:$J$2000,"N"))</f>
        <v/>
      </c>
      <c r="W58">
        <f>IF(_xlfn.MAXIFS(Sets!$H$2:$H$2000,Sets!$A$2:$A$2000,$A58,Sets!$D$2:$D$2000,W$1,Sets!$J$2:$J$2000,"N")=0,"",_xlfn.MAXIFS(Sets!$H$2:$H$2000,Sets!$A$2:$A$2000,$A58,Sets!$D$2:$D$2000,W$1,Sets!$J$2:$J$2000,"N"))</f>
        <v/>
      </c>
      <c r="X58">
        <f>IF(_xlfn.MAXIFS(Sets!$H$2:$H$2000,Sets!$A$2:$A$2000,$A58,Sets!$D$2:$D$2000,X$1,Sets!$J$2:$J$2000,"N")=0,"",_xlfn.MAXIFS(Sets!$H$2:$H$2000,Sets!$A$2:$A$2000,$A58,Sets!$D$2:$D$2000,X$1,Sets!$J$2:$J$2000,"N"))</f>
        <v/>
      </c>
      <c r="Y58">
        <f>IF(_xlfn.MAXIFS(Sets!$H$2:$H$2000,Sets!$A$2:$A$2000,$A58,Sets!$D$2:$D$2000,Y$1,Sets!$J$2:$J$2000,"N")=0,"",_xlfn.MAXIFS(Sets!$H$2:$H$2000,Sets!$A$2:$A$2000,$A58,Sets!$D$2:$D$2000,Y$1,Sets!$J$2:$J$2000,"N"))</f>
        <v/>
      </c>
      <c r="Z58">
        <f>IF(_xlfn.MAXIFS(Sets!$H$2:$H$2000,Sets!$A$2:$A$2000,$A58,Sets!$D$2:$D$2000,Z$1,Sets!$J$2:$J$2000,"N")=0,"",_xlfn.MAXIFS(Sets!$H$2:$H$2000,Sets!$A$2:$A$2000,$A58,Sets!$D$2:$D$2000,Z$1,Sets!$J$2:$J$2000,"N"))</f>
        <v/>
      </c>
      <c r="AA58">
        <f>IF(_xlfn.MAXIFS(Sets!$H$2:$H$2000,Sets!$A$2:$A$2000,$A58,Sets!$D$2:$D$2000,AA$1,Sets!$J$2:$J$2000,"N")=0,"",_xlfn.MAXIFS(Sets!$H$2:$H$2000,Sets!$A$2:$A$2000,$A58,Sets!$D$2:$D$2000,AA$1,Sets!$J$2:$J$2000,"N"))</f>
        <v/>
      </c>
      <c r="AB58">
        <f>IF(_xlfn.MAXIFS(Sets!$H$2:$H$2000,Sets!$A$2:$A$2000,$A58,Sets!$D$2:$D$2000,AB$1,Sets!$J$2:$J$2000,"N")=0,"",_xlfn.MAXIFS(Sets!$H$2:$H$2000,Sets!$A$2:$A$2000,$A58,Sets!$D$2:$D$2000,AB$1,Sets!$J$2:$J$2000,"N"))</f>
        <v/>
      </c>
      <c r="AC58">
        <f>IF(_xlfn.MAXIFS(Sets!$H$2:$H$2000,Sets!$A$2:$A$2000,$A58,Sets!$D$2:$D$2000,AC$1,Sets!$J$2:$J$2000,"N")=0,"",_xlfn.MAXIFS(Sets!$H$2:$H$2000,Sets!$A$2:$A$2000,$A58,Sets!$D$2:$D$2000,AC$1,Sets!$J$2:$J$2000,"N"))</f>
        <v/>
      </c>
      <c r="AD58">
        <f>IF(_xlfn.MAXIFS(Sets!$H$2:$H$2000,Sets!$A$2:$A$2000,$A58,Sets!$D$2:$D$2000,AD$1,Sets!$J$2:$J$2000,"N")=0,"",_xlfn.MAXIFS(Sets!$H$2:$H$2000,Sets!$A$2:$A$2000,$A58,Sets!$D$2:$D$2000,AD$1,Sets!$J$2:$J$2000,"N"))</f>
        <v/>
      </c>
      <c r="AE58">
        <f>IF(_xlfn.MAXIFS(Sets!$H$2:$H$2000,Sets!$A$2:$A$2000,$A58,Sets!$D$2:$D$2000,AE$1,Sets!$J$2:$J$2000,"N")=0,"",_xlfn.MAXIFS(Sets!$H$2:$H$2000,Sets!$A$2:$A$2000,$A58,Sets!$D$2:$D$2000,AE$1,Sets!$J$2:$J$2000,"N"))</f>
        <v/>
      </c>
      <c r="AF58">
        <f>IF(_xlfn.MAXIFS(Sets!$H$2:$H$2000,Sets!$A$2:$A$2000,$A58,Sets!$D$2:$D$2000,AF$1,Sets!$J$2:$J$2000,"N")=0,"",_xlfn.MAXIFS(Sets!$H$2:$H$2000,Sets!$A$2:$A$2000,$A58,Sets!$D$2:$D$2000,AF$1,Sets!$J$2:$J$2000,"N"))</f>
        <v/>
      </c>
      <c r="AG58">
        <f>IF(_xlfn.MAXIFS(Sets!$H$2:$H$2000,Sets!$A$2:$A$2000,$A58,Sets!$D$2:$D$2000,AG$1,Sets!$J$2:$J$2000,"N")=0,"",_xlfn.MAXIFS(Sets!$H$2:$H$2000,Sets!$A$2:$A$2000,$A58,Sets!$D$2:$D$2000,AG$1,Sets!$J$2:$J$2000,"N"))</f>
        <v/>
      </c>
      <c r="AH58">
        <f>IF(_xlfn.MAXIFS(Sets!$H$2:$H$2000,Sets!$A$2:$A$2000,$A58,Sets!$D$2:$D$2000,AH$1,Sets!$J$2:$J$2000,"N")=0,"",_xlfn.MAXIFS(Sets!$H$2:$H$2000,Sets!$A$2:$A$2000,$A58,Sets!$D$2:$D$2000,AH$1,Sets!$J$2:$J$2000,"N"))</f>
        <v/>
      </c>
      <c r="AI58">
        <f>IF(_xlfn.MAXIFS(Sets!$H$2:$H$2000,Sets!$A$2:$A$2000,$A58,Sets!$D$2:$D$2000,AI$1,Sets!$J$2:$J$2000,"N")=0,"",_xlfn.MAXIFS(Sets!$H$2:$H$2000,Sets!$A$2:$A$2000,$A58,Sets!$D$2:$D$2000,AI$1,Sets!$J$2:$J$2000,"N"))</f>
        <v/>
      </c>
      <c r="AJ58">
        <f>IF(_xlfn.MAXIFS(Sets!$H$2:$H$2000,Sets!$A$2:$A$2000,$A58,Sets!$D$2:$D$2000,AJ$1,Sets!$J$2:$J$2000,"N")=0,"",_xlfn.MAXIFS(Sets!$H$2:$H$2000,Sets!$A$2:$A$2000,$A58,Sets!$D$2:$D$2000,AJ$1,Sets!$J$2:$J$2000,"N"))</f>
        <v/>
      </c>
      <c r="AK58">
        <f>IF(_xlfn.MAXIFS(Sets!$H$2:$H$2000,Sets!$A$2:$A$2000,$A58,Sets!$D$2:$D$2000,AK$1,Sets!$J$2:$J$2000,"N")=0,"",_xlfn.MAXIFS(Sets!$H$2:$H$2000,Sets!$A$2:$A$2000,$A58,Sets!$D$2:$D$2000,AK$1,Sets!$J$2:$J$2000,"N"))</f>
        <v/>
      </c>
      <c r="AL58">
        <f>IF(_xlfn.MAXIFS(Sets!$H$2:$H$2000,Sets!$A$2:$A$2000,$A58,Sets!$D$2:$D$2000,AL$1,Sets!$J$2:$J$2000,"N")=0,"",_xlfn.MAXIFS(Sets!$H$2:$H$2000,Sets!$A$2:$A$2000,$A58,Sets!$D$2:$D$2000,AL$1,Sets!$J$2:$J$2000,"N"))</f>
        <v/>
      </c>
      <c r="AM58">
        <f>IF(_xlfn.MAXIFS(Sets!$H$2:$H$2000,Sets!$A$2:$A$2000,$A58,Sets!$D$2:$D$2000,AM$1,Sets!$J$2:$J$2000,"N")=0,"",_xlfn.MAXIFS(Sets!$H$2:$H$2000,Sets!$A$2:$A$2000,$A58,Sets!$D$2:$D$2000,AM$1,Sets!$J$2:$J$2000,"N"))</f>
        <v/>
      </c>
      <c r="AN58">
        <f>IF(_xlfn.MAXIFS(Sets!$H$2:$H$2000,Sets!$A$2:$A$2000,$A58,Sets!$D$2:$D$2000,AN$1,Sets!$J$2:$J$2000,"N")=0,"",_xlfn.MAXIFS(Sets!$H$2:$H$2000,Sets!$A$2:$A$2000,$A58,Sets!$D$2:$D$2000,AN$1,Sets!$J$2:$J$2000,"N"))</f>
        <v/>
      </c>
      <c r="AO58">
        <f>IF(_xlfn.MAXIFS(Sets!$H$2:$H$2000,Sets!$A$2:$A$2000,$A58,Sets!$D$2:$D$2000,AO$1,Sets!$J$2:$J$2000,"N")=0,"",_xlfn.MAXIFS(Sets!$H$2:$H$2000,Sets!$A$2:$A$2000,$A58,Sets!$D$2:$D$2000,AO$1,Sets!$J$2:$J$2000,"N"))</f>
        <v/>
      </c>
      <c r="AP58">
        <f>IF(_xlfn.MAXIFS(Sets!$H$2:$H$2000,Sets!$A$2:$A$2000,$A58,Sets!$D$2:$D$2000,AP$1,Sets!$J$2:$J$2000,"N")=0,"",_xlfn.MAXIFS(Sets!$H$2:$H$2000,Sets!$A$2:$A$2000,$A58,Sets!$D$2:$D$2000,AP$1,Sets!$J$2:$J$2000,"N"))</f>
        <v/>
      </c>
    </row>
    <row r="59">
      <c r="A59" s="36" t="n">
        <v>46238</v>
      </c>
      <c r="B59">
        <f>IF(_xlfn.MAXIFS(Sets!$H$2:$H$2000,Sets!$A$2:$A$2000,$A59,Sets!$D$2:$D$2000,B$1,Sets!$J$2:$J$2000,"N")=0,"",_xlfn.MAXIFS(Sets!$H$2:$H$2000,Sets!$A$2:$A$2000,$A59,Sets!$D$2:$D$2000,B$1,Sets!$J$2:$J$2000,"N"))</f>
        <v/>
      </c>
      <c r="C59">
        <f>IF(_xlfn.MAXIFS(Sets!$H$2:$H$2000,Sets!$A$2:$A$2000,$A59,Sets!$D$2:$D$2000,C$1,Sets!$J$2:$J$2000,"N")=0,"",_xlfn.MAXIFS(Sets!$H$2:$H$2000,Sets!$A$2:$A$2000,$A59,Sets!$D$2:$D$2000,C$1,Sets!$J$2:$J$2000,"N"))</f>
        <v/>
      </c>
      <c r="D59">
        <f>IF(_xlfn.MAXIFS(Sets!$H$2:$H$2000,Sets!$A$2:$A$2000,$A59,Sets!$D$2:$D$2000,D$1,Sets!$J$2:$J$2000,"N")=0,"",_xlfn.MAXIFS(Sets!$H$2:$H$2000,Sets!$A$2:$A$2000,$A59,Sets!$D$2:$D$2000,D$1,Sets!$J$2:$J$2000,"N"))</f>
        <v/>
      </c>
      <c r="E59">
        <f>IF(_xlfn.MAXIFS(Sets!$H$2:$H$2000,Sets!$A$2:$A$2000,$A59,Sets!$D$2:$D$2000,E$1,Sets!$J$2:$J$2000,"N")=0,"",_xlfn.MAXIFS(Sets!$H$2:$H$2000,Sets!$A$2:$A$2000,$A59,Sets!$D$2:$D$2000,E$1,Sets!$J$2:$J$2000,"N"))</f>
        <v/>
      </c>
      <c r="F59">
        <f>IF(_xlfn.MAXIFS(Sets!$H$2:$H$2000,Sets!$A$2:$A$2000,$A59,Sets!$D$2:$D$2000,F$1,Sets!$J$2:$J$2000,"N")=0,"",_xlfn.MAXIFS(Sets!$H$2:$H$2000,Sets!$A$2:$A$2000,$A59,Sets!$D$2:$D$2000,F$1,Sets!$J$2:$J$2000,"N"))</f>
        <v/>
      </c>
      <c r="G59">
        <f>IF(_xlfn.MAXIFS(Sets!$H$2:$H$2000,Sets!$A$2:$A$2000,$A59,Sets!$D$2:$D$2000,G$1,Sets!$J$2:$J$2000,"N")=0,"",_xlfn.MAXIFS(Sets!$H$2:$H$2000,Sets!$A$2:$A$2000,$A59,Sets!$D$2:$D$2000,G$1,Sets!$J$2:$J$2000,"N"))</f>
        <v/>
      </c>
      <c r="H59">
        <f>IF(_xlfn.MAXIFS(Sets!$H$2:$H$2000,Sets!$A$2:$A$2000,$A59,Sets!$D$2:$D$2000,H$1,Sets!$J$2:$J$2000,"N")=0,"",_xlfn.MAXIFS(Sets!$H$2:$H$2000,Sets!$A$2:$A$2000,$A59,Sets!$D$2:$D$2000,H$1,Sets!$J$2:$J$2000,"N"))</f>
        <v/>
      </c>
      <c r="I59">
        <f>IF(_xlfn.MAXIFS(Sets!$H$2:$H$2000,Sets!$A$2:$A$2000,$A59,Sets!$D$2:$D$2000,I$1,Sets!$J$2:$J$2000,"N")=0,"",_xlfn.MAXIFS(Sets!$H$2:$H$2000,Sets!$A$2:$A$2000,$A59,Sets!$D$2:$D$2000,I$1,Sets!$J$2:$J$2000,"N"))</f>
        <v/>
      </c>
      <c r="J59">
        <f>IF(_xlfn.MAXIFS(Sets!$H$2:$H$2000,Sets!$A$2:$A$2000,$A59,Sets!$D$2:$D$2000,J$1,Sets!$J$2:$J$2000,"N")=0,"",_xlfn.MAXIFS(Sets!$H$2:$H$2000,Sets!$A$2:$A$2000,$A59,Sets!$D$2:$D$2000,J$1,Sets!$J$2:$J$2000,"N"))</f>
        <v/>
      </c>
      <c r="K59">
        <f>IF(_xlfn.MAXIFS(Sets!$H$2:$H$2000,Sets!$A$2:$A$2000,$A59,Sets!$D$2:$D$2000,K$1,Sets!$J$2:$J$2000,"N")=0,"",_xlfn.MAXIFS(Sets!$H$2:$H$2000,Sets!$A$2:$A$2000,$A59,Sets!$D$2:$D$2000,K$1,Sets!$J$2:$J$2000,"N"))</f>
        <v/>
      </c>
      <c r="L59">
        <f>IF(_xlfn.MAXIFS(Sets!$H$2:$H$2000,Sets!$A$2:$A$2000,$A59,Sets!$D$2:$D$2000,L$1,Sets!$J$2:$J$2000,"N")=0,"",_xlfn.MAXIFS(Sets!$H$2:$H$2000,Sets!$A$2:$A$2000,$A59,Sets!$D$2:$D$2000,L$1,Sets!$J$2:$J$2000,"N"))</f>
        <v/>
      </c>
      <c r="M59">
        <f>IF(_xlfn.MAXIFS(Sets!$H$2:$H$2000,Sets!$A$2:$A$2000,$A59,Sets!$D$2:$D$2000,M$1,Sets!$J$2:$J$2000,"N")=0,"",_xlfn.MAXIFS(Sets!$H$2:$H$2000,Sets!$A$2:$A$2000,$A59,Sets!$D$2:$D$2000,M$1,Sets!$J$2:$J$2000,"N"))</f>
        <v/>
      </c>
      <c r="N59">
        <f>IF(_xlfn.MAXIFS(Sets!$H$2:$H$2000,Sets!$A$2:$A$2000,$A59,Sets!$D$2:$D$2000,N$1,Sets!$J$2:$J$2000,"N")=0,"",_xlfn.MAXIFS(Sets!$H$2:$H$2000,Sets!$A$2:$A$2000,$A59,Sets!$D$2:$D$2000,N$1,Sets!$J$2:$J$2000,"N"))</f>
        <v/>
      </c>
      <c r="O59">
        <f>IF(_xlfn.MAXIFS(Sets!$H$2:$H$2000,Sets!$A$2:$A$2000,$A59,Sets!$D$2:$D$2000,O$1,Sets!$J$2:$J$2000,"N")=0,"",_xlfn.MAXIFS(Sets!$H$2:$H$2000,Sets!$A$2:$A$2000,$A59,Sets!$D$2:$D$2000,O$1,Sets!$J$2:$J$2000,"N"))</f>
        <v/>
      </c>
      <c r="P59">
        <f>IF(_xlfn.MAXIFS(Sets!$H$2:$H$2000,Sets!$A$2:$A$2000,$A59,Sets!$D$2:$D$2000,P$1,Sets!$J$2:$J$2000,"N")=0,"",_xlfn.MAXIFS(Sets!$H$2:$H$2000,Sets!$A$2:$A$2000,$A59,Sets!$D$2:$D$2000,P$1,Sets!$J$2:$J$2000,"N"))</f>
        <v/>
      </c>
      <c r="Q59">
        <f>IF(_xlfn.MAXIFS(Sets!$H$2:$H$2000,Sets!$A$2:$A$2000,$A59,Sets!$D$2:$D$2000,Q$1,Sets!$J$2:$J$2000,"N")=0,"",_xlfn.MAXIFS(Sets!$H$2:$H$2000,Sets!$A$2:$A$2000,$A59,Sets!$D$2:$D$2000,Q$1,Sets!$J$2:$J$2000,"N"))</f>
        <v/>
      </c>
      <c r="R59">
        <f>IF(_xlfn.MAXIFS(Sets!$H$2:$H$2000,Sets!$A$2:$A$2000,$A59,Sets!$D$2:$D$2000,R$1,Sets!$J$2:$J$2000,"N")=0,"",_xlfn.MAXIFS(Sets!$H$2:$H$2000,Sets!$A$2:$A$2000,$A59,Sets!$D$2:$D$2000,R$1,Sets!$J$2:$J$2000,"N"))</f>
        <v/>
      </c>
      <c r="S59">
        <f>IF(_xlfn.MAXIFS(Sets!$H$2:$H$2000,Sets!$A$2:$A$2000,$A59,Sets!$D$2:$D$2000,S$1,Sets!$J$2:$J$2000,"N")=0,"",_xlfn.MAXIFS(Sets!$H$2:$H$2000,Sets!$A$2:$A$2000,$A59,Sets!$D$2:$D$2000,S$1,Sets!$J$2:$J$2000,"N"))</f>
        <v/>
      </c>
      <c r="T59">
        <f>IF(_xlfn.MAXIFS(Sets!$H$2:$H$2000,Sets!$A$2:$A$2000,$A59,Sets!$D$2:$D$2000,T$1,Sets!$J$2:$J$2000,"N")=0,"",_xlfn.MAXIFS(Sets!$H$2:$H$2000,Sets!$A$2:$A$2000,$A59,Sets!$D$2:$D$2000,T$1,Sets!$J$2:$J$2000,"N"))</f>
        <v/>
      </c>
      <c r="U59">
        <f>IF(_xlfn.MAXIFS(Sets!$H$2:$H$2000,Sets!$A$2:$A$2000,$A59,Sets!$D$2:$D$2000,U$1,Sets!$J$2:$J$2000,"N")=0,"",_xlfn.MAXIFS(Sets!$H$2:$H$2000,Sets!$A$2:$A$2000,$A59,Sets!$D$2:$D$2000,U$1,Sets!$J$2:$J$2000,"N"))</f>
        <v/>
      </c>
      <c r="V59">
        <f>IF(_xlfn.MAXIFS(Sets!$H$2:$H$2000,Sets!$A$2:$A$2000,$A59,Sets!$D$2:$D$2000,V$1,Sets!$J$2:$J$2000,"N")=0,"",_xlfn.MAXIFS(Sets!$H$2:$H$2000,Sets!$A$2:$A$2000,$A59,Sets!$D$2:$D$2000,V$1,Sets!$J$2:$J$2000,"N"))</f>
        <v/>
      </c>
      <c r="W59">
        <f>IF(_xlfn.MAXIFS(Sets!$H$2:$H$2000,Sets!$A$2:$A$2000,$A59,Sets!$D$2:$D$2000,W$1,Sets!$J$2:$J$2000,"N")=0,"",_xlfn.MAXIFS(Sets!$H$2:$H$2000,Sets!$A$2:$A$2000,$A59,Sets!$D$2:$D$2000,W$1,Sets!$J$2:$J$2000,"N"))</f>
        <v/>
      </c>
      <c r="X59">
        <f>IF(_xlfn.MAXIFS(Sets!$H$2:$H$2000,Sets!$A$2:$A$2000,$A59,Sets!$D$2:$D$2000,X$1,Sets!$J$2:$J$2000,"N")=0,"",_xlfn.MAXIFS(Sets!$H$2:$H$2000,Sets!$A$2:$A$2000,$A59,Sets!$D$2:$D$2000,X$1,Sets!$J$2:$J$2000,"N"))</f>
        <v/>
      </c>
      <c r="Y59">
        <f>IF(_xlfn.MAXIFS(Sets!$H$2:$H$2000,Sets!$A$2:$A$2000,$A59,Sets!$D$2:$D$2000,Y$1,Sets!$J$2:$J$2000,"N")=0,"",_xlfn.MAXIFS(Sets!$H$2:$H$2000,Sets!$A$2:$A$2000,$A59,Sets!$D$2:$D$2000,Y$1,Sets!$J$2:$J$2000,"N"))</f>
        <v/>
      </c>
      <c r="Z59">
        <f>IF(_xlfn.MAXIFS(Sets!$H$2:$H$2000,Sets!$A$2:$A$2000,$A59,Sets!$D$2:$D$2000,Z$1,Sets!$J$2:$J$2000,"N")=0,"",_xlfn.MAXIFS(Sets!$H$2:$H$2000,Sets!$A$2:$A$2000,$A59,Sets!$D$2:$D$2000,Z$1,Sets!$J$2:$J$2000,"N"))</f>
        <v/>
      </c>
      <c r="AA59">
        <f>IF(_xlfn.MAXIFS(Sets!$H$2:$H$2000,Sets!$A$2:$A$2000,$A59,Sets!$D$2:$D$2000,AA$1,Sets!$J$2:$J$2000,"N")=0,"",_xlfn.MAXIFS(Sets!$H$2:$H$2000,Sets!$A$2:$A$2000,$A59,Sets!$D$2:$D$2000,AA$1,Sets!$J$2:$J$2000,"N"))</f>
        <v/>
      </c>
      <c r="AB59">
        <f>IF(_xlfn.MAXIFS(Sets!$H$2:$H$2000,Sets!$A$2:$A$2000,$A59,Sets!$D$2:$D$2000,AB$1,Sets!$J$2:$J$2000,"N")=0,"",_xlfn.MAXIFS(Sets!$H$2:$H$2000,Sets!$A$2:$A$2000,$A59,Sets!$D$2:$D$2000,AB$1,Sets!$J$2:$J$2000,"N"))</f>
        <v/>
      </c>
      <c r="AC59">
        <f>IF(_xlfn.MAXIFS(Sets!$H$2:$H$2000,Sets!$A$2:$A$2000,$A59,Sets!$D$2:$D$2000,AC$1,Sets!$J$2:$J$2000,"N")=0,"",_xlfn.MAXIFS(Sets!$H$2:$H$2000,Sets!$A$2:$A$2000,$A59,Sets!$D$2:$D$2000,AC$1,Sets!$J$2:$J$2000,"N"))</f>
        <v/>
      </c>
      <c r="AD59">
        <f>IF(_xlfn.MAXIFS(Sets!$H$2:$H$2000,Sets!$A$2:$A$2000,$A59,Sets!$D$2:$D$2000,AD$1,Sets!$J$2:$J$2000,"N")=0,"",_xlfn.MAXIFS(Sets!$H$2:$H$2000,Sets!$A$2:$A$2000,$A59,Sets!$D$2:$D$2000,AD$1,Sets!$J$2:$J$2000,"N"))</f>
        <v/>
      </c>
      <c r="AE59">
        <f>IF(_xlfn.MAXIFS(Sets!$H$2:$H$2000,Sets!$A$2:$A$2000,$A59,Sets!$D$2:$D$2000,AE$1,Sets!$J$2:$J$2000,"N")=0,"",_xlfn.MAXIFS(Sets!$H$2:$H$2000,Sets!$A$2:$A$2000,$A59,Sets!$D$2:$D$2000,AE$1,Sets!$J$2:$J$2000,"N"))</f>
        <v/>
      </c>
      <c r="AF59">
        <f>IF(_xlfn.MAXIFS(Sets!$H$2:$H$2000,Sets!$A$2:$A$2000,$A59,Sets!$D$2:$D$2000,AF$1,Sets!$J$2:$J$2000,"N")=0,"",_xlfn.MAXIFS(Sets!$H$2:$H$2000,Sets!$A$2:$A$2000,$A59,Sets!$D$2:$D$2000,AF$1,Sets!$J$2:$J$2000,"N"))</f>
        <v/>
      </c>
      <c r="AG59">
        <f>IF(_xlfn.MAXIFS(Sets!$H$2:$H$2000,Sets!$A$2:$A$2000,$A59,Sets!$D$2:$D$2000,AG$1,Sets!$J$2:$J$2000,"N")=0,"",_xlfn.MAXIFS(Sets!$H$2:$H$2000,Sets!$A$2:$A$2000,$A59,Sets!$D$2:$D$2000,AG$1,Sets!$J$2:$J$2000,"N"))</f>
        <v/>
      </c>
      <c r="AH59">
        <f>IF(_xlfn.MAXIFS(Sets!$H$2:$H$2000,Sets!$A$2:$A$2000,$A59,Sets!$D$2:$D$2000,AH$1,Sets!$J$2:$J$2000,"N")=0,"",_xlfn.MAXIFS(Sets!$H$2:$H$2000,Sets!$A$2:$A$2000,$A59,Sets!$D$2:$D$2000,AH$1,Sets!$J$2:$J$2000,"N"))</f>
        <v/>
      </c>
      <c r="AI59">
        <f>IF(_xlfn.MAXIFS(Sets!$H$2:$H$2000,Sets!$A$2:$A$2000,$A59,Sets!$D$2:$D$2000,AI$1,Sets!$J$2:$J$2000,"N")=0,"",_xlfn.MAXIFS(Sets!$H$2:$H$2000,Sets!$A$2:$A$2000,$A59,Sets!$D$2:$D$2000,AI$1,Sets!$J$2:$J$2000,"N"))</f>
        <v/>
      </c>
      <c r="AJ59">
        <f>IF(_xlfn.MAXIFS(Sets!$H$2:$H$2000,Sets!$A$2:$A$2000,$A59,Sets!$D$2:$D$2000,AJ$1,Sets!$J$2:$J$2000,"N")=0,"",_xlfn.MAXIFS(Sets!$H$2:$H$2000,Sets!$A$2:$A$2000,$A59,Sets!$D$2:$D$2000,AJ$1,Sets!$J$2:$J$2000,"N"))</f>
        <v/>
      </c>
      <c r="AK59">
        <f>IF(_xlfn.MAXIFS(Sets!$H$2:$H$2000,Sets!$A$2:$A$2000,$A59,Sets!$D$2:$D$2000,AK$1,Sets!$J$2:$J$2000,"N")=0,"",_xlfn.MAXIFS(Sets!$H$2:$H$2000,Sets!$A$2:$A$2000,$A59,Sets!$D$2:$D$2000,AK$1,Sets!$J$2:$J$2000,"N"))</f>
        <v/>
      </c>
      <c r="AL59">
        <f>IF(_xlfn.MAXIFS(Sets!$H$2:$H$2000,Sets!$A$2:$A$2000,$A59,Sets!$D$2:$D$2000,AL$1,Sets!$J$2:$J$2000,"N")=0,"",_xlfn.MAXIFS(Sets!$H$2:$H$2000,Sets!$A$2:$A$2000,$A59,Sets!$D$2:$D$2000,AL$1,Sets!$J$2:$J$2000,"N"))</f>
        <v/>
      </c>
      <c r="AM59">
        <f>IF(_xlfn.MAXIFS(Sets!$H$2:$H$2000,Sets!$A$2:$A$2000,$A59,Sets!$D$2:$D$2000,AM$1,Sets!$J$2:$J$2000,"N")=0,"",_xlfn.MAXIFS(Sets!$H$2:$H$2000,Sets!$A$2:$A$2000,$A59,Sets!$D$2:$D$2000,AM$1,Sets!$J$2:$J$2000,"N"))</f>
        <v/>
      </c>
      <c r="AN59">
        <f>IF(_xlfn.MAXIFS(Sets!$H$2:$H$2000,Sets!$A$2:$A$2000,$A59,Sets!$D$2:$D$2000,AN$1,Sets!$J$2:$J$2000,"N")=0,"",_xlfn.MAXIFS(Sets!$H$2:$H$2000,Sets!$A$2:$A$2000,$A59,Sets!$D$2:$D$2000,AN$1,Sets!$J$2:$J$2000,"N"))</f>
        <v/>
      </c>
      <c r="AO59">
        <f>IF(_xlfn.MAXIFS(Sets!$H$2:$H$2000,Sets!$A$2:$A$2000,$A59,Sets!$D$2:$D$2000,AO$1,Sets!$J$2:$J$2000,"N")=0,"",_xlfn.MAXIFS(Sets!$H$2:$H$2000,Sets!$A$2:$A$2000,$A59,Sets!$D$2:$D$2000,AO$1,Sets!$J$2:$J$2000,"N"))</f>
        <v/>
      </c>
      <c r="AP59">
        <f>IF(_xlfn.MAXIFS(Sets!$H$2:$H$2000,Sets!$A$2:$A$2000,$A59,Sets!$D$2:$D$2000,AP$1,Sets!$J$2:$J$2000,"N")=0,"",_xlfn.MAXIFS(Sets!$H$2:$H$2000,Sets!$A$2:$A$2000,$A59,Sets!$D$2:$D$2000,AP$1,Sets!$J$2:$J$2000,"N"))</f>
        <v/>
      </c>
    </row>
    <row r="60">
      <c r="A60" s="36" t="n">
        <v>46240</v>
      </c>
      <c r="B60">
        <f>IF(_xlfn.MAXIFS(Sets!$H$2:$H$2000,Sets!$A$2:$A$2000,$A60,Sets!$D$2:$D$2000,B$1,Sets!$J$2:$J$2000,"N")=0,"",_xlfn.MAXIFS(Sets!$H$2:$H$2000,Sets!$A$2:$A$2000,$A60,Sets!$D$2:$D$2000,B$1,Sets!$J$2:$J$2000,"N"))</f>
        <v/>
      </c>
      <c r="C60">
        <f>IF(_xlfn.MAXIFS(Sets!$H$2:$H$2000,Sets!$A$2:$A$2000,$A60,Sets!$D$2:$D$2000,C$1,Sets!$J$2:$J$2000,"N")=0,"",_xlfn.MAXIFS(Sets!$H$2:$H$2000,Sets!$A$2:$A$2000,$A60,Sets!$D$2:$D$2000,C$1,Sets!$J$2:$J$2000,"N"))</f>
        <v/>
      </c>
      <c r="D60">
        <f>IF(_xlfn.MAXIFS(Sets!$H$2:$H$2000,Sets!$A$2:$A$2000,$A60,Sets!$D$2:$D$2000,D$1,Sets!$J$2:$J$2000,"N")=0,"",_xlfn.MAXIFS(Sets!$H$2:$H$2000,Sets!$A$2:$A$2000,$A60,Sets!$D$2:$D$2000,D$1,Sets!$J$2:$J$2000,"N"))</f>
        <v/>
      </c>
      <c r="E60">
        <f>IF(_xlfn.MAXIFS(Sets!$H$2:$H$2000,Sets!$A$2:$A$2000,$A60,Sets!$D$2:$D$2000,E$1,Sets!$J$2:$J$2000,"N")=0,"",_xlfn.MAXIFS(Sets!$H$2:$H$2000,Sets!$A$2:$A$2000,$A60,Sets!$D$2:$D$2000,E$1,Sets!$J$2:$J$2000,"N"))</f>
        <v/>
      </c>
      <c r="F60">
        <f>IF(_xlfn.MAXIFS(Sets!$H$2:$H$2000,Sets!$A$2:$A$2000,$A60,Sets!$D$2:$D$2000,F$1,Sets!$J$2:$J$2000,"N")=0,"",_xlfn.MAXIFS(Sets!$H$2:$H$2000,Sets!$A$2:$A$2000,$A60,Sets!$D$2:$D$2000,F$1,Sets!$J$2:$J$2000,"N"))</f>
        <v/>
      </c>
      <c r="G60">
        <f>IF(_xlfn.MAXIFS(Sets!$H$2:$H$2000,Sets!$A$2:$A$2000,$A60,Sets!$D$2:$D$2000,G$1,Sets!$J$2:$J$2000,"N")=0,"",_xlfn.MAXIFS(Sets!$H$2:$H$2000,Sets!$A$2:$A$2000,$A60,Sets!$D$2:$D$2000,G$1,Sets!$J$2:$J$2000,"N"))</f>
        <v/>
      </c>
      <c r="H60">
        <f>IF(_xlfn.MAXIFS(Sets!$H$2:$H$2000,Sets!$A$2:$A$2000,$A60,Sets!$D$2:$D$2000,H$1,Sets!$J$2:$J$2000,"N")=0,"",_xlfn.MAXIFS(Sets!$H$2:$H$2000,Sets!$A$2:$A$2000,$A60,Sets!$D$2:$D$2000,H$1,Sets!$J$2:$J$2000,"N"))</f>
        <v/>
      </c>
      <c r="I60">
        <f>IF(_xlfn.MAXIFS(Sets!$H$2:$H$2000,Sets!$A$2:$A$2000,$A60,Sets!$D$2:$D$2000,I$1,Sets!$J$2:$J$2000,"N")=0,"",_xlfn.MAXIFS(Sets!$H$2:$H$2000,Sets!$A$2:$A$2000,$A60,Sets!$D$2:$D$2000,I$1,Sets!$J$2:$J$2000,"N"))</f>
        <v/>
      </c>
      <c r="J60">
        <f>IF(_xlfn.MAXIFS(Sets!$H$2:$H$2000,Sets!$A$2:$A$2000,$A60,Sets!$D$2:$D$2000,J$1,Sets!$J$2:$J$2000,"N")=0,"",_xlfn.MAXIFS(Sets!$H$2:$H$2000,Sets!$A$2:$A$2000,$A60,Sets!$D$2:$D$2000,J$1,Sets!$J$2:$J$2000,"N"))</f>
        <v/>
      </c>
      <c r="K60">
        <f>IF(_xlfn.MAXIFS(Sets!$H$2:$H$2000,Sets!$A$2:$A$2000,$A60,Sets!$D$2:$D$2000,K$1,Sets!$J$2:$J$2000,"N")=0,"",_xlfn.MAXIFS(Sets!$H$2:$H$2000,Sets!$A$2:$A$2000,$A60,Sets!$D$2:$D$2000,K$1,Sets!$J$2:$J$2000,"N"))</f>
        <v/>
      </c>
      <c r="L60">
        <f>IF(_xlfn.MAXIFS(Sets!$H$2:$H$2000,Sets!$A$2:$A$2000,$A60,Sets!$D$2:$D$2000,L$1,Sets!$J$2:$J$2000,"N")=0,"",_xlfn.MAXIFS(Sets!$H$2:$H$2000,Sets!$A$2:$A$2000,$A60,Sets!$D$2:$D$2000,L$1,Sets!$J$2:$J$2000,"N"))</f>
        <v/>
      </c>
      <c r="M60">
        <f>IF(_xlfn.MAXIFS(Sets!$H$2:$H$2000,Sets!$A$2:$A$2000,$A60,Sets!$D$2:$D$2000,M$1,Sets!$J$2:$J$2000,"N")=0,"",_xlfn.MAXIFS(Sets!$H$2:$H$2000,Sets!$A$2:$A$2000,$A60,Sets!$D$2:$D$2000,M$1,Sets!$J$2:$J$2000,"N"))</f>
        <v/>
      </c>
      <c r="N60">
        <f>IF(_xlfn.MAXIFS(Sets!$H$2:$H$2000,Sets!$A$2:$A$2000,$A60,Sets!$D$2:$D$2000,N$1,Sets!$J$2:$J$2000,"N")=0,"",_xlfn.MAXIFS(Sets!$H$2:$H$2000,Sets!$A$2:$A$2000,$A60,Sets!$D$2:$D$2000,N$1,Sets!$J$2:$J$2000,"N"))</f>
        <v/>
      </c>
      <c r="O60">
        <f>IF(_xlfn.MAXIFS(Sets!$H$2:$H$2000,Sets!$A$2:$A$2000,$A60,Sets!$D$2:$D$2000,O$1,Sets!$J$2:$J$2000,"N")=0,"",_xlfn.MAXIFS(Sets!$H$2:$H$2000,Sets!$A$2:$A$2000,$A60,Sets!$D$2:$D$2000,O$1,Sets!$J$2:$J$2000,"N"))</f>
        <v/>
      </c>
      <c r="P60">
        <f>IF(_xlfn.MAXIFS(Sets!$H$2:$H$2000,Sets!$A$2:$A$2000,$A60,Sets!$D$2:$D$2000,P$1,Sets!$J$2:$J$2000,"N")=0,"",_xlfn.MAXIFS(Sets!$H$2:$H$2000,Sets!$A$2:$A$2000,$A60,Sets!$D$2:$D$2000,P$1,Sets!$J$2:$J$2000,"N"))</f>
        <v/>
      </c>
      <c r="Q60">
        <f>IF(_xlfn.MAXIFS(Sets!$H$2:$H$2000,Sets!$A$2:$A$2000,$A60,Sets!$D$2:$D$2000,Q$1,Sets!$J$2:$J$2000,"N")=0,"",_xlfn.MAXIFS(Sets!$H$2:$H$2000,Sets!$A$2:$A$2000,$A60,Sets!$D$2:$D$2000,Q$1,Sets!$J$2:$J$2000,"N"))</f>
        <v/>
      </c>
      <c r="R60">
        <f>IF(_xlfn.MAXIFS(Sets!$H$2:$H$2000,Sets!$A$2:$A$2000,$A60,Sets!$D$2:$D$2000,R$1,Sets!$J$2:$J$2000,"N")=0,"",_xlfn.MAXIFS(Sets!$H$2:$H$2000,Sets!$A$2:$A$2000,$A60,Sets!$D$2:$D$2000,R$1,Sets!$J$2:$J$2000,"N"))</f>
        <v/>
      </c>
      <c r="S60">
        <f>IF(_xlfn.MAXIFS(Sets!$H$2:$H$2000,Sets!$A$2:$A$2000,$A60,Sets!$D$2:$D$2000,S$1,Sets!$J$2:$J$2000,"N")=0,"",_xlfn.MAXIFS(Sets!$H$2:$H$2000,Sets!$A$2:$A$2000,$A60,Sets!$D$2:$D$2000,S$1,Sets!$J$2:$J$2000,"N"))</f>
        <v/>
      </c>
      <c r="T60">
        <f>IF(_xlfn.MAXIFS(Sets!$H$2:$H$2000,Sets!$A$2:$A$2000,$A60,Sets!$D$2:$D$2000,T$1,Sets!$J$2:$J$2000,"N")=0,"",_xlfn.MAXIFS(Sets!$H$2:$H$2000,Sets!$A$2:$A$2000,$A60,Sets!$D$2:$D$2000,T$1,Sets!$J$2:$J$2000,"N"))</f>
        <v/>
      </c>
      <c r="U60">
        <f>IF(_xlfn.MAXIFS(Sets!$H$2:$H$2000,Sets!$A$2:$A$2000,$A60,Sets!$D$2:$D$2000,U$1,Sets!$J$2:$J$2000,"N")=0,"",_xlfn.MAXIFS(Sets!$H$2:$H$2000,Sets!$A$2:$A$2000,$A60,Sets!$D$2:$D$2000,U$1,Sets!$J$2:$J$2000,"N"))</f>
        <v/>
      </c>
      <c r="V60">
        <f>IF(_xlfn.MAXIFS(Sets!$H$2:$H$2000,Sets!$A$2:$A$2000,$A60,Sets!$D$2:$D$2000,V$1,Sets!$J$2:$J$2000,"N")=0,"",_xlfn.MAXIFS(Sets!$H$2:$H$2000,Sets!$A$2:$A$2000,$A60,Sets!$D$2:$D$2000,V$1,Sets!$J$2:$J$2000,"N"))</f>
        <v/>
      </c>
      <c r="W60">
        <f>IF(_xlfn.MAXIFS(Sets!$H$2:$H$2000,Sets!$A$2:$A$2000,$A60,Sets!$D$2:$D$2000,W$1,Sets!$J$2:$J$2000,"N")=0,"",_xlfn.MAXIFS(Sets!$H$2:$H$2000,Sets!$A$2:$A$2000,$A60,Sets!$D$2:$D$2000,W$1,Sets!$J$2:$J$2000,"N"))</f>
        <v/>
      </c>
      <c r="X60">
        <f>IF(_xlfn.MAXIFS(Sets!$H$2:$H$2000,Sets!$A$2:$A$2000,$A60,Sets!$D$2:$D$2000,X$1,Sets!$J$2:$J$2000,"N")=0,"",_xlfn.MAXIFS(Sets!$H$2:$H$2000,Sets!$A$2:$A$2000,$A60,Sets!$D$2:$D$2000,X$1,Sets!$J$2:$J$2000,"N"))</f>
        <v/>
      </c>
      <c r="Y60">
        <f>IF(_xlfn.MAXIFS(Sets!$H$2:$H$2000,Sets!$A$2:$A$2000,$A60,Sets!$D$2:$D$2000,Y$1,Sets!$J$2:$J$2000,"N")=0,"",_xlfn.MAXIFS(Sets!$H$2:$H$2000,Sets!$A$2:$A$2000,$A60,Sets!$D$2:$D$2000,Y$1,Sets!$J$2:$J$2000,"N"))</f>
        <v/>
      </c>
      <c r="Z60">
        <f>IF(_xlfn.MAXIFS(Sets!$H$2:$H$2000,Sets!$A$2:$A$2000,$A60,Sets!$D$2:$D$2000,Z$1,Sets!$J$2:$J$2000,"N")=0,"",_xlfn.MAXIFS(Sets!$H$2:$H$2000,Sets!$A$2:$A$2000,$A60,Sets!$D$2:$D$2000,Z$1,Sets!$J$2:$J$2000,"N"))</f>
        <v/>
      </c>
      <c r="AA60">
        <f>IF(_xlfn.MAXIFS(Sets!$H$2:$H$2000,Sets!$A$2:$A$2000,$A60,Sets!$D$2:$D$2000,AA$1,Sets!$J$2:$J$2000,"N")=0,"",_xlfn.MAXIFS(Sets!$H$2:$H$2000,Sets!$A$2:$A$2000,$A60,Sets!$D$2:$D$2000,AA$1,Sets!$J$2:$J$2000,"N"))</f>
        <v/>
      </c>
      <c r="AB60">
        <f>IF(_xlfn.MAXIFS(Sets!$H$2:$H$2000,Sets!$A$2:$A$2000,$A60,Sets!$D$2:$D$2000,AB$1,Sets!$J$2:$J$2000,"N")=0,"",_xlfn.MAXIFS(Sets!$H$2:$H$2000,Sets!$A$2:$A$2000,$A60,Sets!$D$2:$D$2000,AB$1,Sets!$J$2:$J$2000,"N"))</f>
        <v/>
      </c>
      <c r="AC60">
        <f>IF(_xlfn.MAXIFS(Sets!$H$2:$H$2000,Sets!$A$2:$A$2000,$A60,Sets!$D$2:$D$2000,AC$1,Sets!$J$2:$J$2000,"N")=0,"",_xlfn.MAXIFS(Sets!$H$2:$H$2000,Sets!$A$2:$A$2000,$A60,Sets!$D$2:$D$2000,AC$1,Sets!$J$2:$J$2000,"N"))</f>
        <v/>
      </c>
      <c r="AD60">
        <f>IF(_xlfn.MAXIFS(Sets!$H$2:$H$2000,Sets!$A$2:$A$2000,$A60,Sets!$D$2:$D$2000,AD$1,Sets!$J$2:$J$2000,"N")=0,"",_xlfn.MAXIFS(Sets!$H$2:$H$2000,Sets!$A$2:$A$2000,$A60,Sets!$D$2:$D$2000,AD$1,Sets!$J$2:$J$2000,"N"))</f>
        <v/>
      </c>
      <c r="AE60">
        <f>IF(_xlfn.MAXIFS(Sets!$H$2:$H$2000,Sets!$A$2:$A$2000,$A60,Sets!$D$2:$D$2000,AE$1,Sets!$J$2:$J$2000,"N")=0,"",_xlfn.MAXIFS(Sets!$H$2:$H$2000,Sets!$A$2:$A$2000,$A60,Sets!$D$2:$D$2000,AE$1,Sets!$J$2:$J$2000,"N"))</f>
        <v/>
      </c>
      <c r="AF60">
        <f>IF(_xlfn.MAXIFS(Sets!$H$2:$H$2000,Sets!$A$2:$A$2000,$A60,Sets!$D$2:$D$2000,AF$1,Sets!$J$2:$J$2000,"N")=0,"",_xlfn.MAXIFS(Sets!$H$2:$H$2000,Sets!$A$2:$A$2000,$A60,Sets!$D$2:$D$2000,AF$1,Sets!$J$2:$J$2000,"N"))</f>
        <v/>
      </c>
      <c r="AG60">
        <f>IF(_xlfn.MAXIFS(Sets!$H$2:$H$2000,Sets!$A$2:$A$2000,$A60,Sets!$D$2:$D$2000,AG$1,Sets!$J$2:$J$2000,"N")=0,"",_xlfn.MAXIFS(Sets!$H$2:$H$2000,Sets!$A$2:$A$2000,$A60,Sets!$D$2:$D$2000,AG$1,Sets!$J$2:$J$2000,"N"))</f>
        <v/>
      </c>
      <c r="AH60">
        <f>IF(_xlfn.MAXIFS(Sets!$H$2:$H$2000,Sets!$A$2:$A$2000,$A60,Sets!$D$2:$D$2000,AH$1,Sets!$J$2:$J$2000,"N")=0,"",_xlfn.MAXIFS(Sets!$H$2:$H$2000,Sets!$A$2:$A$2000,$A60,Sets!$D$2:$D$2000,AH$1,Sets!$J$2:$J$2000,"N"))</f>
        <v/>
      </c>
      <c r="AI60">
        <f>IF(_xlfn.MAXIFS(Sets!$H$2:$H$2000,Sets!$A$2:$A$2000,$A60,Sets!$D$2:$D$2000,AI$1,Sets!$J$2:$J$2000,"N")=0,"",_xlfn.MAXIFS(Sets!$H$2:$H$2000,Sets!$A$2:$A$2000,$A60,Sets!$D$2:$D$2000,AI$1,Sets!$J$2:$J$2000,"N"))</f>
        <v/>
      </c>
      <c r="AJ60">
        <f>IF(_xlfn.MAXIFS(Sets!$H$2:$H$2000,Sets!$A$2:$A$2000,$A60,Sets!$D$2:$D$2000,AJ$1,Sets!$J$2:$J$2000,"N")=0,"",_xlfn.MAXIFS(Sets!$H$2:$H$2000,Sets!$A$2:$A$2000,$A60,Sets!$D$2:$D$2000,AJ$1,Sets!$J$2:$J$2000,"N"))</f>
        <v/>
      </c>
      <c r="AK60">
        <f>IF(_xlfn.MAXIFS(Sets!$H$2:$H$2000,Sets!$A$2:$A$2000,$A60,Sets!$D$2:$D$2000,AK$1,Sets!$J$2:$J$2000,"N")=0,"",_xlfn.MAXIFS(Sets!$H$2:$H$2000,Sets!$A$2:$A$2000,$A60,Sets!$D$2:$D$2000,AK$1,Sets!$J$2:$J$2000,"N"))</f>
        <v/>
      </c>
      <c r="AL60">
        <f>IF(_xlfn.MAXIFS(Sets!$H$2:$H$2000,Sets!$A$2:$A$2000,$A60,Sets!$D$2:$D$2000,AL$1,Sets!$J$2:$J$2000,"N")=0,"",_xlfn.MAXIFS(Sets!$H$2:$H$2000,Sets!$A$2:$A$2000,$A60,Sets!$D$2:$D$2000,AL$1,Sets!$J$2:$J$2000,"N"))</f>
        <v/>
      </c>
      <c r="AM60">
        <f>IF(_xlfn.MAXIFS(Sets!$H$2:$H$2000,Sets!$A$2:$A$2000,$A60,Sets!$D$2:$D$2000,AM$1,Sets!$J$2:$J$2000,"N")=0,"",_xlfn.MAXIFS(Sets!$H$2:$H$2000,Sets!$A$2:$A$2000,$A60,Sets!$D$2:$D$2000,AM$1,Sets!$J$2:$J$2000,"N"))</f>
        <v/>
      </c>
      <c r="AN60">
        <f>IF(_xlfn.MAXIFS(Sets!$H$2:$H$2000,Sets!$A$2:$A$2000,$A60,Sets!$D$2:$D$2000,AN$1,Sets!$J$2:$J$2000,"N")=0,"",_xlfn.MAXIFS(Sets!$H$2:$H$2000,Sets!$A$2:$A$2000,$A60,Sets!$D$2:$D$2000,AN$1,Sets!$J$2:$J$2000,"N"))</f>
        <v/>
      </c>
      <c r="AO60">
        <f>IF(_xlfn.MAXIFS(Sets!$H$2:$H$2000,Sets!$A$2:$A$2000,$A60,Sets!$D$2:$D$2000,AO$1,Sets!$J$2:$J$2000,"N")=0,"",_xlfn.MAXIFS(Sets!$H$2:$H$2000,Sets!$A$2:$A$2000,$A60,Sets!$D$2:$D$2000,AO$1,Sets!$J$2:$J$2000,"N"))</f>
        <v/>
      </c>
      <c r="AP60">
        <f>IF(_xlfn.MAXIFS(Sets!$H$2:$H$2000,Sets!$A$2:$A$2000,$A60,Sets!$D$2:$D$2000,AP$1,Sets!$J$2:$J$2000,"N")=0,"",_xlfn.MAXIFS(Sets!$H$2:$H$2000,Sets!$A$2:$A$2000,$A60,Sets!$D$2:$D$2000,AP$1,Sets!$J$2:$J$2000,"N"))</f>
        <v/>
      </c>
    </row>
    <row r="61">
      <c r="A61" s="36" t="n">
        <v>46242</v>
      </c>
      <c r="B61">
        <f>IF(_xlfn.MAXIFS(Sets!$H$2:$H$2000,Sets!$A$2:$A$2000,$A61,Sets!$D$2:$D$2000,B$1,Sets!$J$2:$J$2000,"N")=0,"",_xlfn.MAXIFS(Sets!$H$2:$H$2000,Sets!$A$2:$A$2000,$A61,Sets!$D$2:$D$2000,B$1,Sets!$J$2:$J$2000,"N"))</f>
        <v/>
      </c>
      <c r="C61">
        <f>IF(_xlfn.MAXIFS(Sets!$H$2:$H$2000,Sets!$A$2:$A$2000,$A61,Sets!$D$2:$D$2000,C$1,Sets!$J$2:$J$2000,"N")=0,"",_xlfn.MAXIFS(Sets!$H$2:$H$2000,Sets!$A$2:$A$2000,$A61,Sets!$D$2:$D$2000,C$1,Sets!$J$2:$J$2000,"N"))</f>
        <v/>
      </c>
      <c r="D61">
        <f>IF(_xlfn.MAXIFS(Sets!$H$2:$H$2000,Sets!$A$2:$A$2000,$A61,Sets!$D$2:$D$2000,D$1,Sets!$J$2:$J$2000,"N")=0,"",_xlfn.MAXIFS(Sets!$H$2:$H$2000,Sets!$A$2:$A$2000,$A61,Sets!$D$2:$D$2000,D$1,Sets!$J$2:$J$2000,"N"))</f>
        <v/>
      </c>
      <c r="E61">
        <f>IF(_xlfn.MAXIFS(Sets!$H$2:$H$2000,Sets!$A$2:$A$2000,$A61,Sets!$D$2:$D$2000,E$1,Sets!$J$2:$J$2000,"N")=0,"",_xlfn.MAXIFS(Sets!$H$2:$H$2000,Sets!$A$2:$A$2000,$A61,Sets!$D$2:$D$2000,E$1,Sets!$J$2:$J$2000,"N"))</f>
        <v/>
      </c>
      <c r="F61">
        <f>IF(_xlfn.MAXIFS(Sets!$H$2:$H$2000,Sets!$A$2:$A$2000,$A61,Sets!$D$2:$D$2000,F$1,Sets!$J$2:$J$2000,"N")=0,"",_xlfn.MAXIFS(Sets!$H$2:$H$2000,Sets!$A$2:$A$2000,$A61,Sets!$D$2:$D$2000,F$1,Sets!$J$2:$J$2000,"N"))</f>
        <v/>
      </c>
      <c r="G61">
        <f>IF(_xlfn.MAXIFS(Sets!$H$2:$H$2000,Sets!$A$2:$A$2000,$A61,Sets!$D$2:$D$2000,G$1,Sets!$J$2:$J$2000,"N")=0,"",_xlfn.MAXIFS(Sets!$H$2:$H$2000,Sets!$A$2:$A$2000,$A61,Sets!$D$2:$D$2000,G$1,Sets!$J$2:$J$2000,"N"))</f>
        <v/>
      </c>
      <c r="H61">
        <f>IF(_xlfn.MAXIFS(Sets!$H$2:$H$2000,Sets!$A$2:$A$2000,$A61,Sets!$D$2:$D$2000,H$1,Sets!$J$2:$J$2000,"N")=0,"",_xlfn.MAXIFS(Sets!$H$2:$H$2000,Sets!$A$2:$A$2000,$A61,Sets!$D$2:$D$2000,H$1,Sets!$J$2:$J$2000,"N"))</f>
        <v/>
      </c>
      <c r="I61">
        <f>IF(_xlfn.MAXIFS(Sets!$H$2:$H$2000,Sets!$A$2:$A$2000,$A61,Sets!$D$2:$D$2000,I$1,Sets!$J$2:$J$2000,"N")=0,"",_xlfn.MAXIFS(Sets!$H$2:$H$2000,Sets!$A$2:$A$2000,$A61,Sets!$D$2:$D$2000,I$1,Sets!$J$2:$J$2000,"N"))</f>
        <v/>
      </c>
      <c r="J61">
        <f>IF(_xlfn.MAXIFS(Sets!$H$2:$H$2000,Sets!$A$2:$A$2000,$A61,Sets!$D$2:$D$2000,J$1,Sets!$J$2:$J$2000,"N")=0,"",_xlfn.MAXIFS(Sets!$H$2:$H$2000,Sets!$A$2:$A$2000,$A61,Sets!$D$2:$D$2000,J$1,Sets!$J$2:$J$2000,"N"))</f>
        <v/>
      </c>
      <c r="K61">
        <f>IF(_xlfn.MAXIFS(Sets!$H$2:$H$2000,Sets!$A$2:$A$2000,$A61,Sets!$D$2:$D$2000,K$1,Sets!$J$2:$J$2000,"N")=0,"",_xlfn.MAXIFS(Sets!$H$2:$H$2000,Sets!$A$2:$A$2000,$A61,Sets!$D$2:$D$2000,K$1,Sets!$J$2:$J$2000,"N"))</f>
        <v/>
      </c>
      <c r="L61">
        <f>IF(_xlfn.MAXIFS(Sets!$H$2:$H$2000,Sets!$A$2:$A$2000,$A61,Sets!$D$2:$D$2000,L$1,Sets!$J$2:$J$2000,"N")=0,"",_xlfn.MAXIFS(Sets!$H$2:$H$2000,Sets!$A$2:$A$2000,$A61,Sets!$D$2:$D$2000,L$1,Sets!$J$2:$J$2000,"N"))</f>
        <v/>
      </c>
      <c r="M61">
        <f>IF(_xlfn.MAXIFS(Sets!$H$2:$H$2000,Sets!$A$2:$A$2000,$A61,Sets!$D$2:$D$2000,M$1,Sets!$J$2:$J$2000,"N")=0,"",_xlfn.MAXIFS(Sets!$H$2:$H$2000,Sets!$A$2:$A$2000,$A61,Sets!$D$2:$D$2000,M$1,Sets!$J$2:$J$2000,"N"))</f>
        <v/>
      </c>
      <c r="N61">
        <f>IF(_xlfn.MAXIFS(Sets!$H$2:$H$2000,Sets!$A$2:$A$2000,$A61,Sets!$D$2:$D$2000,N$1,Sets!$J$2:$J$2000,"N")=0,"",_xlfn.MAXIFS(Sets!$H$2:$H$2000,Sets!$A$2:$A$2000,$A61,Sets!$D$2:$D$2000,N$1,Sets!$J$2:$J$2000,"N"))</f>
        <v/>
      </c>
      <c r="O61">
        <f>IF(_xlfn.MAXIFS(Sets!$H$2:$H$2000,Sets!$A$2:$A$2000,$A61,Sets!$D$2:$D$2000,O$1,Sets!$J$2:$J$2000,"N")=0,"",_xlfn.MAXIFS(Sets!$H$2:$H$2000,Sets!$A$2:$A$2000,$A61,Sets!$D$2:$D$2000,O$1,Sets!$J$2:$J$2000,"N"))</f>
        <v/>
      </c>
      <c r="P61">
        <f>IF(_xlfn.MAXIFS(Sets!$H$2:$H$2000,Sets!$A$2:$A$2000,$A61,Sets!$D$2:$D$2000,P$1,Sets!$J$2:$J$2000,"N")=0,"",_xlfn.MAXIFS(Sets!$H$2:$H$2000,Sets!$A$2:$A$2000,$A61,Sets!$D$2:$D$2000,P$1,Sets!$J$2:$J$2000,"N"))</f>
        <v/>
      </c>
      <c r="Q61">
        <f>IF(_xlfn.MAXIFS(Sets!$H$2:$H$2000,Sets!$A$2:$A$2000,$A61,Sets!$D$2:$D$2000,Q$1,Sets!$J$2:$J$2000,"N")=0,"",_xlfn.MAXIFS(Sets!$H$2:$H$2000,Sets!$A$2:$A$2000,$A61,Sets!$D$2:$D$2000,Q$1,Sets!$J$2:$J$2000,"N"))</f>
        <v/>
      </c>
      <c r="R61">
        <f>IF(_xlfn.MAXIFS(Sets!$H$2:$H$2000,Sets!$A$2:$A$2000,$A61,Sets!$D$2:$D$2000,R$1,Sets!$J$2:$J$2000,"N")=0,"",_xlfn.MAXIFS(Sets!$H$2:$H$2000,Sets!$A$2:$A$2000,$A61,Sets!$D$2:$D$2000,R$1,Sets!$J$2:$J$2000,"N"))</f>
        <v/>
      </c>
      <c r="S61">
        <f>IF(_xlfn.MAXIFS(Sets!$H$2:$H$2000,Sets!$A$2:$A$2000,$A61,Sets!$D$2:$D$2000,S$1,Sets!$J$2:$J$2000,"N")=0,"",_xlfn.MAXIFS(Sets!$H$2:$H$2000,Sets!$A$2:$A$2000,$A61,Sets!$D$2:$D$2000,S$1,Sets!$J$2:$J$2000,"N"))</f>
        <v/>
      </c>
      <c r="T61">
        <f>IF(_xlfn.MAXIFS(Sets!$H$2:$H$2000,Sets!$A$2:$A$2000,$A61,Sets!$D$2:$D$2000,T$1,Sets!$J$2:$J$2000,"N")=0,"",_xlfn.MAXIFS(Sets!$H$2:$H$2000,Sets!$A$2:$A$2000,$A61,Sets!$D$2:$D$2000,T$1,Sets!$J$2:$J$2000,"N"))</f>
        <v/>
      </c>
      <c r="U61">
        <f>IF(_xlfn.MAXIFS(Sets!$H$2:$H$2000,Sets!$A$2:$A$2000,$A61,Sets!$D$2:$D$2000,U$1,Sets!$J$2:$J$2000,"N")=0,"",_xlfn.MAXIFS(Sets!$H$2:$H$2000,Sets!$A$2:$A$2000,$A61,Sets!$D$2:$D$2000,U$1,Sets!$J$2:$J$2000,"N"))</f>
        <v/>
      </c>
      <c r="V61">
        <f>IF(_xlfn.MAXIFS(Sets!$H$2:$H$2000,Sets!$A$2:$A$2000,$A61,Sets!$D$2:$D$2000,V$1,Sets!$J$2:$J$2000,"N")=0,"",_xlfn.MAXIFS(Sets!$H$2:$H$2000,Sets!$A$2:$A$2000,$A61,Sets!$D$2:$D$2000,V$1,Sets!$J$2:$J$2000,"N"))</f>
        <v/>
      </c>
      <c r="W61">
        <f>IF(_xlfn.MAXIFS(Sets!$H$2:$H$2000,Sets!$A$2:$A$2000,$A61,Sets!$D$2:$D$2000,W$1,Sets!$J$2:$J$2000,"N")=0,"",_xlfn.MAXIFS(Sets!$H$2:$H$2000,Sets!$A$2:$A$2000,$A61,Sets!$D$2:$D$2000,W$1,Sets!$J$2:$J$2000,"N"))</f>
        <v/>
      </c>
      <c r="X61">
        <f>IF(_xlfn.MAXIFS(Sets!$H$2:$H$2000,Sets!$A$2:$A$2000,$A61,Sets!$D$2:$D$2000,X$1,Sets!$J$2:$J$2000,"N")=0,"",_xlfn.MAXIFS(Sets!$H$2:$H$2000,Sets!$A$2:$A$2000,$A61,Sets!$D$2:$D$2000,X$1,Sets!$J$2:$J$2000,"N"))</f>
        <v/>
      </c>
      <c r="Y61">
        <f>IF(_xlfn.MAXIFS(Sets!$H$2:$H$2000,Sets!$A$2:$A$2000,$A61,Sets!$D$2:$D$2000,Y$1,Sets!$J$2:$J$2000,"N")=0,"",_xlfn.MAXIFS(Sets!$H$2:$H$2000,Sets!$A$2:$A$2000,$A61,Sets!$D$2:$D$2000,Y$1,Sets!$J$2:$J$2000,"N"))</f>
        <v/>
      </c>
      <c r="Z61">
        <f>IF(_xlfn.MAXIFS(Sets!$H$2:$H$2000,Sets!$A$2:$A$2000,$A61,Sets!$D$2:$D$2000,Z$1,Sets!$J$2:$J$2000,"N")=0,"",_xlfn.MAXIFS(Sets!$H$2:$H$2000,Sets!$A$2:$A$2000,$A61,Sets!$D$2:$D$2000,Z$1,Sets!$J$2:$J$2000,"N"))</f>
        <v/>
      </c>
      <c r="AA61">
        <f>IF(_xlfn.MAXIFS(Sets!$H$2:$H$2000,Sets!$A$2:$A$2000,$A61,Sets!$D$2:$D$2000,AA$1,Sets!$J$2:$J$2000,"N")=0,"",_xlfn.MAXIFS(Sets!$H$2:$H$2000,Sets!$A$2:$A$2000,$A61,Sets!$D$2:$D$2000,AA$1,Sets!$J$2:$J$2000,"N"))</f>
        <v/>
      </c>
      <c r="AB61">
        <f>IF(_xlfn.MAXIFS(Sets!$H$2:$H$2000,Sets!$A$2:$A$2000,$A61,Sets!$D$2:$D$2000,AB$1,Sets!$J$2:$J$2000,"N")=0,"",_xlfn.MAXIFS(Sets!$H$2:$H$2000,Sets!$A$2:$A$2000,$A61,Sets!$D$2:$D$2000,AB$1,Sets!$J$2:$J$2000,"N"))</f>
        <v/>
      </c>
      <c r="AC61">
        <f>IF(_xlfn.MAXIFS(Sets!$H$2:$H$2000,Sets!$A$2:$A$2000,$A61,Sets!$D$2:$D$2000,AC$1,Sets!$J$2:$J$2000,"N")=0,"",_xlfn.MAXIFS(Sets!$H$2:$H$2000,Sets!$A$2:$A$2000,$A61,Sets!$D$2:$D$2000,AC$1,Sets!$J$2:$J$2000,"N"))</f>
        <v/>
      </c>
      <c r="AD61">
        <f>IF(_xlfn.MAXIFS(Sets!$H$2:$H$2000,Sets!$A$2:$A$2000,$A61,Sets!$D$2:$D$2000,AD$1,Sets!$J$2:$J$2000,"N")=0,"",_xlfn.MAXIFS(Sets!$H$2:$H$2000,Sets!$A$2:$A$2000,$A61,Sets!$D$2:$D$2000,AD$1,Sets!$J$2:$J$2000,"N"))</f>
        <v/>
      </c>
      <c r="AE61">
        <f>IF(_xlfn.MAXIFS(Sets!$H$2:$H$2000,Sets!$A$2:$A$2000,$A61,Sets!$D$2:$D$2000,AE$1,Sets!$J$2:$J$2000,"N")=0,"",_xlfn.MAXIFS(Sets!$H$2:$H$2000,Sets!$A$2:$A$2000,$A61,Sets!$D$2:$D$2000,AE$1,Sets!$J$2:$J$2000,"N"))</f>
        <v/>
      </c>
      <c r="AF61">
        <f>IF(_xlfn.MAXIFS(Sets!$H$2:$H$2000,Sets!$A$2:$A$2000,$A61,Sets!$D$2:$D$2000,AF$1,Sets!$J$2:$J$2000,"N")=0,"",_xlfn.MAXIFS(Sets!$H$2:$H$2000,Sets!$A$2:$A$2000,$A61,Sets!$D$2:$D$2000,AF$1,Sets!$J$2:$J$2000,"N"))</f>
        <v/>
      </c>
      <c r="AG61">
        <f>IF(_xlfn.MAXIFS(Sets!$H$2:$H$2000,Sets!$A$2:$A$2000,$A61,Sets!$D$2:$D$2000,AG$1,Sets!$J$2:$J$2000,"N")=0,"",_xlfn.MAXIFS(Sets!$H$2:$H$2000,Sets!$A$2:$A$2000,$A61,Sets!$D$2:$D$2000,AG$1,Sets!$J$2:$J$2000,"N"))</f>
        <v/>
      </c>
      <c r="AH61">
        <f>IF(_xlfn.MAXIFS(Sets!$H$2:$H$2000,Sets!$A$2:$A$2000,$A61,Sets!$D$2:$D$2000,AH$1,Sets!$J$2:$J$2000,"N")=0,"",_xlfn.MAXIFS(Sets!$H$2:$H$2000,Sets!$A$2:$A$2000,$A61,Sets!$D$2:$D$2000,AH$1,Sets!$J$2:$J$2000,"N"))</f>
        <v/>
      </c>
      <c r="AI61">
        <f>IF(_xlfn.MAXIFS(Sets!$H$2:$H$2000,Sets!$A$2:$A$2000,$A61,Sets!$D$2:$D$2000,AI$1,Sets!$J$2:$J$2000,"N")=0,"",_xlfn.MAXIFS(Sets!$H$2:$H$2000,Sets!$A$2:$A$2000,$A61,Sets!$D$2:$D$2000,AI$1,Sets!$J$2:$J$2000,"N"))</f>
        <v/>
      </c>
      <c r="AJ61">
        <f>IF(_xlfn.MAXIFS(Sets!$H$2:$H$2000,Sets!$A$2:$A$2000,$A61,Sets!$D$2:$D$2000,AJ$1,Sets!$J$2:$J$2000,"N")=0,"",_xlfn.MAXIFS(Sets!$H$2:$H$2000,Sets!$A$2:$A$2000,$A61,Sets!$D$2:$D$2000,AJ$1,Sets!$J$2:$J$2000,"N"))</f>
        <v/>
      </c>
      <c r="AK61">
        <f>IF(_xlfn.MAXIFS(Sets!$H$2:$H$2000,Sets!$A$2:$A$2000,$A61,Sets!$D$2:$D$2000,AK$1,Sets!$J$2:$J$2000,"N")=0,"",_xlfn.MAXIFS(Sets!$H$2:$H$2000,Sets!$A$2:$A$2000,$A61,Sets!$D$2:$D$2000,AK$1,Sets!$J$2:$J$2000,"N"))</f>
        <v/>
      </c>
      <c r="AL61">
        <f>IF(_xlfn.MAXIFS(Sets!$H$2:$H$2000,Sets!$A$2:$A$2000,$A61,Sets!$D$2:$D$2000,AL$1,Sets!$J$2:$J$2000,"N")=0,"",_xlfn.MAXIFS(Sets!$H$2:$H$2000,Sets!$A$2:$A$2000,$A61,Sets!$D$2:$D$2000,AL$1,Sets!$J$2:$J$2000,"N"))</f>
        <v/>
      </c>
      <c r="AM61">
        <f>IF(_xlfn.MAXIFS(Sets!$H$2:$H$2000,Sets!$A$2:$A$2000,$A61,Sets!$D$2:$D$2000,AM$1,Sets!$J$2:$J$2000,"N")=0,"",_xlfn.MAXIFS(Sets!$H$2:$H$2000,Sets!$A$2:$A$2000,$A61,Sets!$D$2:$D$2000,AM$1,Sets!$J$2:$J$2000,"N"))</f>
        <v/>
      </c>
      <c r="AN61">
        <f>IF(_xlfn.MAXIFS(Sets!$H$2:$H$2000,Sets!$A$2:$A$2000,$A61,Sets!$D$2:$D$2000,AN$1,Sets!$J$2:$J$2000,"N")=0,"",_xlfn.MAXIFS(Sets!$H$2:$H$2000,Sets!$A$2:$A$2000,$A61,Sets!$D$2:$D$2000,AN$1,Sets!$J$2:$J$2000,"N"))</f>
        <v/>
      </c>
      <c r="AO61">
        <f>IF(_xlfn.MAXIFS(Sets!$H$2:$H$2000,Sets!$A$2:$A$2000,$A61,Sets!$D$2:$D$2000,AO$1,Sets!$J$2:$J$2000,"N")=0,"",_xlfn.MAXIFS(Sets!$H$2:$H$2000,Sets!$A$2:$A$2000,$A61,Sets!$D$2:$D$2000,AO$1,Sets!$J$2:$J$2000,"N"))</f>
        <v/>
      </c>
      <c r="AP61">
        <f>IF(_xlfn.MAXIFS(Sets!$H$2:$H$2000,Sets!$A$2:$A$2000,$A61,Sets!$D$2:$D$2000,AP$1,Sets!$J$2:$J$2000,"N")=0,"",_xlfn.MAXIFS(Sets!$H$2:$H$2000,Sets!$A$2:$A$2000,$A61,Sets!$D$2:$D$2000,AP$1,Sets!$J$2:$J$2000,"N"))</f>
        <v/>
      </c>
    </row>
    <row r="62">
      <c r="A62" s="36" t="n">
        <v>46243</v>
      </c>
      <c r="B62">
        <f>IF(_xlfn.MAXIFS(Sets!$H$2:$H$2000,Sets!$A$2:$A$2000,$A62,Sets!$D$2:$D$2000,B$1,Sets!$J$2:$J$2000,"N")=0,"",_xlfn.MAXIFS(Sets!$H$2:$H$2000,Sets!$A$2:$A$2000,$A62,Sets!$D$2:$D$2000,B$1,Sets!$J$2:$J$2000,"N"))</f>
        <v/>
      </c>
      <c r="C62">
        <f>IF(_xlfn.MAXIFS(Sets!$H$2:$H$2000,Sets!$A$2:$A$2000,$A62,Sets!$D$2:$D$2000,C$1,Sets!$J$2:$J$2000,"N")=0,"",_xlfn.MAXIFS(Sets!$H$2:$H$2000,Sets!$A$2:$A$2000,$A62,Sets!$D$2:$D$2000,C$1,Sets!$J$2:$J$2000,"N"))</f>
        <v/>
      </c>
      <c r="D62">
        <f>IF(_xlfn.MAXIFS(Sets!$H$2:$H$2000,Sets!$A$2:$A$2000,$A62,Sets!$D$2:$D$2000,D$1,Sets!$J$2:$J$2000,"N")=0,"",_xlfn.MAXIFS(Sets!$H$2:$H$2000,Sets!$A$2:$A$2000,$A62,Sets!$D$2:$D$2000,D$1,Sets!$J$2:$J$2000,"N"))</f>
        <v/>
      </c>
      <c r="E62">
        <f>IF(_xlfn.MAXIFS(Sets!$H$2:$H$2000,Sets!$A$2:$A$2000,$A62,Sets!$D$2:$D$2000,E$1,Sets!$J$2:$J$2000,"N")=0,"",_xlfn.MAXIFS(Sets!$H$2:$H$2000,Sets!$A$2:$A$2000,$A62,Sets!$D$2:$D$2000,E$1,Sets!$J$2:$J$2000,"N"))</f>
        <v/>
      </c>
      <c r="F62">
        <f>IF(_xlfn.MAXIFS(Sets!$H$2:$H$2000,Sets!$A$2:$A$2000,$A62,Sets!$D$2:$D$2000,F$1,Sets!$J$2:$J$2000,"N")=0,"",_xlfn.MAXIFS(Sets!$H$2:$H$2000,Sets!$A$2:$A$2000,$A62,Sets!$D$2:$D$2000,F$1,Sets!$J$2:$J$2000,"N"))</f>
        <v/>
      </c>
      <c r="G62">
        <f>IF(_xlfn.MAXIFS(Sets!$H$2:$H$2000,Sets!$A$2:$A$2000,$A62,Sets!$D$2:$D$2000,G$1,Sets!$J$2:$J$2000,"N")=0,"",_xlfn.MAXIFS(Sets!$H$2:$H$2000,Sets!$A$2:$A$2000,$A62,Sets!$D$2:$D$2000,G$1,Sets!$J$2:$J$2000,"N"))</f>
        <v/>
      </c>
      <c r="H62">
        <f>IF(_xlfn.MAXIFS(Sets!$H$2:$H$2000,Sets!$A$2:$A$2000,$A62,Sets!$D$2:$D$2000,H$1,Sets!$J$2:$J$2000,"N")=0,"",_xlfn.MAXIFS(Sets!$H$2:$H$2000,Sets!$A$2:$A$2000,$A62,Sets!$D$2:$D$2000,H$1,Sets!$J$2:$J$2000,"N"))</f>
        <v/>
      </c>
      <c r="I62">
        <f>IF(_xlfn.MAXIFS(Sets!$H$2:$H$2000,Sets!$A$2:$A$2000,$A62,Sets!$D$2:$D$2000,I$1,Sets!$J$2:$J$2000,"N")=0,"",_xlfn.MAXIFS(Sets!$H$2:$H$2000,Sets!$A$2:$A$2000,$A62,Sets!$D$2:$D$2000,I$1,Sets!$J$2:$J$2000,"N"))</f>
        <v/>
      </c>
      <c r="J62">
        <f>IF(_xlfn.MAXIFS(Sets!$H$2:$H$2000,Sets!$A$2:$A$2000,$A62,Sets!$D$2:$D$2000,J$1,Sets!$J$2:$J$2000,"N")=0,"",_xlfn.MAXIFS(Sets!$H$2:$H$2000,Sets!$A$2:$A$2000,$A62,Sets!$D$2:$D$2000,J$1,Sets!$J$2:$J$2000,"N"))</f>
        <v/>
      </c>
      <c r="K62">
        <f>IF(_xlfn.MAXIFS(Sets!$H$2:$H$2000,Sets!$A$2:$A$2000,$A62,Sets!$D$2:$D$2000,K$1,Sets!$J$2:$J$2000,"N")=0,"",_xlfn.MAXIFS(Sets!$H$2:$H$2000,Sets!$A$2:$A$2000,$A62,Sets!$D$2:$D$2000,K$1,Sets!$J$2:$J$2000,"N"))</f>
        <v/>
      </c>
      <c r="L62">
        <f>IF(_xlfn.MAXIFS(Sets!$H$2:$H$2000,Sets!$A$2:$A$2000,$A62,Sets!$D$2:$D$2000,L$1,Sets!$J$2:$J$2000,"N")=0,"",_xlfn.MAXIFS(Sets!$H$2:$H$2000,Sets!$A$2:$A$2000,$A62,Sets!$D$2:$D$2000,L$1,Sets!$J$2:$J$2000,"N"))</f>
        <v/>
      </c>
      <c r="M62">
        <f>IF(_xlfn.MAXIFS(Sets!$H$2:$H$2000,Sets!$A$2:$A$2000,$A62,Sets!$D$2:$D$2000,M$1,Sets!$J$2:$J$2000,"N")=0,"",_xlfn.MAXIFS(Sets!$H$2:$H$2000,Sets!$A$2:$A$2000,$A62,Sets!$D$2:$D$2000,M$1,Sets!$J$2:$J$2000,"N"))</f>
        <v/>
      </c>
      <c r="N62">
        <f>IF(_xlfn.MAXIFS(Sets!$H$2:$H$2000,Sets!$A$2:$A$2000,$A62,Sets!$D$2:$D$2000,N$1,Sets!$J$2:$J$2000,"N")=0,"",_xlfn.MAXIFS(Sets!$H$2:$H$2000,Sets!$A$2:$A$2000,$A62,Sets!$D$2:$D$2000,N$1,Sets!$J$2:$J$2000,"N"))</f>
        <v/>
      </c>
      <c r="O62">
        <f>IF(_xlfn.MAXIFS(Sets!$H$2:$H$2000,Sets!$A$2:$A$2000,$A62,Sets!$D$2:$D$2000,O$1,Sets!$J$2:$J$2000,"N")=0,"",_xlfn.MAXIFS(Sets!$H$2:$H$2000,Sets!$A$2:$A$2000,$A62,Sets!$D$2:$D$2000,O$1,Sets!$J$2:$J$2000,"N"))</f>
        <v/>
      </c>
      <c r="P62">
        <f>IF(_xlfn.MAXIFS(Sets!$H$2:$H$2000,Sets!$A$2:$A$2000,$A62,Sets!$D$2:$D$2000,P$1,Sets!$J$2:$J$2000,"N")=0,"",_xlfn.MAXIFS(Sets!$H$2:$H$2000,Sets!$A$2:$A$2000,$A62,Sets!$D$2:$D$2000,P$1,Sets!$J$2:$J$2000,"N"))</f>
        <v/>
      </c>
      <c r="Q62">
        <f>IF(_xlfn.MAXIFS(Sets!$H$2:$H$2000,Sets!$A$2:$A$2000,$A62,Sets!$D$2:$D$2000,Q$1,Sets!$J$2:$J$2000,"N")=0,"",_xlfn.MAXIFS(Sets!$H$2:$H$2000,Sets!$A$2:$A$2000,$A62,Sets!$D$2:$D$2000,Q$1,Sets!$J$2:$J$2000,"N"))</f>
        <v/>
      </c>
      <c r="R62">
        <f>IF(_xlfn.MAXIFS(Sets!$H$2:$H$2000,Sets!$A$2:$A$2000,$A62,Sets!$D$2:$D$2000,R$1,Sets!$J$2:$J$2000,"N")=0,"",_xlfn.MAXIFS(Sets!$H$2:$H$2000,Sets!$A$2:$A$2000,$A62,Sets!$D$2:$D$2000,R$1,Sets!$J$2:$J$2000,"N"))</f>
        <v/>
      </c>
      <c r="S62">
        <f>IF(_xlfn.MAXIFS(Sets!$H$2:$H$2000,Sets!$A$2:$A$2000,$A62,Sets!$D$2:$D$2000,S$1,Sets!$J$2:$J$2000,"N")=0,"",_xlfn.MAXIFS(Sets!$H$2:$H$2000,Sets!$A$2:$A$2000,$A62,Sets!$D$2:$D$2000,S$1,Sets!$J$2:$J$2000,"N"))</f>
        <v/>
      </c>
      <c r="T62">
        <f>IF(_xlfn.MAXIFS(Sets!$H$2:$H$2000,Sets!$A$2:$A$2000,$A62,Sets!$D$2:$D$2000,T$1,Sets!$J$2:$J$2000,"N")=0,"",_xlfn.MAXIFS(Sets!$H$2:$H$2000,Sets!$A$2:$A$2000,$A62,Sets!$D$2:$D$2000,T$1,Sets!$J$2:$J$2000,"N"))</f>
        <v/>
      </c>
      <c r="U62">
        <f>IF(_xlfn.MAXIFS(Sets!$H$2:$H$2000,Sets!$A$2:$A$2000,$A62,Sets!$D$2:$D$2000,U$1,Sets!$J$2:$J$2000,"N")=0,"",_xlfn.MAXIFS(Sets!$H$2:$H$2000,Sets!$A$2:$A$2000,$A62,Sets!$D$2:$D$2000,U$1,Sets!$J$2:$J$2000,"N"))</f>
        <v/>
      </c>
      <c r="V62">
        <f>IF(_xlfn.MAXIFS(Sets!$H$2:$H$2000,Sets!$A$2:$A$2000,$A62,Sets!$D$2:$D$2000,V$1,Sets!$J$2:$J$2000,"N")=0,"",_xlfn.MAXIFS(Sets!$H$2:$H$2000,Sets!$A$2:$A$2000,$A62,Sets!$D$2:$D$2000,V$1,Sets!$J$2:$J$2000,"N"))</f>
        <v/>
      </c>
      <c r="W62">
        <f>IF(_xlfn.MAXIFS(Sets!$H$2:$H$2000,Sets!$A$2:$A$2000,$A62,Sets!$D$2:$D$2000,W$1,Sets!$J$2:$J$2000,"N")=0,"",_xlfn.MAXIFS(Sets!$H$2:$H$2000,Sets!$A$2:$A$2000,$A62,Sets!$D$2:$D$2000,W$1,Sets!$J$2:$J$2000,"N"))</f>
        <v/>
      </c>
      <c r="X62">
        <f>IF(_xlfn.MAXIFS(Sets!$H$2:$H$2000,Sets!$A$2:$A$2000,$A62,Sets!$D$2:$D$2000,X$1,Sets!$J$2:$J$2000,"N")=0,"",_xlfn.MAXIFS(Sets!$H$2:$H$2000,Sets!$A$2:$A$2000,$A62,Sets!$D$2:$D$2000,X$1,Sets!$J$2:$J$2000,"N"))</f>
        <v/>
      </c>
      <c r="Y62">
        <f>IF(_xlfn.MAXIFS(Sets!$H$2:$H$2000,Sets!$A$2:$A$2000,$A62,Sets!$D$2:$D$2000,Y$1,Sets!$J$2:$J$2000,"N")=0,"",_xlfn.MAXIFS(Sets!$H$2:$H$2000,Sets!$A$2:$A$2000,$A62,Sets!$D$2:$D$2000,Y$1,Sets!$J$2:$J$2000,"N"))</f>
        <v/>
      </c>
      <c r="Z62">
        <f>IF(_xlfn.MAXIFS(Sets!$H$2:$H$2000,Sets!$A$2:$A$2000,$A62,Sets!$D$2:$D$2000,Z$1,Sets!$J$2:$J$2000,"N")=0,"",_xlfn.MAXIFS(Sets!$H$2:$H$2000,Sets!$A$2:$A$2000,$A62,Sets!$D$2:$D$2000,Z$1,Sets!$J$2:$J$2000,"N"))</f>
        <v/>
      </c>
      <c r="AA62">
        <f>IF(_xlfn.MAXIFS(Sets!$H$2:$H$2000,Sets!$A$2:$A$2000,$A62,Sets!$D$2:$D$2000,AA$1,Sets!$J$2:$J$2000,"N")=0,"",_xlfn.MAXIFS(Sets!$H$2:$H$2000,Sets!$A$2:$A$2000,$A62,Sets!$D$2:$D$2000,AA$1,Sets!$J$2:$J$2000,"N"))</f>
        <v/>
      </c>
      <c r="AB62">
        <f>IF(_xlfn.MAXIFS(Sets!$H$2:$H$2000,Sets!$A$2:$A$2000,$A62,Sets!$D$2:$D$2000,AB$1,Sets!$J$2:$J$2000,"N")=0,"",_xlfn.MAXIFS(Sets!$H$2:$H$2000,Sets!$A$2:$A$2000,$A62,Sets!$D$2:$D$2000,AB$1,Sets!$J$2:$J$2000,"N"))</f>
        <v/>
      </c>
      <c r="AC62">
        <f>IF(_xlfn.MAXIFS(Sets!$H$2:$H$2000,Sets!$A$2:$A$2000,$A62,Sets!$D$2:$D$2000,AC$1,Sets!$J$2:$J$2000,"N")=0,"",_xlfn.MAXIFS(Sets!$H$2:$H$2000,Sets!$A$2:$A$2000,$A62,Sets!$D$2:$D$2000,AC$1,Sets!$J$2:$J$2000,"N"))</f>
        <v/>
      </c>
      <c r="AD62">
        <f>IF(_xlfn.MAXIFS(Sets!$H$2:$H$2000,Sets!$A$2:$A$2000,$A62,Sets!$D$2:$D$2000,AD$1,Sets!$J$2:$J$2000,"N")=0,"",_xlfn.MAXIFS(Sets!$H$2:$H$2000,Sets!$A$2:$A$2000,$A62,Sets!$D$2:$D$2000,AD$1,Sets!$J$2:$J$2000,"N"))</f>
        <v/>
      </c>
      <c r="AE62">
        <f>IF(_xlfn.MAXIFS(Sets!$H$2:$H$2000,Sets!$A$2:$A$2000,$A62,Sets!$D$2:$D$2000,AE$1,Sets!$J$2:$J$2000,"N")=0,"",_xlfn.MAXIFS(Sets!$H$2:$H$2000,Sets!$A$2:$A$2000,$A62,Sets!$D$2:$D$2000,AE$1,Sets!$J$2:$J$2000,"N"))</f>
        <v/>
      </c>
      <c r="AF62">
        <f>IF(_xlfn.MAXIFS(Sets!$H$2:$H$2000,Sets!$A$2:$A$2000,$A62,Sets!$D$2:$D$2000,AF$1,Sets!$J$2:$J$2000,"N")=0,"",_xlfn.MAXIFS(Sets!$H$2:$H$2000,Sets!$A$2:$A$2000,$A62,Sets!$D$2:$D$2000,AF$1,Sets!$J$2:$J$2000,"N"))</f>
        <v/>
      </c>
      <c r="AG62">
        <f>IF(_xlfn.MAXIFS(Sets!$H$2:$H$2000,Sets!$A$2:$A$2000,$A62,Sets!$D$2:$D$2000,AG$1,Sets!$J$2:$J$2000,"N")=0,"",_xlfn.MAXIFS(Sets!$H$2:$H$2000,Sets!$A$2:$A$2000,$A62,Sets!$D$2:$D$2000,AG$1,Sets!$J$2:$J$2000,"N"))</f>
        <v/>
      </c>
      <c r="AH62">
        <f>IF(_xlfn.MAXIFS(Sets!$H$2:$H$2000,Sets!$A$2:$A$2000,$A62,Sets!$D$2:$D$2000,AH$1,Sets!$J$2:$J$2000,"N")=0,"",_xlfn.MAXIFS(Sets!$H$2:$H$2000,Sets!$A$2:$A$2000,$A62,Sets!$D$2:$D$2000,AH$1,Sets!$J$2:$J$2000,"N"))</f>
        <v/>
      </c>
      <c r="AI62">
        <f>IF(_xlfn.MAXIFS(Sets!$H$2:$H$2000,Sets!$A$2:$A$2000,$A62,Sets!$D$2:$D$2000,AI$1,Sets!$J$2:$J$2000,"N")=0,"",_xlfn.MAXIFS(Sets!$H$2:$H$2000,Sets!$A$2:$A$2000,$A62,Sets!$D$2:$D$2000,AI$1,Sets!$J$2:$J$2000,"N"))</f>
        <v/>
      </c>
      <c r="AJ62">
        <f>IF(_xlfn.MAXIFS(Sets!$H$2:$H$2000,Sets!$A$2:$A$2000,$A62,Sets!$D$2:$D$2000,AJ$1,Sets!$J$2:$J$2000,"N")=0,"",_xlfn.MAXIFS(Sets!$H$2:$H$2000,Sets!$A$2:$A$2000,$A62,Sets!$D$2:$D$2000,AJ$1,Sets!$J$2:$J$2000,"N"))</f>
        <v/>
      </c>
      <c r="AK62">
        <f>IF(_xlfn.MAXIFS(Sets!$H$2:$H$2000,Sets!$A$2:$A$2000,$A62,Sets!$D$2:$D$2000,AK$1,Sets!$J$2:$J$2000,"N")=0,"",_xlfn.MAXIFS(Sets!$H$2:$H$2000,Sets!$A$2:$A$2000,$A62,Sets!$D$2:$D$2000,AK$1,Sets!$J$2:$J$2000,"N"))</f>
        <v/>
      </c>
      <c r="AL62">
        <f>IF(_xlfn.MAXIFS(Sets!$H$2:$H$2000,Sets!$A$2:$A$2000,$A62,Sets!$D$2:$D$2000,AL$1,Sets!$J$2:$J$2000,"N")=0,"",_xlfn.MAXIFS(Sets!$H$2:$H$2000,Sets!$A$2:$A$2000,$A62,Sets!$D$2:$D$2000,AL$1,Sets!$J$2:$J$2000,"N"))</f>
        <v/>
      </c>
      <c r="AM62">
        <f>IF(_xlfn.MAXIFS(Sets!$H$2:$H$2000,Sets!$A$2:$A$2000,$A62,Sets!$D$2:$D$2000,AM$1,Sets!$J$2:$J$2000,"N")=0,"",_xlfn.MAXIFS(Sets!$H$2:$H$2000,Sets!$A$2:$A$2000,$A62,Sets!$D$2:$D$2000,AM$1,Sets!$J$2:$J$2000,"N"))</f>
        <v/>
      </c>
      <c r="AN62">
        <f>IF(_xlfn.MAXIFS(Sets!$H$2:$H$2000,Sets!$A$2:$A$2000,$A62,Sets!$D$2:$D$2000,AN$1,Sets!$J$2:$J$2000,"N")=0,"",_xlfn.MAXIFS(Sets!$H$2:$H$2000,Sets!$A$2:$A$2000,$A62,Sets!$D$2:$D$2000,AN$1,Sets!$J$2:$J$2000,"N"))</f>
        <v/>
      </c>
      <c r="AO62">
        <f>IF(_xlfn.MAXIFS(Sets!$H$2:$H$2000,Sets!$A$2:$A$2000,$A62,Sets!$D$2:$D$2000,AO$1,Sets!$J$2:$J$2000,"N")=0,"",_xlfn.MAXIFS(Sets!$H$2:$H$2000,Sets!$A$2:$A$2000,$A62,Sets!$D$2:$D$2000,AO$1,Sets!$J$2:$J$2000,"N"))</f>
        <v/>
      </c>
      <c r="AP62">
        <f>IF(_xlfn.MAXIFS(Sets!$H$2:$H$2000,Sets!$A$2:$A$2000,$A62,Sets!$D$2:$D$2000,AP$1,Sets!$J$2:$J$2000,"N")=0,"",_xlfn.MAXIFS(Sets!$H$2:$H$2000,Sets!$A$2:$A$2000,$A62,Sets!$D$2:$D$2000,AP$1,Sets!$J$2:$J$2000,"N"))</f>
        <v/>
      </c>
    </row>
    <row r="63">
      <c r="A63" s="36" t="n">
        <v>46244</v>
      </c>
      <c r="B63">
        <f>IF(_xlfn.MAXIFS(Sets!$H$2:$H$2000,Sets!$A$2:$A$2000,$A63,Sets!$D$2:$D$2000,B$1,Sets!$J$2:$J$2000,"N")=0,"",_xlfn.MAXIFS(Sets!$H$2:$H$2000,Sets!$A$2:$A$2000,$A63,Sets!$D$2:$D$2000,B$1,Sets!$J$2:$J$2000,"N"))</f>
        <v/>
      </c>
      <c r="C63">
        <f>IF(_xlfn.MAXIFS(Sets!$H$2:$H$2000,Sets!$A$2:$A$2000,$A63,Sets!$D$2:$D$2000,C$1,Sets!$J$2:$J$2000,"N")=0,"",_xlfn.MAXIFS(Sets!$H$2:$H$2000,Sets!$A$2:$A$2000,$A63,Sets!$D$2:$D$2000,C$1,Sets!$J$2:$J$2000,"N"))</f>
        <v/>
      </c>
      <c r="D63">
        <f>IF(_xlfn.MAXIFS(Sets!$H$2:$H$2000,Sets!$A$2:$A$2000,$A63,Sets!$D$2:$D$2000,D$1,Sets!$J$2:$J$2000,"N")=0,"",_xlfn.MAXIFS(Sets!$H$2:$H$2000,Sets!$A$2:$A$2000,$A63,Sets!$D$2:$D$2000,D$1,Sets!$J$2:$J$2000,"N"))</f>
        <v/>
      </c>
      <c r="E63">
        <f>IF(_xlfn.MAXIFS(Sets!$H$2:$H$2000,Sets!$A$2:$A$2000,$A63,Sets!$D$2:$D$2000,E$1,Sets!$J$2:$J$2000,"N")=0,"",_xlfn.MAXIFS(Sets!$H$2:$H$2000,Sets!$A$2:$A$2000,$A63,Sets!$D$2:$D$2000,E$1,Sets!$J$2:$J$2000,"N"))</f>
        <v/>
      </c>
      <c r="F63">
        <f>IF(_xlfn.MAXIFS(Sets!$H$2:$H$2000,Sets!$A$2:$A$2000,$A63,Sets!$D$2:$D$2000,F$1,Sets!$J$2:$J$2000,"N")=0,"",_xlfn.MAXIFS(Sets!$H$2:$H$2000,Sets!$A$2:$A$2000,$A63,Sets!$D$2:$D$2000,F$1,Sets!$J$2:$J$2000,"N"))</f>
        <v/>
      </c>
      <c r="G63">
        <f>IF(_xlfn.MAXIFS(Sets!$H$2:$H$2000,Sets!$A$2:$A$2000,$A63,Sets!$D$2:$D$2000,G$1,Sets!$J$2:$J$2000,"N")=0,"",_xlfn.MAXIFS(Sets!$H$2:$H$2000,Sets!$A$2:$A$2000,$A63,Sets!$D$2:$D$2000,G$1,Sets!$J$2:$J$2000,"N"))</f>
        <v/>
      </c>
      <c r="H63">
        <f>IF(_xlfn.MAXIFS(Sets!$H$2:$H$2000,Sets!$A$2:$A$2000,$A63,Sets!$D$2:$D$2000,H$1,Sets!$J$2:$J$2000,"N")=0,"",_xlfn.MAXIFS(Sets!$H$2:$H$2000,Sets!$A$2:$A$2000,$A63,Sets!$D$2:$D$2000,H$1,Sets!$J$2:$J$2000,"N"))</f>
        <v/>
      </c>
      <c r="I63">
        <f>IF(_xlfn.MAXIFS(Sets!$H$2:$H$2000,Sets!$A$2:$A$2000,$A63,Sets!$D$2:$D$2000,I$1,Sets!$J$2:$J$2000,"N")=0,"",_xlfn.MAXIFS(Sets!$H$2:$H$2000,Sets!$A$2:$A$2000,$A63,Sets!$D$2:$D$2000,I$1,Sets!$J$2:$J$2000,"N"))</f>
        <v/>
      </c>
      <c r="J63">
        <f>IF(_xlfn.MAXIFS(Sets!$H$2:$H$2000,Sets!$A$2:$A$2000,$A63,Sets!$D$2:$D$2000,J$1,Sets!$J$2:$J$2000,"N")=0,"",_xlfn.MAXIFS(Sets!$H$2:$H$2000,Sets!$A$2:$A$2000,$A63,Sets!$D$2:$D$2000,J$1,Sets!$J$2:$J$2000,"N"))</f>
        <v/>
      </c>
      <c r="K63">
        <f>IF(_xlfn.MAXIFS(Sets!$H$2:$H$2000,Sets!$A$2:$A$2000,$A63,Sets!$D$2:$D$2000,K$1,Sets!$J$2:$J$2000,"N")=0,"",_xlfn.MAXIFS(Sets!$H$2:$H$2000,Sets!$A$2:$A$2000,$A63,Sets!$D$2:$D$2000,K$1,Sets!$J$2:$J$2000,"N"))</f>
        <v/>
      </c>
      <c r="L63">
        <f>IF(_xlfn.MAXIFS(Sets!$H$2:$H$2000,Sets!$A$2:$A$2000,$A63,Sets!$D$2:$D$2000,L$1,Sets!$J$2:$J$2000,"N")=0,"",_xlfn.MAXIFS(Sets!$H$2:$H$2000,Sets!$A$2:$A$2000,$A63,Sets!$D$2:$D$2000,L$1,Sets!$J$2:$J$2000,"N"))</f>
        <v/>
      </c>
      <c r="M63">
        <f>IF(_xlfn.MAXIFS(Sets!$H$2:$H$2000,Sets!$A$2:$A$2000,$A63,Sets!$D$2:$D$2000,M$1,Sets!$J$2:$J$2000,"N")=0,"",_xlfn.MAXIFS(Sets!$H$2:$H$2000,Sets!$A$2:$A$2000,$A63,Sets!$D$2:$D$2000,M$1,Sets!$J$2:$J$2000,"N"))</f>
        <v/>
      </c>
      <c r="N63">
        <f>IF(_xlfn.MAXIFS(Sets!$H$2:$H$2000,Sets!$A$2:$A$2000,$A63,Sets!$D$2:$D$2000,N$1,Sets!$J$2:$J$2000,"N")=0,"",_xlfn.MAXIFS(Sets!$H$2:$H$2000,Sets!$A$2:$A$2000,$A63,Sets!$D$2:$D$2000,N$1,Sets!$J$2:$J$2000,"N"))</f>
        <v/>
      </c>
      <c r="O63">
        <f>IF(_xlfn.MAXIFS(Sets!$H$2:$H$2000,Sets!$A$2:$A$2000,$A63,Sets!$D$2:$D$2000,O$1,Sets!$J$2:$J$2000,"N")=0,"",_xlfn.MAXIFS(Sets!$H$2:$H$2000,Sets!$A$2:$A$2000,$A63,Sets!$D$2:$D$2000,O$1,Sets!$J$2:$J$2000,"N"))</f>
        <v/>
      </c>
      <c r="P63">
        <f>IF(_xlfn.MAXIFS(Sets!$H$2:$H$2000,Sets!$A$2:$A$2000,$A63,Sets!$D$2:$D$2000,P$1,Sets!$J$2:$J$2000,"N")=0,"",_xlfn.MAXIFS(Sets!$H$2:$H$2000,Sets!$A$2:$A$2000,$A63,Sets!$D$2:$D$2000,P$1,Sets!$J$2:$J$2000,"N"))</f>
        <v/>
      </c>
      <c r="Q63">
        <f>IF(_xlfn.MAXIFS(Sets!$H$2:$H$2000,Sets!$A$2:$A$2000,$A63,Sets!$D$2:$D$2000,Q$1,Sets!$J$2:$J$2000,"N")=0,"",_xlfn.MAXIFS(Sets!$H$2:$H$2000,Sets!$A$2:$A$2000,$A63,Sets!$D$2:$D$2000,Q$1,Sets!$J$2:$J$2000,"N"))</f>
        <v/>
      </c>
      <c r="R63">
        <f>IF(_xlfn.MAXIFS(Sets!$H$2:$H$2000,Sets!$A$2:$A$2000,$A63,Sets!$D$2:$D$2000,R$1,Sets!$J$2:$J$2000,"N")=0,"",_xlfn.MAXIFS(Sets!$H$2:$H$2000,Sets!$A$2:$A$2000,$A63,Sets!$D$2:$D$2000,R$1,Sets!$J$2:$J$2000,"N"))</f>
        <v/>
      </c>
      <c r="S63">
        <f>IF(_xlfn.MAXIFS(Sets!$H$2:$H$2000,Sets!$A$2:$A$2000,$A63,Sets!$D$2:$D$2000,S$1,Sets!$J$2:$J$2000,"N")=0,"",_xlfn.MAXIFS(Sets!$H$2:$H$2000,Sets!$A$2:$A$2000,$A63,Sets!$D$2:$D$2000,S$1,Sets!$J$2:$J$2000,"N"))</f>
        <v/>
      </c>
      <c r="T63">
        <f>IF(_xlfn.MAXIFS(Sets!$H$2:$H$2000,Sets!$A$2:$A$2000,$A63,Sets!$D$2:$D$2000,T$1,Sets!$J$2:$J$2000,"N")=0,"",_xlfn.MAXIFS(Sets!$H$2:$H$2000,Sets!$A$2:$A$2000,$A63,Sets!$D$2:$D$2000,T$1,Sets!$J$2:$J$2000,"N"))</f>
        <v/>
      </c>
      <c r="U63">
        <f>IF(_xlfn.MAXIFS(Sets!$H$2:$H$2000,Sets!$A$2:$A$2000,$A63,Sets!$D$2:$D$2000,U$1,Sets!$J$2:$J$2000,"N")=0,"",_xlfn.MAXIFS(Sets!$H$2:$H$2000,Sets!$A$2:$A$2000,$A63,Sets!$D$2:$D$2000,U$1,Sets!$J$2:$J$2000,"N"))</f>
        <v/>
      </c>
      <c r="V63">
        <f>IF(_xlfn.MAXIFS(Sets!$H$2:$H$2000,Sets!$A$2:$A$2000,$A63,Sets!$D$2:$D$2000,V$1,Sets!$J$2:$J$2000,"N")=0,"",_xlfn.MAXIFS(Sets!$H$2:$H$2000,Sets!$A$2:$A$2000,$A63,Sets!$D$2:$D$2000,V$1,Sets!$J$2:$J$2000,"N"))</f>
        <v/>
      </c>
      <c r="W63">
        <f>IF(_xlfn.MAXIFS(Sets!$H$2:$H$2000,Sets!$A$2:$A$2000,$A63,Sets!$D$2:$D$2000,W$1,Sets!$J$2:$J$2000,"N")=0,"",_xlfn.MAXIFS(Sets!$H$2:$H$2000,Sets!$A$2:$A$2000,$A63,Sets!$D$2:$D$2000,W$1,Sets!$J$2:$J$2000,"N"))</f>
        <v/>
      </c>
      <c r="X63">
        <f>IF(_xlfn.MAXIFS(Sets!$H$2:$H$2000,Sets!$A$2:$A$2000,$A63,Sets!$D$2:$D$2000,X$1,Sets!$J$2:$J$2000,"N")=0,"",_xlfn.MAXIFS(Sets!$H$2:$H$2000,Sets!$A$2:$A$2000,$A63,Sets!$D$2:$D$2000,X$1,Sets!$J$2:$J$2000,"N"))</f>
        <v/>
      </c>
      <c r="Y63">
        <f>IF(_xlfn.MAXIFS(Sets!$H$2:$H$2000,Sets!$A$2:$A$2000,$A63,Sets!$D$2:$D$2000,Y$1,Sets!$J$2:$J$2000,"N")=0,"",_xlfn.MAXIFS(Sets!$H$2:$H$2000,Sets!$A$2:$A$2000,$A63,Sets!$D$2:$D$2000,Y$1,Sets!$J$2:$J$2000,"N"))</f>
        <v/>
      </c>
      <c r="Z63">
        <f>IF(_xlfn.MAXIFS(Sets!$H$2:$H$2000,Sets!$A$2:$A$2000,$A63,Sets!$D$2:$D$2000,Z$1,Sets!$J$2:$J$2000,"N")=0,"",_xlfn.MAXIFS(Sets!$H$2:$H$2000,Sets!$A$2:$A$2000,$A63,Sets!$D$2:$D$2000,Z$1,Sets!$J$2:$J$2000,"N"))</f>
        <v/>
      </c>
      <c r="AA63">
        <f>IF(_xlfn.MAXIFS(Sets!$H$2:$H$2000,Sets!$A$2:$A$2000,$A63,Sets!$D$2:$D$2000,AA$1,Sets!$J$2:$J$2000,"N")=0,"",_xlfn.MAXIFS(Sets!$H$2:$H$2000,Sets!$A$2:$A$2000,$A63,Sets!$D$2:$D$2000,AA$1,Sets!$J$2:$J$2000,"N"))</f>
        <v/>
      </c>
      <c r="AB63">
        <f>IF(_xlfn.MAXIFS(Sets!$H$2:$H$2000,Sets!$A$2:$A$2000,$A63,Sets!$D$2:$D$2000,AB$1,Sets!$J$2:$J$2000,"N")=0,"",_xlfn.MAXIFS(Sets!$H$2:$H$2000,Sets!$A$2:$A$2000,$A63,Sets!$D$2:$D$2000,AB$1,Sets!$J$2:$J$2000,"N"))</f>
        <v/>
      </c>
      <c r="AC63">
        <f>IF(_xlfn.MAXIFS(Sets!$H$2:$H$2000,Sets!$A$2:$A$2000,$A63,Sets!$D$2:$D$2000,AC$1,Sets!$J$2:$J$2000,"N")=0,"",_xlfn.MAXIFS(Sets!$H$2:$H$2000,Sets!$A$2:$A$2000,$A63,Sets!$D$2:$D$2000,AC$1,Sets!$J$2:$J$2000,"N"))</f>
        <v/>
      </c>
      <c r="AD63">
        <f>IF(_xlfn.MAXIFS(Sets!$H$2:$H$2000,Sets!$A$2:$A$2000,$A63,Sets!$D$2:$D$2000,AD$1,Sets!$J$2:$J$2000,"N")=0,"",_xlfn.MAXIFS(Sets!$H$2:$H$2000,Sets!$A$2:$A$2000,$A63,Sets!$D$2:$D$2000,AD$1,Sets!$J$2:$J$2000,"N"))</f>
        <v/>
      </c>
      <c r="AE63">
        <f>IF(_xlfn.MAXIFS(Sets!$H$2:$H$2000,Sets!$A$2:$A$2000,$A63,Sets!$D$2:$D$2000,AE$1,Sets!$J$2:$J$2000,"N")=0,"",_xlfn.MAXIFS(Sets!$H$2:$H$2000,Sets!$A$2:$A$2000,$A63,Sets!$D$2:$D$2000,AE$1,Sets!$J$2:$J$2000,"N"))</f>
        <v/>
      </c>
      <c r="AF63">
        <f>IF(_xlfn.MAXIFS(Sets!$H$2:$H$2000,Sets!$A$2:$A$2000,$A63,Sets!$D$2:$D$2000,AF$1,Sets!$J$2:$J$2000,"N")=0,"",_xlfn.MAXIFS(Sets!$H$2:$H$2000,Sets!$A$2:$A$2000,$A63,Sets!$D$2:$D$2000,AF$1,Sets!$J$2:$J$2000,"N"))</f>
        <v/>
      </c>
      <c r="AG63">
        <f>IF(_xlfn.MAXIFS(Sets!$H$2:$H$2000,Sets!$A$2:$A$2000,$A63,Sets!$D$2:$D$2000,AG$1,Sets!$J$2:$J$2000,"N")=0,"",_xlfn.MAXIFS(Sets!$H$2:$H$2000,Sets!$A$2:$A$2000,$A63,Sets!$D$2:$D$2000,AG$1,Sets!$J$2:$J$2000,"N"))</f>
        <v/>
      </c>
      <c r="AH63">
        <f>IF(_xlfn.MAXIFS(Sets!$H$2:$H$2000,Sets!$A$2:$A$2000,$A63,Sets!$D$2:$D$2000,AH$1,Sets!$J$2:$J$2000,"N")=0,"",_xlfn.MAXIFS(Sets!$H$2:$H$2000,Sets!$A$2:$A$2000,$A63,Sets!$D$2:$D$2000,AH$1,Sets!$J$2:$J$2000,"N"))</f>
        <v/>
      </c>
      <c r="AI63">
        <f>IF(_xlfn.MAXIFS(Sets!$H$2:$H$2000,Sets!$A$2:$A$2000,$A63,Sets!$D$2:$D$2000,AI$1,Sets!$J$2:$J$2000,"N")=0,"",_xlfn.MAXIFS(Sets!$H$2:$H$2000,Sets!$A$2:$A$2000,$A63,Sets!$D$2:$D$2000,AI$1,Sets!$J$2:$J$2000,"N"))</f>
        <v/>
      </c>
      <c r="AJ63">
        <f>IF(_xlfn.MAXIFS(Sets!$H$2:$H$2000,Sets!$A$2:$A$2000,$A63,Sets!$D$2:$D$2000,AJ$1,Sets!$J$2:$J$2000,"N")=0,"",_xlfn.MAXIFS(Sets!$H$2:$H$2000,Sets!$A$2:$A$2000,$A63,Sets!$D$2:$D$2000,AJ$1,Sets!$J$2:$J$2000,"N"))</f>
        <v/>
      </c>
      <c r="AK63">
        <f>IF(_xlfn.MAXIFS(Sets!$H$2:$H$2000,Sets!$A$2:$A$2000,$A63,Sets!$D$2:$D$2000,AK$1,Sets!$J$2:$J$2000,"N")=0,"",_xlfn.MAXIFS(Sets!$H$2:$H$2000,Sets!$A$2:$A$2000,$A63,Sets!$D$2:$D$2000,AK$1,Sets!$J$2:$J$2000,"N"))</f>
        <v/>
      </c>
      <c r="AL63">
        <f>IF(_xlfn.MAXIFS(Sets!$H$2:$H$2000,Sets!$A$2:$A$2000,$A63,Sets!$D$2:$D$2000,AL$1,Sets!$J$2:$J$2000,"N")=0,"",_xlfn.MAXIFS(Sets!$H$2:$H$2000,Sets!$A$2:$A$2000,$A63,Sets!$D$2:$D$2000,AL$1,Sets!$J$2:$J$2000,"N"))</f>
        <v/>
      </c>
      <c r="AM63">
        <f>IF(_xlfn.MAXIFS(Sets!$H$2:$H$2000,Sets!$A$2:$A$2000,$A63,Sets!$D$2:$D$2000,AM$1,Sets!$J$2:$J$2000,"N")=0,"",_xlfn.MAXIFS(Sets!$H$2:$H$2000,Sets!$A$2:$A$2000,$A63,Sets!$D$2:$D$2000,AM$1,Sets!$J$2:$J$2000,"N"))</f>
        <v/>
      </c>
      <c r="AN63">
        <f>IF(_xlfn.MAXIFS(Sets!$H$2:$H$2000,Sets!$A$2:$A$2000,$A63,Sets!$D$2:$D$2000,AN$1,Sets!$J$2:$J$2000,"N")=0,"",_xlfn.MAXIFS(Sets!$H$2:$H$2000,Sets!$A$2:$A$2000,$A63,Sets!$D$2:$D$2000,AN$1,Sets!$J$2:$J$2000,"N"))</f>
        <v/>
      </c>
      <c r="AO63">
        <f>IF(_xlfn.MAXIFS(Sets!$H$2:$H$2000,Sets!$A$2:$A$2000,$A63,Sets!$D$2:$D$2000,AO$1,Sets!$J$2:$J$2000,"N")=0,"",_xlfn.MAXIFS(Sets!$H$2:$H$2000,Sets!$A$2:$A$2000,$A63,Sets!$D$2:$D$2000,AO$1,Sets!$J$2:$J$2000,"N"))</f>
        <v/>
      </c>
      <c r="AP63">
        <f>IF(_xlfn.MAXIFS(Sets!$H$2:$H$2000,Sets!$A$2:$A$2000,$A63,Sets!$D$2:$D$2000,AP$1,Sets!$J$2:$J$2000,"N")=0,"",_xlfn.MAXIFS(Sets!$H$2:$H$2000,Sets!$A$2:$A$2000,$A63,Sets!$D$2:$D$2000,AP$1,Sets!$J$2:$J$2000,"N"))</f>
        <v/>
      </c>
    </row>
    <row r="64">
      <c r="A64" s="36" t="n">
        <v>46245</v>
      </c>
      <c r="B64">
        <f>IF(_xlfn.MAXIFS(Sets!$H$2:$H$2000,Sets!$A$2:$A$2000,$A64,Sets!$D$2:$D$2000,B$1,Sets!$J$2:$J$2000,"N")=0,"",_xlfn.MAXIFS(Sets!$H$2:$H$2000,Sets!$A$2:$A$2000,$A64,Sets!$D$2:$D$2000,B$1,Sets!$J$2:$J$2000,"N"))</f>
        <v/>
      </c>
      <c r="C64">
        <f>IF(_xlfn.MAXIFS(Sets!$H$2:$H$2000,Sets!$A$2:$A$2000,$A64,Sets!$D$2:$D$2000,C$1,Sets!$J$2:$J$2000,"N")=0,"",_xlfn.MAXIFS(Sets!$H$2:$H$2000,Sets!$A$2:$A$2000,$A64,Sets!$D$2:$D$2000,C$1,Sets!$J$2:$J$2000,"N"))</f>
        <v/>
      </c>
      <c r="D64">
        <f>IF(_xlfn.MAXIFS(Sets!$H$2:$H$2000,Sets!$A$2:$A$2000,$A64,Sets!$D$2:$D$2000,D$1,Sets!$J$2:$J$2000,"N")=0,"",_xlfn.MAXIFS(Sets!$H$2:$H$2000,Sets!$A$2:$A$2000,$A64,Sets!$D$2:$D$2000,D$1,Sets!$J$2:$J$2000,"N"))</f>
        <v/>
      </c>
      <c r="E64">
        <f>IF(_xlfn.MAXIFS(Sets!$H$2:$H$2000,Sets!$A$2:$A$2000,$A64,Sets!$D$2:$D$2000,E$1,Sets!$J$2:$J$2000,"N")=0,"",_xlfn.MAXIFS(Sets!$H$2:$H$2000,Sets!$A$2:$A$2000,$A64,Sets!$D$2:$D$2000,E$1,Sets!$J$2:$J$2000,"N"))</f>
        <v/>
      </c>
      <c r="F64">
        <f>IF(_xlfn.MAXIFS(Sets!$H$2:$H$2000,Sets!$A$2:$A$2000,$A64,Sets!$D$2:$D$2000,F$1,Sets!$J$2:$J$2000,"N")=0,"",_xlfn.MAXIFS(Sets!$H$2:$H$2000,Sets!$A$2:$A$2000,$A64,Sets!$D$2:$D$2000,F$1,Sets!$J$2:$J$2000,"N"))</f>
        <v/>
      </c>
      <c r="G64">
        <f>IF(_xlfn.MAXIFS(Sets!$H$2:$H$2000,Sets!$A$2:$A$2000,$A64,Sets!$D$2:$D$2000,G$1,Sets!$J$2:$J$2000,"N")=0,"",_xlfn.MAXIFS(Sets!$H$2:$H$2000,Sets!$A$2:$A$2000,$A64,Sets!$D$2:$D$2000,G$1,Sets!$J$2:$J$2000,"N"))</f>
        <v/>
      </c>
      <c r="H64">
        <f>IF(_xlfn.MAXIFS(Sets!$H$2:$H$2000,Sets!$A$2:$A$2000,$A64,Sets!$D$2:$D$2000,H$1,Sets!$J$2:$J$2000,"N")=0,"",_xlfn.MAXIFS(Sets!$H$2:$H$2000,Sets!$A$2:$A$2000,$A64,Sets!$D$2:$D$2000,H$1,Sets!$J$2:$J$2000,"N"))</f>
        <v/>
      </c>
      <c r="I64">
        <f>IF(_xlfn.MAXIFS(Sets!$H$2:$H$2000,Sets!$A$2:$A$2000,$A64,Sets!$D$2:$D$2000,I$1,Sets!$J$2:$J$2000,"N")=0,"",_xlfn.MAXIFS(Sets!$H$2:$H$2000,Sets!$A$2:$A$2000,$A64,Sets!$D$2:$D$2000,I$1,Sets!$J$2:$J$2000,"N"))</f>
        <v/>
      </c>
      <c r="J64">
        <f>IF(_xlfn.MAXIFS(Sets!$H$2:$H$2000,Sets!$A$2:$A$2000,$A64,Sets!$D$2:$D$2000,J$1,Sets!$J$2:$J$2000,"N")=0,"",_xlfn.MAXIFS(Sets!$H$2:$H$2000,Sets!$A$2:$A$2000,$A64,Sets!$D$2:$D$2000,J$1,Sets!$J$2:$J$2000,"N"))</f>
        <v/>
      </c>
      <c r="K64">
        <f>IF(_xlfn.MAXIFS(Sets!$H$2:$H$2000,Sets!$A$2:$A$2000,$A64,Sets!$D$2:$D$2000,K$1,Sets!$J$2:$J$2000,"N")=0,"",_xlfn.MAXIFS(Sets!$H$2:$H$2000,Sets!$A$2:$A$2000,$A64,Sets!$D$2:$D$2000,K$1,Sets!$J$2:$J$2000,"N"))</f>
        <v/>
      </c>
      <c r="L64">
        <f>IF(_xlfn.MAXIFS(Sets!$H$2:$H$2000,Sets!$A$2:$A$2000,$A64,Sets!$D$2:$D$2000,L$1,Sets!$J$2:$J$2000,"N")=0,"",_xlfn.MAXIFS(Sets!$H$2:$H$2000,Sets!$A$2:$A$2000,$A64,Sets!$D$2:$D$2000,L$1,Sets!$J$2:$J$2000,"N"))</f>
        <v/>
      </c>
      <c r="M64">
        <f>IF(_xlfn.MAXIFS(Sets!$H$2:$H$2000,Sets!$A$2:$A$2000,$A64,Sets!$D$2:$D$2000,M$1,Sets!$J$2:$J$2000,"N")=0,"",_xlfn.MAXIFS(Sets!$H$2:$H$2000,Sets!$A$2:$A$2000,$A64,Sets!$D$2:$D$2000,M$1,Sets!$J$2:$J$2000,"N"))</f>
        <v/>
      </c>
      <c r="N64">
        <f>IF(_xlfn.MAXIFS(Sets!$H$2:$H$2000,Sets!$A$2:$A$2000,$A64,Sets!$D$2:$D$2000,N$1,Sets!$J$2:$J$2000,"N")=0,"",_xlfn.MAXIFS(Sets!$H$2:$H$2000,Sets!$A$2:$A$2000,$A64,Sets!$D$2:$D$2000,N$1,Sets!$J$2:$J$2000,"N"))</f>
        <v/>
      </c>
      <c r="O64">
        <f>IF(_xlfn.MAXIFS(Sets!$H$2:$H$2000,Sets!$A$2:$A$2000,$A64,Sets!$D$2:$D$2000,O$1,Sets!$J$2:$J$2000,"N")=0,"",_xlfn.MAXIFS(Sets!$H$2:$H$2000,Sets!$A$2:$A$2000,$A64,Sets!$D$2:$D$2000,O$1,Sets!$J$2:$J$2000,"N"))</f>
        <v/>
      </c>
      <c r="P64">
        <f>IF(_xlfn.MAXIFS(Sets!$H$2:$H$2000,Sets!$A$2:$A$2000,$A64,Sets!$D$2:$D$2000,P$1,Sets!$J$2:$J$2000,"N")=0,"",_xlfn.MAXIFS(Sets!$H$2:$H$2000,Sets!$A$2:$A$2000,$A64,Sets!$D$2:$D$2000,P$1,Sets!$J$2:$J$2000,"N"))</f>
        <v/>
      </c>
      <c r="Q64">
        <f>IF(_xlfn.MAXIFS(Sets!$H$2:$H$2000,Sets!$A$2:$A$2000,$A64,Sets!$D$2:$D$2000,Q$1,Sets!$J$2:$J$2000,"N")=0,"",_xlfn.MAXIFS(Sets!$H$2:$H$2000,Sets!$A$2:$A$2000,$A64,Sets!$D$2:$D$2000,Q$1,Sets!$J$2:$J$2000,"N"))</f>
        <v/>
      </c>
      <c r="R64">
        <f>IF(_xlfn.MAXIFS(Sets!$H$2:$H$2000,Sets!$A$2:$A$2000,$A64,Sets!$D$2:$D$2000,R$1,Sets!$J$2:$J$2000,"N")=0,"",_xlfn.MAXIFS(Sets!$H$2:$H$2000,Sets!$A$2:$A$2000,$A64,Sets!$D$2:$D$2000,R$1,Sets!$J$2:$J$2000,"N"))</f>
        <v/>
      </c>
      <c r="S64">
        <f>IF(_xlfn.MAXIFS(Sets!$H$2:$H$2000,Sets!$A$2:$A$2000,$A64,Sets!$D$2:$D$2000,S$1,Sets!$J$2:$J$2000,"N")=0,"",_xlfn.MAXIFS(Sets!$H$2:$H$2000,Sets!$A$2:$A$2000,$A64,Sets!$D$2:$D$2000,S$1,Sets!$J$2:$J$2000,"N"))</f>
        <v/>
      </c>
      <c r="T64">
        <f>IF(_xlfn.MAXIFS(Sets!$H$2:$H$2000,Sets!$A$2:$A$2000,$A64,Sets!$D$2:$D$2000,T$1,Sets!$J$2:$J$2000,"N")=0,"",_xlfn.MAXIFS(Sets!$H$2:$H$2000,Sets!$A$2:$A$2000,$A64,Sets!$D$2:$D$2000,T$1,Sets!$J$2:$J$2000,"N"))</f>
        <v/>
      </c>
      <c r="U64">
        <f>IF(_xlfn.MAXIFS(Sets!$H$2:$H$2000,Sets!$A$2:$A$2000,$A64,Sets!$D$2:$D$2000,U$1,Sets!$J$2:$J$2000,"N")=0,"",_xlfn.MAXIFS(Sets!$H$2:$H$2000,Sets!$A$2:$A$2000,$A64,Sets!$D$2:$D$2000,U$1,Sets!$J$2:$J$2000,"N"))</f>
        <v/>
      </c>
      <c r="V64">
        <f>IF(_xlfn.MAXIFS(Sets!$H$2:$H$2000,Sets!$A$2:$A$2000,$A64,Sets!$D$2:$D$2000,V$1,Sets!$J$2:$J$2000,"N")=0,"",_xlfn.MAXIFS(Sets!$H$2:$H$2000,Sets!$A$2:$A$2000,$A64,Sets!$D$2:$D$2000,V$1,Sets!$J$2:$J$2000,"N"))</f>
        <v/>
      </c>
      <c r="W64">
        <f>IF(_xlfn.MAXIFS(Sets!$H$2:$H$2000,Sets!$A$2:$A$2000,$A64,Sets!$D$2:$D$2000,W$1,Sets!$J$2:$J$2000,"N")=0,"",_xlfn.MAXIFS(Sets!$H$2:$H$2000,Sets!$A$2:$A$2000,$A64,Sets!$D$2:$D$2000,W$1,Sets!$J$2:$J$2000,"N"))</f>
        <v/>
      </c>
      <c r="X64">
        <f>IF(_xlfn.MAXIFS(Sets!$H$2:$H$2000,Sets!$A$2:$A$2000,$A64,Sets!$D$2:$D$2000,X$1,Sets!$J$2:$J$2000,"N")=0,"",_xlfn.MAXIFS(Sets!$H$2:$H$2000,Sets!$A$2:$A$2000,$A64,Sets!$D$2:$D$2000,X$1,Sets!$J$2:$J$2000,"N"))</f>
        <v/>
      </c>
      <c r="Y64">
        <f>IF(_xlfn.MAXIFS(Sets!$H$2:$H$2000,Sets!$A$2:$A$2000,$A64,Sets!$D$2:$D$2000,Y$1,Sets!$J$2:$J$2000,"N")=0,"",_xlfn.MAXIFS(Sets!$H$2:$H$2000,Sets!$A$2:$A$2000,$A64,Sets!$D$2:$D$2000,Y$1,Sets!$J$2:$J$2000,"N"))</f>
        <v/>
      </c>
      <c r="Z64">
        <f>IF(_xlfn.MAXIFS(Sets!$H$2:$H$2000,Sets!$A$2:$A$2000,$A64,Sets!$D$2:$D$2000,Z$1,Sets!$J$2:$J$2000,"N")=0,"",_xlfn.MAXIFS(Sets!$H$2:$H$2000,Sets!$A$2:$A$2000,$A64,Sets!$D$2:$D$2000,Z$1,Sets!$J$2:$J$2000,"N"))</f>
        <v/>
      </c>
      <c r="AA64">
        <f>IF(_xlfn.MAXIFS(Sets!$H$2:$H$2000,Sets!$A$2:$A$2000,$A64,Sets!$D$2:$D$2000,AA$1,Sets!$J$2:$J$2000,"N")=0,"",_xlfn.MAXIFS(Sets!$H$2:$H$2000,Sets!$A$2:$A$2000,$A64,Sets!$D$2:$D$2000,AA$1,Sets!$J$2:$J$2000,"N"))</f>
        <v/>
      </c>
      <c r="AB64">
        <f>IF(_xlfn.MAXIFS(Sets!$H$2:$H$2000,Sets!$A$2:$A$2000,$A64,Sets!$D$2:$D$2000,AB$1,Sets!$J$2:$J$2000,"N")=0,"",_xlfn.MAXIFS(Sets!$H$2:$H$2000,Sets!$A$2:$A$2000,$A64,Sets!$D$2:$D$2000,AB$1,Sets!$J$2:$J$2000,"N"))</f>
        <v/>
      </c>
      <c r="AC64">
        <f>IF(_xlfn.MAXIFS(Sets!$H$2:$H$2000,Sets!$A$2:$A$2000,$A64,Sets!$D$2:$D$2000,AC$1,Sets!$J$2:$J$2000,"N")=0,"",_xlfn.MAXIFS(Sets!$H$2:$H$2000,Sets!$A$2:$A$2000,$A64,Sets!$D$2:$D$2000,AC$1,Sets!$J$2:$J$2000,"N"))</f>
        <v/>
      </c>
      <c r="AD64">
        <f>IF(_xlfn.MAXIFS(Sets!$H$2:$H$2000,Sets!$A$2:$A$2000,$A64,Sets!$D$2:$D$2000,AD$1,Sets!$J$2:$J$2000,"N")=0,"",_xlfn.MAXIFS(Sets!$H$2:$H$2000,Sets!$A$2:$A$2000,$A64,Sets!$D$2:$D$2000,AD$1,Sets!$J$2:$J$2000,"N"))</f>
        <v/>
      </c>
      <c r="AE64">
        <f>IF(_xlfn.MAXIFS(Sets!$H$2:$H$2000,Sets!$A$2:$A$2000,$A64,Sets!$D$2:$D$2000,AE$1,Sets!$J$2:$J$2000,"N")=0,"",_xlfn.MAXIFS(Sets!$H$2:$H$2000,Sets!$A$2:$A$2000,$A64,Sets!$D$2:$D$2000,AE$1,Sets!$J$2:$J$2000,"N"))</f>
        <v/>
      </c>
      <c r="AF64">
        <f>IF(_xlfn.MAXIFS(Sets!$H$2:$H$2000,Sets!$A$2:$A$2000,$A64,Sets!$D$2:$D$2000,AF$1,Sets!$J$2:$J$2000,"N")=0,"",_xlfn.MAXIFS(Sets!$H$2:$H$2000,Sets!$A$2:$A$2000,$A64,Sets!$D$2:$D$2000,AF$1,Sets!$J$2:$J$2000,"N"))</f>
        <v/>
      </c>
      <c r="AG64">
        <f>IF(_xlfn.MAXIFS(Sets!$H$2:$H$2000,Sets!$A$2:$A$2000,$A64,Sets!$D$2:$D$2000,AG$1,Sets!$J$2:$J$2000,"N")=0,"",_xlfn.MAXIFS(Sets!$H$2:$H$2000,Sets!$A$2:$A$2000,$A64,Sets!$D$2:$D$2000,AG$1,Sets!$J$2:$J$2000,"N"))</f>
        <v/>
      </c>
      <c r="AH64">
        <f>IF(_xlfn.MAXIFS(Sets!$H$2:$H$2000,Sets!$A$2:$A$2000,$A64,Sets!$D$2:$D$2000,AH$1,Sets!$J$2:$J$2000,"N")=0,"",_xlfn.MAXIFS(Sets!$H$2:$H$2000,Sets!$A$2:$A$2000,$A64,Sets!$D$2:$D$2000,AH$1,Sets!$J$2:$J$2000,"N"))</f>
        <v/>
      </c>
      <c r="AI64">
        <f>IF(_xlfn.MAXIFS(Sets!$H$2:$H$2000,Sets!$A$2:$A$2000,$A64,Sets!$D$2:$D$2000,AI$1,Sets!$J$2:$J$2000,"N")=0,"",_xlfn.MAXIFS(Sets!$H$2:$H$2000,Sets!$A$2:$A$2000,$A64,Sets!$D$2:$D$2000,AI$1,Sets!$J$2:$J$2000,"N"))</f>
        <v/>
      </c>
      <c r="AJ64">
        <f>IF(_xlfn.MAXIFS(Sets!$H$2:$H$2000,Sets!$A$2:$A$2000,$A64,Sets!$D$2:$D$2000,AJ$1,Sets!$J$2:$J$2000,"N")=0,"",_xlfn.MAXIFS(Sets!$H$2:$H$2000,Sets!$A$2:$A$2000,$A64,Sets!$D$2:$D$2000,AJ$1,Sets!$J$2:$J$2000,"N"))</f>
        <v/>
      </c>
      <c r="AK64">
        <f>IF(_xlfn.MAXIFS(Sets!$H$2:$H$2000,Sets!$A$2:$A$2000,$A64,Sets!$D$2:$D$2000,AK$1,Sets!$J$2:$J$2000,"N")=0,"",_xlfn.MAXIFS(Sets!$H$2:$H$2000,Sets!$A$2:$A$2000,$A64,Sets!$D$2:$D$2000,AK$1,Sets!$J$2:$J$2000,"N"))</f>
        <v/>
      </c>
      <c r="AL64">
        <f>IF(_xlfn.MAXIFS(Sets!$H$2:$H$2000,Sets!$A$2:$A$2000,$A64,Sets!$D$2:$D$2000,AL$1,Sets!$J$2:$J$2000,"N")=0,"",_xlfn.MAXIFS(Sets!$H$2:$H$2000,Sets!$A$2:$A$2000,$A64,Sets!$D$2:$D$2000,AL$1,Sets!$J$2:$J$2000,"N"))</f>
        <v/>
      </c>
      <c r="AM64">
        <f>IF(_xlfn.MAXIFS(Sets!$H$2:$H$2000,Sets!$A$2:$A$2000,$A64,Sets!$D$2:$D$2000,AM$1,Sets!$J$2:$J$2000,"N")=0,"",_xlfn.MAXIFS(Sets!$H$2:$H$2000,Sets!$A$2:$A$2000,$A64,Sets!$D$2:$D$2000,AM$1,Sets!$J$2:$J$2000,"N"))</f>
        <v/>
      </c>
      <c r="AN64">
        <f>IF(_xlfn.MAXIFS(Sets!$H$2:$H$2000,Sets!$A$2:$A$2000,$A64,Sets!$D$2:$D$2000,AN$1,Sets!$J$2:$J$2000,"N")=0,"",_xlfn.MAXIFS(Sets!$H$2:$H$2000,Sets!$A$2:$A$2000,$A64,Sets!$D$2:$D$2000,AN$1,Sets!$J$2:$J$2000,"N"))</f>
        <v/>
      </c>
      <c r="AO64">
        <f>IF(_xlfn.MAXIFS(Sets!$H$2:$H$2000,Sets!$A$2:$A$2000,$A64,Sets!$D$2:$D$2000,AO$1,Sets!$J$2:$J$2000,"N")=0,"",_xlfn.MAXIFS(Sets!$H$2:$H$2000,Sets!$A$2:$A$2000,$A64,Sets!$D$2:$D$2000,AO$1,Sets!$J$2:$J$2000,"N"))</f>
        <v/>
      </c>
      <c r="AP64">
        <f>IF(_xlfn.MAXIFS(Sets!$H$2:$H$2000,Sets!$A$2:$A$2000,$A64,Sets!$D$2:$D$2000,AP$1,Sets!$J$2:$J$2000,"N")=0,"",_xlfn.MAXIFS(Sets!$H$2:$H$2000,Sets!$A$2:$A$2000,$A64,Sets!$D$2:$D$2000,AP$1,Sets!$J$2:$J$2000,"N"))</f>
        <v/>
      </c>
    </row>
    <row r="65">
      <c r="A65" s="36" t="n">
        <v>46248</v>
      </c>
      <c r="B65">
        <f>IF(_xlfn.MAXIFS(Sets!$H$2:$H$2000,Sets!$A$2:$A$2000,$A65,Sets!$D$2:$D$2000,B$1,Sets!$J$2:$J$2000,"N")=0,"",_xlfn.MAXIFS(Sets!$H$2:$H$2000,Sets!$A$2:$A$2000,$A65,Sets!$D$2:$D$2000,B$1,Sets!$J$2:$J$2000,"N"))</f>
        <v/>
      </c>
      <c r="C65">
        <f>IF(_xlfn.MAXIFS(Sets!$H$2:$H$2000,Sets!$A$2:$A$2000,$A65,Sets!$D$2:$D$2000,C$1,Sets!$J$2:$J$2000,"N")=0,"",_xlfn.MAXIFS(Sets!$H$2:$H$2000,Sets!$A$2:$A$2000,$A65,Sets!$D$2:$D$2000,C$1,Sets!$J$2:$J$2000,"N"))</f>
        <v/>
      </c>
      <c r="D65">
        <f>IF(_xlfn.MAXIFS(Sets!$H$2:$H$2000,Sets!$A$2:$A$2000,$A65,Sets!$D$2:$D$2000,D$1,Sets!$J$2:$J$2000,"N")=0,"",_xlfn.MAXIFS(Sets!$H$2:$H$2000,Sets!$A$2:$A$2000,$A65,Sets!$D$2:$D$2000,D$1,Sets!$J$2:$J$2000,"N"))</f>
        <v/>
      </c>
      <c r="E65">
        <f>IF(_xlfn.MAXIFS(Sets!$H$2:$H$2000,Sets!$A$2:$A$2000,$A65,Sets!$D$2:$D$2000,E$1,Sets!$J$2:$J$2000,"N")=0,"",_xlfn.MAXIFS(Sets!$H$2:$H$2000,Sets!$A$2:$A$2000,$A65,Sets!$D$2:$D$2000,E$1,Sets!$J$2:$J$2000,"N"))</f>
        <v/>
      </c>
      <c r="F65">
        <f>IF(_xlfn.MAXIFS(Sets!$H$2:$H$2000,Sets!$A$2:$A$2000,$A65,Sets!$D$2:$D$2000,F$1,Sets!$J$2:$J$2000,"N")=0,"",_xlfn.MAXIFS(Sets!$H$2:$H$2000,Sets!$A$2:$A$2000,$A65,Sets!$D$2:$D$2000,F$1,Sets!$J$2:$J$2000,"N"))</f>
        <v/>
      </c>
      <c r="G65">
        <f>IF(_xlfn.MAXIFS(Sets!$H$2:$H$2000,Sets!$A$2:$A$2000,$A65,Sets!$D$2:$D$2000,G$1,Sets!$J$2:$J$2000,"N")=0,"",_xlfn.MAXIFS(Sets!$H$2:$H$2000,Sets!$A$2:$A$2000,$A65,Sets!$D$2:$D$2000,G$1,Sets!$J$2:$J$2000,"N"))</f>
        <v/>
      </c>
      <c r="H65">
        <f>IF(_xlfn.MAXIFS(Sets!$H$2:$H$2000,Sets!$A$2:$A$2000,$A65,Sets!$D$2:$D$2000,H$1,Sets!$J$2:$J$2000,"N")=0,"",_xlfn.MAXIFS(Sets!$H$2:$H$2000,Sets!$A$2:$A$2000,$A65,Sets!$D$2:$D$2000,H$1,Sets!$J$2:$J$2000,"N"))</f>
        <v/>
      </c>
      <c r="I65">
        <f>IF(_xlfn.MAXIFS(Sets!$H$2:$H$2000,Sets!$A$2:$A$2000,$A65,Sets!$D$2:$D$2000,I$1,Sets!$J$2:$J$2000,"N")=0,"",_xlfn.MAXIFS(Sets!$H$2:$H$2000,Sets!$A$2:$A$2000,$A65,Sets!$D$2:$D$2000,I$1,Sets!$J$2:$J$2000,"N"))</f>
        <v/>
      </c>
      <c r="J65">
        <f>IF(_xlfn.MAXIFS(Sets!$H$2:$H$2000,Sets!$A$2:$A$2000,$A65,Sets!$D$2:$D$2000,J$1,Sets!$J$2:$J$2000,"N")=0,"",_xlfn.MAXIFS(Sets!$H$2:$H$2000,Sets!$A$2:$A$2000,$A65,Sets!$D$2:$D$2000,J$1,Sets!$J$2:$J$2000,"N"))</f>
        <v/>
      </c>
      <c r="K65">
        <f>IF(_xlfn.MAXIFS(Sets!$H$2:$H$2000,Sets!$A$2:$A$2000,$A65,Sets!$D$2:$D$2000,K$1,Sets!$J$2:$J$2000,"N")=0,"",_xlfn.MAXIFS(Sets!$H$2:$H$2000,Sets!$A$2:$A$2000,$A65,Sets!$D$2:$D$2000,K$1,Sets!$J$2:$J$2000,"N"))</f>
        <v/>
      </c>
      <c r="L65">
        <f>IF(_xlfn.MAXIFS(Sets!$H$2:$H$2000,Sets!$A$2:$A$2000,$A65,Sets!$D$2:$D$2000,L$1,Sets!$J$2:$J$2000,"N")=0,"",_xlfn.MAXIFS(Sets!$H$2:$H$2000,Sets!$A$2:$A$2000,$A65,Sets!$D$2:$D$2000,L$1,Sets!$J$2:$J$2000,"N"))</f>
        <v/>
      </c>
      <c r="M65">
        <f>IF(_xlfn.MAXIFS(Sets!$H$2:$H$2000,Sets!$A$2:$A$2000,$A65,Sets!$D$2:$D$2000,M$1,Sets!$J$2:$J$2000,"N")=0,"",_xlfn.MAXIFS(Sets!$H$2:$H$2000,Sets!$A$2:$A$2000,$A65,Sets!$D$2:$D$2000,M$1,Sets!$J$2:$J$2000,"N"))</f>
        <v/>
      </c>
      <c r="N65">
        <f>IF(_xlfn.MAXIFS(Sets!$H$2:$H$2000,Sets!$A$2:$A$2000,$A65,Sets!$D$2:$D$2000,N$1,Sets!$J$2:$J$2000,"N")=0,"",_xlfn.MAXIFS(Sets!$H$2:$H$2000,Sets!$A$2:$A$2000,$A65,Sets!$D$2:$D$2000,N$1,Sets!$J$2:$J$2000,"N"))</f>
        <v/>
      </c>
      <c r="O65">
        <f>IF(_xlfn.MAXIFS(Sets!$H$2:$H$2000,Sets!$A$2:$A$2000,$A65,Sets!$D$2:$D$2000,O$1,Sets!$J$2:$J$2000,"N")=0,"",_xlfn.MAXIFS(Sets!$H$2:$H$2000,Sets!$A$2:$A$2000,$A65,Sets!$D$2:$D$2000,O$1,Sets!$J$2:$J$2000,"N"))</f>
        <v/>
      </c>
      <c r="P65">
        <f>IF(_xlfn.MAXIFS(Sets!$H$2:$H$2000,Sets!$A$2:$A$2000,$A65,Sets!$D$2:$D$2000,P$1,Sets!$J$2:$J$2000,"N")=0,"",_xlfn.MAXIFS(Sets!$H$2:$H$2000,Sets!$A$2:$A$2000,$A65,Sets!$D$2:$D$2000,P$1,Sets!$J$2:$J$2000,"N"))</f>
        <v/>
      </c>
      <c r="Q65">
        <f>IF(_xlfn.MAXIFS(Sets!$H$2:$H$2000,Sets!$A$2:$A$2000,$A65,Sets!$D$2:$D$2000,Q$1,Sets!$J$2:$J$2000,"N")=0,"",_xlfn.MAXIFS(Sets!$H$2:$H$2000,Sets!$A$2:$A$2000,$A65,Sets!$D$2:$D$2000,Q$1,Sets!$J$2:$J$2000,"N"))</f>
        <v/>
      </c>
      <c r="R65">
        <f>IF(_xlfn.MAXIFS(Sets!$H$2:$H$2000,Sets!$A$2:$A$2000,$A65,Sets!$D$2:$D$2000,R$1,Sets!$J$2:$J$2000,"N")=0,"",_xlfn.MAXIFS(Sets!$H$2:$H$2000,Sets!$A$2:$A$2000,$A65,Sets!$D$2:$D$2000,R$1,Sets!$J$2:$J$2000,"N"))</f>
        <v/>
      </c>
      <c r="S65">
        <f>IF(_xlfn.MAXIFS(Sets!$H$2:$H$2000,Sets!$A$2:$A$2000,$A65,Sets!$D$2:$D$2000,S$1,Sets!$J$2:$J$2000,"N")=0,"",_xlfn.MAXIFS(Sets!$H$2:$H$2000,Sets!$A$2:$A$2000,$A65,Sets!$D$2:$D$2000,S$1,Sets!$J$2:$J$2000,"N"))</f>
        <v/>
      </c>
      <c r="T65">
        <f>IF(_xlfn.MAXIFS(Sets!$H$2:$H$2000,Sets!$A$2:$A$2000,$A65,Sets!$D$2:$D$2000,T$1,Sets!$J$2:$J$2000,"N")=0,"",_xlfn.MAXIFS(Sets!$H$2:$H$2000,Sets!$A$2:$A$2000,$A65,Sets!$D$2:$D$2000,T$1,Sets!$J$2:$J$2000,"N"))</f>
        <v/>
      </c>
      <c r="U65">
        <f>IF(_xlfn.MAXIFS(Sets!$H$2:$H$2000,Sets!$A$2:$A$2000,$A65,Sets!$D$2:$D$2000,U$1,Sets!$J$2:$J$2000,"N")=0,"",_xlfn.MAXIFS(Sets!$H$2:$H$2000,Sets!$A$2:$A$2000,$A65,Sets!$D$2:$D$2000,U$1,Sets!$J$2:$J$2000,"N"))</f>
        <v/>
      </c>
      <c r="V65">
        <f>IF(_xlfn.MAXIFS(Sets!$H$2:$H$2000,Sets!$A$2:$A$2000,$A65,Sets!$D$2:$D$2000,V$1,Sets!$J$2:$J$2000,"N")=0,"",_xlfn.MAXIFS(Sets!$H$2:$H$2000,Sets!$A$2:$A$2000,$A65,Sets!$D$2:$D$2000,V$1,Sets!$J$2:$J$2000,"N"))</f>
        <v/>
      </c>
      <c r="W65">
        <f>IF(_xlfn.MAXIFS(Sets!$H$2:$H$2000,Sets!$A$2:$A$2000,$A65,Sets!$D$2:$D$2000,W$1,Sets!$J$2:$J$2000,"N")=0,"",_xlfn.MAXIFS(Sets!$H$2:$H$2000,Sets!$A$2:$A$2000,$A65,Sets!$D$2:$D$2000,W$1,Sets!$J$2:$J$2000,"N"))</f>
        <v/>
      </c>
      <c r="X65">
        <f>IF(_xlfn.MAXIFS(Sets!$H$2:$H$2000,Sets!$A$2:$A$2000,$A65,Sets!$D$2:$D$2000,X$1,Sets!$J$2:$J$2000,"N")=0,"",_xlfn.MAXIFS(Sets!$H$2:$H$2000,Sets!$A$2:$A$2000,$A65,Sets!$D$2:$D$2000,X$1,Sets!$J$2:$J$2000,"N"))</f>
        <v/>
      </c>
      <c r="Y65">
        <f>IF(_xlfn.MAXIFS(Sets!$H$2:$H$2000,Sets!$A$2:$A$2000,$A65,Sets!$D$2:$D$2000,Y$1,Sets!$J$2:$J$2000,"N")=0,"",_xlfn.MAXIFS(Sets!$H$2:$H$2000,Sets!$A$2:$A$2000,$A65,Sets!$D$2:$D$2000,Y$1,Sets!$J$2:$J$2000,"N"))</f>
        <v/>
      </c>
      <c r="Z65">
        <f>IF(_xlfn.MAXIFS(Sets!$H$2:$H$2000,Sets!$A$2:$A$2000,$A65,Sets!$D$2:$D$2000,Z$1,Sets!$J$2:$J$2000,"N")=0,"",_xlfn.MAXIFS(Sets!$H$2:$H$2000,Sets!$A$2:$A$2000,$A65,Sets!$D$2:$D$2000,Z$1,Sets!$J$2:$J$2000,"N"))</f>
        <v/>
      </c>
      <c r="AA65">
        <f>IF(_xlfn.MAXIFS(Sets!$H$2:$H$2000,Sets!$A$2:$A$2000,$A65,Sets!$D$2:$D$2000,AA$1,Sets!$J$2:$J$2000,"N")=0,"",_xlfn.MAXIFS(Sets!$H$2:$H$2000,Sets!$A$2:$A$2000,$A65,Sets!$D$2:$D$2000,AA$1,Sets!$J$2:$J$2000,"N"))</f>
        <v/>
      </c>
      <c r="AB65">
        <f>IF(_xlfn.MAXIFS(Sets!$H$2:$H$2000,Sets!$A$2:$A$2000,$A65,Sets!$D$2:$D$2000,AB$1,Sets!$J$2:$J$2000,"N")=0,"",_xlfn.MAXIFS(Sets!$H$2:$H$2000,Sets!$A$2:$A$2000,$A65,Sets!$D$2:$D$2000,AB$1,Sets!$J$2:$J$2000,"N"))</f>
        <v/>
      </c>
      <c r="AC65">
        <f>IF(_xlfn.MAXIFS(Sets!$H$2:$H$2000,Sets!$A$2:$A$2000,$A65,Sets!$D$2:$D$2000,AC$1,Sets!$J$2:$J$2000,"N")=0,"",_xlfn.MAXIFS(Sets!$H$2:$H$2000,Sets!$A$2:$A$2000,$A65,Sets!$D$2:$D$2000,AC$1,Sets!$J$2:$J$2000,"N"))</f>
        <v/>
      </c>
      <c r="AD65">
        <f>IF(_xlfn.MAXIFS(Sets!$H$2:$H$2000,Sets!$A$2:$A$2000,$A65,Sets!$D$2:$D$2000,AD$1,Sets!$J$2:$J$2000,"N")=0,"",_xlfn.MAXIFS(Sets!$H$2:$H$2000,Sets!$A$2:$A$2000,$A65,Sets!$D$2:$D$2000,AD$1,Sets!$J$2:$J$2000,"N"))</f>
        <v/>
      </c>
      <c r="AE65">
        <f>IF(_xlfn.MAXIFS(Sets!$H$2:$H$2000,Sets!$A$2:$A$2000,$A65,Sets!$D$2:$D$2000,AE$1,Sets!$J$2:$J$2000,"N")=0,"",_xlfn.MAXIFS(Sets!$H$2:$H$2000,Sets!$A$2:$A$2000,$A65,Sets!$D$2:$D$2000,AE$1,Sets!$J$2:$J$2000,"N"))</f>
        <v/>
      </c>
      <c r="AF65">
        <f>IF(_xlfn.MAXIFS(Sets!$H$2:$H$2000,Sets!$A$2:$A$2000,$A65,Sets!$D$2:$D$2000,AF$1,Sets!$J$2:$J$2000,"N")=0,"",_xlfn.MAXIFS(Sets!$H$2:$H$2000,Sets!$A$2:$A$2000,$A65,Sets!$D$2:$D$2000,AF$1,Sets!$J$2:$J$2000,"N"))</f>
        <v/>
      </c>
      <c r="AG65">
        <f>IF(_xlfn.MAXIFS(Sets!$H$2:$H$2000,Sets!$A$2:$A$2000,$A65,Sets!$D$2:$D$2000,AG$1,Sets!$J$2:$J$2000,"N")=0,"",_xlfn.MAXIFS(Sets!$H$2:$H$2000,Sets!$A$2:$A$2000,$A65,Sets!$D$2:$D$2000,AG$1,Sets!$J$2:$J$2000,"N"))</f>
        <v/>
      </c>
      <c r="AH65">
        <f>IF(_xlfn.MAXIFS(Sets!$H$2:$H$2000,Sets!$A$2:$A$2000,$A65,Sets!$D$2:$D$2000,AH$1,Sets!$J$2:$J$2000,"N")=0,"",_xlfn.MAXIFS(Sets!$H$2:$H$2000,Sets!$A$2:$A$2000,$A65,Sets!$D$2:$D$2000,AH$1,Sets!$J$2:$J$2000,"N"))</f>
        <v/>
      </c>
      <c r="AI65">
        <f>IF(_xlfn.MAXIFS(Sets!$H$2:$H$2000,Sets!$A$2:$A$2000,$A65,Sets!$D$2:$D$2000,AI$1,Sets!$J$2:$J$2000,"N")=0,"",_xlfn.MAXIFS(Sets!$H$2:$H$2000,Sets!$A$2:$A$2000,$A65,Sets!$D$2:$D$2000,AI$1,Sets!$J$2:$J$2000,"N"))</f>
        <v/>
      </c>
      <c r="AJ65">
        <f>IF(_xlfn.MAXIFS(Sets!$H$2:$H$2000,Sets!$A$2:$A$2000,$A65,Sets!$D$2:$D$2000,AJ$1,Sets!$J$2:$J$2000,"N")=0,"",_xlfn.MAXIFS(Sets!$H$2:$H$2000,Sets!$A$2:$A$2000,$A65,Sets!$D$2:$D$2000,AJ$1,Sets!$J$2:$J$2000,"N"))</f>
        <v/>
      </c>
      <c r="AK65">
        <f>IF(_xlfn.MAXIFS(Sets!$H$2:$H$2000,Sets!$A$2:$A$2000,$A65,Sets!$D$2:$D$2000,AK$1,Sets!$J$2:$J$2000,"N")=0,"",_xlfn.MAXIFS(Sets!$H$2:$H$2000,Sets!$A$2:$A$2000,$A65,Sets!$D$2:$D$2000,AK$1,Sets!$J$2:$J$2000,"N"))</f>
        <v/>
      </c>
      <c r="AL65">
        <f>IF(_xlfn.MAXIFS(Sets!$H$2:$H$2000,Sets!$A$2:$A$2000,$A65,Sets!$D$2:$D$2000,AL$1,Sets!$J$2:$J$2000,"N")=0,"",_xlfn.MAXIFS(Sets!$H$2:$H$2000,Sets!$A$2:$A$2000,$A65,Sets!$D$2:$D$2000,AL$1,Sets!$J$2:$J$2000,"N"))</f>
        <v/>
      </c>
      <c r="AM65">
        <f>IF(_xlfn.MAXIFS(Sets!$H$2:$H$2000,Sets!$A$2:$A$2000,$A65,Sets!$D$2:$D$2000,AM$1,Sets!$J$2:$J$2000,"N")=0,"",_xlfn.MAXIFS(Sets!$H$2:$H$2000,Sets!$A$2:$A$2000,$A65,Sets!$D$2:$D$2000,AM$1,Sets!$J$2:$J$2000,"N"))</f>
        <v/>
      </c>
      <c r="AN65">
        <f>IF(_xlfn.MAXIFS(Sets!$H$2:$H$2000,Sets!$A$2:$A$2000,$A65,Sets!$D$2:$D$2000,AN$1,Sets!$J$2:$J$2000,"N")=0,"",_xlfn.MAXIFS(Sets!$H$2:$H$2000,Sets!$A$2:$A$2000,$A65,Sets!$D$2:$D$2000,AN$1,Sets!$J$2:$J$2000,"N"))</f>
        <v/>
      </c>
      <c r="AO65">
        <f>IF(_xlfn.MAXIFS(Sets!$H$2:$H$2000,Sets!$A$2:$A$2000,$A65,Sets!$D$2:$D$2000,AO$1,Sets!$J$2:$J$2000,"N")=0,"",_xlfn.MAXIFS(Sets!$H$2:$H$2000,Sets!$A$2:$A$2000,$A65,Sets!$D$2:$D$2000,AO$1,Sets!$J$2:$J$2000,"N"))</f>
        <v/>
      </c>
      <c r="AP65">
        <f>IF(_xlfn.MAXIFS(Sets!$H$2:$H$2000,Sets!$A$2:$A$2000,$A65,Sets!$D$2:$D$2000,AP$1,Sets!$J$2:$J$2000,"N")=0,"",_xlfn.MAXIFS(Sets!$H$2:$H$2000,Sets!$A$2:$A$2000,$A65,Sets!$D$2:$D$2000,AP$1,Sets!$J$2:$J$2000,"N"))</f>
        <v/>
      </c>
    </row>
    <row r="66">
      <c r="A66" s="36" t="n">
        <v>46250</v>
      </c>
      <c r="B66">
        <f>IF(_xlfn.MAXIFS(Sets!$H$2:$H$2000,Sets!$A$2:$A$2000,$A66,Sets!$D$2:$D$2000,B$1,Sets!$J$2:$J$2000,"N")=0,"",_xlfn.MAXIFS(Sets!$H$2:$H$2000,Sets!$A$2:$A$2000,$A66,Sets!$D$2:$D$2000,B$1,Sets!$J$2:$J$2000,"N"))</f>
        <v/>
      </c>
      <c r="C66">
        <f>IF(_xlfn.MAXIFS(Sets!$H$2:$H$2000,Sets!$A$2:$A$2000,$A66,Sets!$D$2:$D$2000,C$1,Sets!$J$2:$J$2000,"N")=0,"",_xlfn.MAXIFS(Sets!$H$2:$H$2000,Sets!$A$2:$A$2000,$A66,Sets!$D$2:$D$2000,C$1,Sets!$J$2:$J$2000,"N"))</f>
        <v/>
      </c>
      <c r="D66">
        <f>IF(_xlfn.MAXIFS(Sets!$H$2:$H$2000,Sets!$A$2:$A$2000,$A66,Sets!$D$2:$D$2000,D$1,Sets!$J$2:$J$2000,"N")=0,"",_xlfn.MAXIFS(Sets!$H$2:$H$2000,Sets!$A$2:$A$2000,$A66,Sets!$D$2:$D$2000,D$1,Sets!$J$2:$J$2000,"N"))</f>
        <v/>
      </c>
      <c r="E66">
        <f>IF(_xlfn.MAXIFS(Sets!$H$2:$H$2000,Sets!$A$2:$A$2000,$A66,Sets!$D$2:$D$2000,E$1,Sets!$J$2:$J$2000,"N")=0,"",_xlfn.MAXIFS(Sets!$H$2:$H$2000,Sets!$A$2:$A$2000,$A66,Sets!$D$2:$D$2000,E$1,Sets!$J$2:$J$2000,"N"))</f>
        <v/>
      </c>
      <c r="F66">
        <f>IF(_xlfn.MAXIFS(Sets!$H$2:$H$2000,Sets!$A$2:$A$2000,$A66,Sets!$D$2:$D$2000,F$1,Sets!$J$2:$J$2000,"N")=0,"",_xlfn.MAXIFS(Sets!$H$2:$H$2000,Sets!$A$2:$A$2000,$A66,Sets!$D$2:$D$2000,F$1,Sets!$J$2:$J$2000,"N"))</f>
        <v/>
      </c>
      <c r="G66">
        <f>IF(_xlfn.MAXIFS(Sets!$H$2:$H$2000,Sets!$A$2:$A$2000,$A66,Sets!$D$2:$D$2000,G$1,Sets!$J$2:$J$2000,"N")=0,"",_xlfn.MAXIFS(Sets!$H$2:$H$2000,Sets!$A$2:$A$2000,$A66,Sets!$D$2:$D$2000,G$1,Sets!$J$2:$J$2000,"N"))</f>
        <v/>
      </c>
      <c r="H66">
        <f>IF(_xlfn.MAXIFS(Sets!$H$2:$H$2000,Sets!$A$2:$A$2000,$A66,Sets!$D$2:$D$2000,H$1,Sets!$J$2:$J$2000,"N")=0,"",_xlfn.MAXIFS(Sets!$H$2:$H$2000,Sets!$A$2:$A$2000,$A66,Sets!$D$2:$D$2000,H$1,Sets!$J$2:$J$2000,"N"))</f>
        <v/>
      </c>
      <c r="I66">
        <f>IF(_xlfn.MAXIFS(Sets!$H$2:$H$2000,Sets!$A$2:$A$2000,$A66,Sets!$D$2:$D$2000,I$1,Sets!$J$2:$J$2000,"N")=0,"",_xlfn.MAXIFS(Sets!$H$2:$H$2000,Sets!$A$2:$A$2000,$A66,Sets!$D$2:$D$2000,I$1,Sets!$J$2:$J$2000,"N"))</f>
        <v/>
      </c>
      <c r="J66">
        <f>IF(_xlfn.MAXIFS(Sets!$H$2:$H$2000,Sets!$A$2:$A$2000,$A66,Sets!$D$2:$D$2000,J$1,Sets!$J$2:$J$2000,"N")=0,"",_xlfn.MAXIFS(Sets!$H$2:$H$2000,Sets!$A$2:$A$2000,$A66,Sets!$D$2:$D$2000,J$1,Sets!$J$2:$J$2000,"N"))</f>
        <v/>
      </c>
      <c r="K66">
        <f>IF(_xlfn.MAXIFS(Sets!$H$2:$H$2000,Sets!$A$2:$A$2000,$A66,Sets!$D$2:$D$2000,K$1,Sets!$J$2:$J$2000,"N")=0,"",_xlfn.MAXIFS(Sets!$H$2:$H$2000,Sets!$A$2:$A$2000,$A66,Sets!$D$2:$D$2000,K$1,Sets!$J$2:$J$2000,"N"))</f>
        <v/>
      </c>
      <c r="L66">
        <f>IF(_xlfn.MAXIFS(Sets!$H$2:$H$2000,Sets!$A$2:$A$2000,$A66,Sets!$D$2:$D$2000,L$1,Sets!$J$2:$J$2000,"N")=0,"",_xlfn.MAXIFS(Sets!$H$2:$H$2000,Sets!$A$2:$A$2000,$A66,Sets!$D$2:$D$2000,L$1,Sets!$J$2:$J$2000,"N"))</f>
        <v/>
      </c>
      <c r="M66">
        <f>IF(_xlfn.MAXIFS(Sets!$H$2:$H$2000,Sets!$A$2:$A$2000,$A66,Sets!$D$2:$D$2000,M$1,Sets!$J$2:$J$2000,"N")=0,"",_xlfn.MAXIFS(Sets!$H$2:$H$2000,Sets!$A$2:$A$2000,$A66,Sets!$D$2:$D$2000,M$1,Sets!$J$2:$J$2000,"N"))</f>
        <v/>
      </c>
      <c r="N66">
        <f>IF(_xlfn.MAXIFS(Sets!$H$2:$H$2000,Sets!$A$2:$A$2000,$A66,Sets!$D$2:$D$2000,N$1,Sets!$J$2:$J$2000,"N")=0,"",_xlfn.MAXIFS(Sets!$H$2:$H$2000,Sets!$A$2:$A$2000,$A66,Sets!$D$2:$D$2000,N$1,Sets!$J$2:$J$2000,"N"))</f>
        <v/>
      </c>
      <c r="O66">
        <f>IF(_xlfn.MAXIFS(Sets!$H$2:$H$2000,Sets!$A$2:$A$2000,$A66,Sets!$D$2:$D$2000,O$1,Sets!$J$2:$J$2000,"N")=0,"",_xlfn.MAXIFS(Sets!$H$2:$H$2000,Sets!$A$2:$A$2000,$A66,Sets!$D$2:$D$2000,O$1,Sets!$J$2:$J$2000,"N"))</f>
        <v/>
      </c>
      <c r="P66">
        <f>IF(_xlfn.MAXIFS(Sets!$H$2:$H$2000,Sets!$A$2:$A$2000,$A66,Sets!$D$2:$D$2000,P$1,Sets!$J$2:$J$2000,"N")=0,"",_xlfn.MAXIFS(Sets!$H$2:$H$2000,Sets!$A$2:$A$2000,$A66,Sets!$D$2:$D$2000,P$1,Sets!$J$2:$J$2000,"N"))</f>
        <v/>
      </c>
      <c r="Q66">
        <f>IF(_xlfn.MAXIFS(Sets!$H$2:$H$2000,Sets!$A$2:$A$2000,$A66,Sets!$D$2:$D$2000,Q$1,Sets!$J$2:$J$2000,"N")=0,"",_xlfn.MAXIFS(Sets!$H$2:$H$2000,Sets!$A$2:$A$2000,$A66,Sets!$D$2:$D$2000,Q$1,Sets!$J$2:$J$2000,"N"))</f>
        <v/>
      </c>
      <c r="R66">
        <f>IF(_xlfn.MAXIFS(Sets!$H$2:$H$2000,Sets!$A$2:$A$2000,$A66,Sets!$D$2:$D$2000,R$1,Sets!$J$2:$J$2000,"N")=0,"",_xlfn.MAXIFS(Sets!$H$2:$H$2000,Sets!$A$2:$A$2000,$A66,Sets!$D$2:$D$2000,R$1,Sets!$J$2:$J$2000,"N"))</f>
        <v/>
      </c>
      <c r="S66">
        <f>IF(_xlfn.MAXIFS(Sets!$H$2:$H$2000,Sets!$A$2:$A$2000,$A66,Sets!$D$2:$D$2000,S$1,Sets!$J$2:$J$2000,"N")=0,"",_xlfn.MAXIFS(Sets!$H$2:$H$2000,Sets!$A$2:$A$2000,$A66,Sets!$D$2:$D$2000,S$1,Sets!$J$2:$J$2000,"N"))</f>
        <v/>
      </c>
      <c r="T66">
        <f>IF(_xlfn.MAXIFS(Sets!$H$2:$H$2000,Sets!$A$2:$A$2000,$A66,Sets!$D$2:$D$2000,T$1,Sets!$J$2:$J$2000,"N")=0,"",_xlfn.MAXIFS(Sets!$H$2:$H$2000,Sets!$A$2:$A$2000,$A66,Sets!$D$2:$D$2000,T$1,Sets!$J$2:$J$2000,"N"))</f>
        <v/>
      </c>
      <c r="U66">
        <f>IF(_xlfn.MAXIFS(Sets!$H$2:$H$2000,Sets!$A$2:$A$2000,$A66,Sets!$D$2:$D$2000,U$1,Sets!$J$2:$J$2000,"N")=0,"",_xlfn.MAXIFS(Sets!$H$2:$H$2000,Sets!$A$2:$A$2000,$A66,Sets!$D$2:$D$2000,U$1,Sets!$J$2:$J$2000,"N"))</f>
        <v/>
      </c>
      <c r="V66">
        <f>IF(_xlfn.MAXIFS(Sets!$H$2:$H$2000,Sets!$A$2:$A$2000,$A66,Sets!$D$2:$D$2000,V$1,Sets!$J$2:$J$2000,"N")=0,"",_xlfn.MAXIFS(Sets!$H$2:$H$2000,Sets!$A$2:$A$2000,$A66,Sets!$D$2:$D$2000,V$1,Sets!$J$2:$J$2000,"N"))</f>
        <v/>
      </c>
      <c r="W66">
        <f>IF(_xlfn.MAXIFS(Sets!$H$2:$H$2000,Sets!$A$2:$A$2000,$A66,Sets!$D$2:$D$2000,W$1,Sets!$J$2:$J$2000,"N")=0,"",_xlfn.MAXIFS(Sets!$H$2:$H$2000,Sets!$A$2:$A$2000,$A66,Sets!$D$2:$D$2000,W$1,Sets!$J$2:$J$2000,"N"))</f>
        <v/>
      </c>
      <c r="X66">
        <f>IF(_xlfn.MAXIFS(Sets!$H$2:$H$2000,Sets!$A$2:$A$2000,$A66,Sets!$D$2:$D$2000,X$1,Sets!$J$2:$J$2000,"N")=0,"",_xlfn.MAXIFS(Sets!$H$2:$H$2000,Sets!$A$2:$A$2000,$A66,Sets!$D$2:$D$2000,X$1,Sets!$J$2:$J$2000,"N"))</f>
        <v/>
      </c>
      <c r="Y66">
        <f>IF(_xlfn.MAXIFS(Sets!$H$2:$H$2000,Sets!$A$2:$A$2000,$A66,Sets!$D$2:$D$2000,Y$1,Sets!$J$2:$J$2000,"N")=0,"",_xlfn.MAXIFS(Sets!$H$2:$H$2000,Sets!$A$2:$A$2000,$A66,Sets!$D$2:$D$2000,Y$1,Sets!$J$2:$J$2000,"N"))</f>
        <v/>
      </c>
      <c r="Z66">
        <f>IF(_xlfn.MAXIFS(Sets!$H$2:$H$2000,Sets!$A$2:$A$2000,$A66,Sets!$D$2:$D$2000,Z$1,Sets!$J$2:$J$2000,"N")=0,"",_xlfn.MAXIFS(Sets!$H$2:$H$2000,Sets!$A$2:$A$2000,$A66,Sets!$D$2:$D$2000,Z$1,Sets!$J$2:$J$2000,"N"))</f>
        <v/>
      </c>
      <c r="AA66">
        <f>IF(_xlfn.MAXIFS(Sets!$H$2:$H$2000,Sets!$A$2:$A$2000,$A66,Sets!$D$2:$D$2000,AA$1,Sets!$J$2:$J$2000,"N")=0,"",_xlfn.MAXIFS(Sets!$H$2:$H$2000,Sets!$A$2:$A$2000,$A66,Sets!$D$2:$D$2000,AA$1,Sets!$J$2:$J$2000,"N"))</f>
        <v/>
      </c>
      <c r="AB66">
        <f>IF(_xlfn.MAXIFS(Sets!$H$2:$H$2000,Sets!$A$2:$A$2000,$A66,Sets!$D$2:$D$2000,AB$1,Sets!$J$2:$J$2000,"N")=0,"",_xlfn.MAXIFS(Sets!$H$2:$H$2000,Sets!$A$2:$A$2000,$A66,Sets!$D$2:$D$2000,AB$1,Sets!$J$2:$J$2000,"N"))</f>
        <v/>
      </c>
      <c r="AC66">
        <f>IF(_xlfn.MAXIFS(Sets!$H$2:$H$2000,Sets!$A$2:$A$2000,$A66,Sets!$D$2:$D$2000,AC$1,Sets!$J$2:$J$2000,"N")=0,"",_xlfn.MAXIFS(Sets!$H$2:$H$2000,Sets!$A$2:$A$2000,$A66,Sets!$D$2:$D$2000,AC$1,Sets!$J$2:$J$2000,"N"))</f>
        <v/>
      </c>
      <c r="AD66">
        <f>IF(_xlfn.MAXIFS(Sets!$H$2:$H$2000,Sets!$A$2:$A$2000,$A66,Sets!$D$2:$D$2000,AD$1,Sets!$J$2:$J$2000,"N")=0,"",_xlfn.MAXIFS(Sets!$H$2:$H$2000,Sets!$A$2:$A$2000,$A66,Sets!$D$2:$D$2000,AD$1,Sets!$J$2:$J$2000,"N"))</f>
        <v/>
      </c>
      <c r="AE66">
        <f>IF(_xlfn.MAXIFS(Sets!$H$2:$H$2000,Sets!$A$2:$A$2000,$A66,Sets!$D$2:$D$2000,AE$1,Sets!$J$2:$J$2000,"N")=0,"",_xlfn.MAXIFS(Sets!$H$2:$H$2000,Sets!$A$2:$A$2000,$A66,Sets!$D$2:$D$2000,AE$1,Sets!$J$2:$J$2000,"N"))</f>
        <v/>
      </c>
      <c r="AF66">
        <f>IF(_xlfn.MAXIFS(Sets!$H$2:$H$2000,Sets!$A$2:$A$2000,$A66,Sets!$D$2:$D$2000,AF$1,Sets!$J$2:$J$2000,"N")=0,"",_xlfn.MAXIFS(Sets!$H$2:$H$2000,Sets!$A$2:$A$2000,$A66,Sets!$D$2:$D$2000,AF$1,Sets!$J$2:$J$2000,"N"))</f>
        <v/>
      </c>
      <c r="AG66">
        <f>IF(_xlfn.MAXIFS(Sets!$H$2:$H$2000,Sets!$A$2:$A$2000,$A66,Sets!$D$2:$D$2000,AG$1,Sets!$J$2:$J$2000,"N")=0,"",_xlfn.MAXIFS(Sets!$H$2:$H$2000,Sets!$A$2:$A$2000,$A66,Sets!$D$2:$D$2000,AG$1,Sets!$J$2:$J$2000,"N"))</f>
        <v/>
      </c>
      <c r="AH66">
        <f>IF(_xlfn.MAXIFS(Sets!$H$2:$H$2000,Sets!$A$2:$A$2000,$A66,Sets!$D$2:$D$2000,AH$1,Sets!$J$2:$J$2000,"N")=0,"",_xlfn.MAXIFS(Sets!$H$2:$H$2000,Sets!$A$2:$A$2000,$A66,Sets!$D$2:$D$2000,AH$1,Sets!$J$2:$J$2000,"N"))</f>
        <v/>
      </c>
      <c r="AI66">
        <f>IF(_xlfn.MAXIFS(Sets!$H$2:$H$2000,Sets!$A$2:$A$2000,$A66,Sets!$D$2:$D$2000,AI$1,Sets!$J$2:$J$2000,"N")=0,"",_xlfn.MAXIFS(Sets!$H$2:$H$2000,Sets!$A$2:$A$2000,$A66,Sets!$D$2:$D$2000,AI$1,Sets!$J$2:$J$2000,"N"))</f>
        <v/>
      </c>
      <c r="AJ66">
        <f>IF(_xlfn.MAXIFS(Sets!$H$2:$H$2000,Sets!$A$2:$A$2000,$A66,Sets!$D$2:$D$2000,AJ$1,Sets!$J$2:$J$2000,"N")=0,"",_xlfn.MAXIFS(Sets!$H$2:$H$2000,Sets!$A$2:$A$2000,$A66,Sets!$D$2:$D$2000,AJ$1,Sets!$J$2:$J$2000,"N"))</f>
        <v/>
      </c>
      <c r="AK66">
        <f>IF(_xlfn.MAXIFS(Sets!$H$2:$H$2000,Sets!$A$2:$A$2000,$A66,Sets!$D$2:$D$2000,AK$1,Sets!$J$2:$J$2000,"N")=0,"",_xlfn.MAXIFS(Sets!$H$2:$H$2000,Sets!$A$2:$A$2000,$A66,Sets!$D$2:$D$2000,AK$1,Sets!$J$2:$J$2000,"N"))</f>
        <v/>
      </c>
      <c r="AL66">
        <f>IF(_xlfn.MAXIFS(Sets!$H$2:$H$2000,Sets!$A$2:$A$2000,$A66,Sets!$D$2:$D$2000,AL$1,Sets!$J$2:$J$2000,"N")=0,"",_xlfn.MAXIFS(Sets!$H$2:$H$2000,Sets!$A$2:$A$2000,$A66,Sets!$D$2:$D$2000,AL$1,Sets!$J$2:$J$2000,"N"))</f>
        <v/>
      </c>
      <c r="AM66">
        <f>IF(_xlfn.MAXIFS(Sets!$H$2:$H$2000,Sets!$A$2:$A$2000,$A66,Sets!$D$2:$D$2000,AM$1,Sets!$J$2:$J$2000,"N")=0,"",_xlfn.MAXIFS(Sets!$H$2:$H$2000,Sets!$A$2:$A$2000,$A66,Sets!$D$2:$D$2000,AM$1,Sets!$J$2:$J$2000,"N"))</f>
        <v/>
      </c>
      <c r="AN66">
        <f>IF(_xlfn.MAXIFS(Sets!$H$2:$H$2000,Sets!$A$2:$A$2000,$A66,Sets!$D$2:$D$2000,AN$1,Sets!$J$2:$J$2000,"N")=0,"",_xlfn.MAXIFS(Sets!$H$2:$H$2000,Sets!$A$2:$A$2000,$A66,Sets!$D$2:$D$2000,AN$1,Sets!$J$2:$J$2000,"N"))</f>
        <v/>
      </c>
      <c r="AO66">
        <f>IF(_xlfn.MAXIFS(Sets!$H$2:$H$2000,Sets!$A$2:$A$2000,$A66,Sets!$D$2:$D$2000,AO$1,Sets!$J$2:$J$2000,"N")=0,"",_xlfn.MAXIFS(Sets!$H$2:$H$2000,Sets!$A$2:$A$2000,$A66,Sets!$D$2:$D$2000,AO$1,Sets!$J$2:$J$2000,"N"))</f>
        <v/>
      </c>
      <c r="AP66">
        <f>IF(_xlfn.MAXIFS(Sets!$H$2:$H$2000,Sets!$A$2:$A$2000,$A66,Sets!$D$2:$D$2000,AP$1,Sets!$J$2:$J$2000,"N")=0,"",_xlfn.MAXIFS(Sets!$H$2:$H$2000,Sets!$A$2:$A$2000,$A66,Sets!$D$2:$D$2000,AP$1,Sets!$J$2:$J$2000,"N"))</f>
        <v/>
      </c>
    </row>
    <row r="67">
      <c r="A67" s="36" t="n">
        <v>46257</v>
      </c>
      <c r="B67">
        <f>IF(_xlfn.MAXIFS(Sets!$H$2:$H$2000,Sets!$A$2:$A$2000,$A67,Sets!$D$2:$D$2000,B$1,Sets!$J$2:$J$2000,"N")=0,"",_xlfn.MAXIFS(Sets!$H$2:$H$2000,Sets!$A$2:$A$2000,$A67,Sets!$D$2:$D$2000,B$1,Sets!$J$2:$J$2000,"N"))</f>
        <v/>
      </c>
      <c r="C67">
        <f>IF(_xlfn.MAXIFS(Sets!$H$2:$H$2000,Sets!$A$2:$A$2000,$A67,Sets!$D$2:$D$2000,C$1,Sets!$J$2:$J$2000,"N")=0,"",_xlfn.MAXIFS(Sets!$H$2:$H$2000,Sets!$A$2:$A$2000,$A67,Sets!$D$2:$D$2000,C$1,Sets!$J$2:$J$2000,"N"))</f>
        <v/>
      </c>
      <c r="D67">
        <f>IF(_xlfn.MAXIFS(Sets!$H$2:$H$2000,Sets!$A$2:$A$2000,$A67,Sets!$D$2:$D$2000,D$1,Sets!$J$2:$J$2000,"N")=0,"",_xlfn.MAXIFS(Sets!$H$2:$H$2000,Sets!$A$2:$A$2000,$A67,Sets!$D$2:$D$2000,D$1,Sets!$J$2:$J$2000,"N"))</f>
        <v/>
      </c>
      <c r="E67">
        <f>IF(_xlfn.MAXIFS(Sets!$H$2:$H$2000,Sets!$A$2:$A$2000,$A67,Sets!$D$2:$D$2000,E$1,Sets!$J$2:$J$2000,"N")=0,"",_xlfn.MAXIFS(Sets!$H$2:$H$2000,Sets!$A$2:$A$2000,$A67,Sets!$D$2:$D$2000,E$1,Sets!$J$2:$J$2000,"N"))</f>
        <v/>
      </c>
      <c r="F67">
        <f>IF(_xlfn.MAXIFS(Sets!$H$2:$H$2000,Sets!$A$2:$A$2000,$A67,Sets!$D$2:$D$2000,F$1,Sets!$J$2:$J$2000,"N")=0,"",_xlfn.MAXIFS(Sets!$H$2:$H$2000,Sets!$A$2:$A$2000,$A67,Sets!$D$2:$D$2000,F$1,Sets!$J$2:$J$2000,"N"))</f>
        <v/>
      </c>
      <c r="G67">
        <f>IF(_xlfn.MAXIFS(Sets!$H$2:$H$2000,Sets!$A$2:$A$2000,$A67,Sets!$D$2:$D$2000,G$1,Sets!$J$2:$J$2000,"N")=0,"",_xlfn.MAXIFS(Sets!$H$2:$H$2000,Sets!$A$2:$A$2000,$A67,Sets!$D$2:$D$2000,G$1,Sets!$J$2:$J$2000,"N"))</f>
        <v/>
      </c>
      <c r="H67">
        <f>IF(_xlfn.MAXIFS(Sets!$H$2:$H$2000,Sets!$A$2:$A$2000,$A67,Sets!$D$2:$D$2000,H$1,Sets!$J$2:$J$2000,"N")=0,"",_xlfn.MAXIFS(Sets!$H$2:$H$2000,Sets!$A$2:$A$2000,$A67,Sets!$D$2:$D$2000,H$1,Sets!$J$2:$J$2000,"N"))</f>
        <v/>
      </c>
      <c r="I67">
        <f>IF(_xlfn.MAXIFS(Sets!$H$2:$H$2000,Sets!$A$2:$A$2000,$A67,Sets!$D$2:$D$2000,I$1,Sets!$J$2:$J$2000,"N")=0,"",_xlfn.MAXIFS(Sets!$H$2:$H$2000,Sets!$A$2:$A$2000,$A67,Sets!$D$2:$D$2000,I$1,Sets!$J$2:$J$2000,"N"))</f>
        <v/>
      </c>
      <c r="J67">
        <f>IF(_xlfn.MAXIFS(Sets!$H$2:$H$2000,Sets!$A$2:$A$2000,$A67,Sets!$D$2:$D$2000,J$1,Sets!$J$2:$J$2000,"N")=0,"",_xlfn.MAXIFS(Sets!$H$2:$H$2000,Sets!$A$2:$A$2000,$A67,Sets!$D$2:$D$2000,J$1,Sets!$J$2:$J$2000,"N"))</f>
        <v/>
      </c>
      <c r="K67">
        <f>IF(_xlfn.MAXIFS(Sets!$H$2:$H$2000,Sets!$A$2:$A$2000,$A67,Sets!$D$2:$D$2000,K$1,Sets!$J$2:$J$2000,"N")=0,"",_xlfn.MAXIFS(Sets!$H$2:$H$2000,Sets!$A$2:$A$2000,$A67,Sets!$D$2:$D$2000,K$1,Sets!$J$2:$J$2000,"N"))</f>
        <v/>
      </c>
      <c r="L67">
        <f>IF(_xlfn.MAXIFS(Sets!$H$2:$H$2000,Sets!$A$2:$A$2000,$A67,Sets!$D$2:$D$2000,L$1,Sets!$J$2:$J$2000,"N")=0,"",_xlfn.MAXIFS(Sets!$H$2:$H$2000,Sets!$A$2:$A$2000,$A67,Sets!$D$2:$D$2000,L$1,Sets!$J$2:$J$2000,"N"))</f>
        <v/>
      </c>
      <c r="M67">
        <f>IF(_xlfn.MAXIFS(Sets!$H$2:$H$2000,Sets!$A$2:$A$2000,$A67,Sets!$D$2:$D$2000,M$1,Sets!$J$2:$J$2000,"N")=0,"",_xlfn.MAXIFS(Sets!$H$2:$H$2000,Sets!$A$2:$A$2000,$A67,Sets!$D$2:$D$2000,M$1,Sets!$J$2:$J$2000,"N"))</f>
        <v/>
      </c>
      <c r="N67">
        <f>IF(_xlfn.MAXIFS(Sets!$H$2:$H$2000,Sets!$A$2:$A$2000,$A67,Sets!$D$2:$D$2000,N$1,Sets!$J$2:$J$2000,"N")=0,"",_xlfn.MAXIFS(Sets!$H$2:$H$2000,Sets!$A$2:$A$2000,$A67,Sets!$D$2:$D$2000,N$1,Sets!$J$2:$J$2000,"N"))</f>
        <v/>
      </c>
      <c r="O67">
        <f>IF(_xlfn.MAXIFS(Sets!$H$2:$H$2000,Sets!$A$2:$A$2000,$A67,Sets!$D$2:$D$2000,O$1,Sets!$J$2:$J$2000,"N")=0,"",_xlfn.MAXIFS(Sets!$H$2:$H$2000,Sets!$A$2:$A$2000,$A67,Sets!$D$2:$D$2000,O$1,Sets!$J$2:$J$2000,"N"))</f>
        <v/>
      </c>
      <c r="P67">
        <f>IF(_xlfn.MAXIFS(Sets!$H$2:$H$2000,Sets!$A$2:$A$2000,$A67,Sets!$D$2:$D$2000,P$1,Sets!$J$2:$J$2000,"N")=0,"",_xlfn.MAXIFS(Sets!$H$2:$H$2000,Sets!$A$2:$A$2000,$A67,Sets!$D$2:$D$2000,P$1,Sets!$J$2:$J$2000,"N"))</f>
        <v/>
      </c>
      <c r="Q67">
        <f>IF(_xlfn.MAXIFS(Sets!$H$2:$H$2000,Sets!$A$2:$A$2000,$A67,Sets!$D$2:$D$2000,Q$1,Sets!$J$2:$J$2000,"N")=0,"",_xlfn.MAXIFS(Sets!$H$2:$H$2000,Sets!$A$2:$A$2000,$A67,Sets!$D$2:$D$2000,Q$1,Sets!$J$2:$J$2000,"N"))</f>
        <v/>
      </c>
      <c r="R67">
        <f>IF(_xlfn.MAXIFS(Sets!$H$2:$H$2000,Sets!$A$2:$A$2000,$A67,Sets!$D$2:$D$2000,R$1,Sets!$J$2:$J$2000,"N")=0,"",_xlfn.MAXIFS(Sets!$H$2:$H$2000,Sets!$A$2:$A$2000,$A67,Sets!$D$2:$D$2000,R$1,Sets!$J$2:$J$2000,"N"))</f>
        <v/>
      </c>
      <c r="S67">
        <f>IF(_xlfn.MAXIFS(Sets!$H$2:$H$2000,Sets!$A$2:$A$2000,$A67,Sets!$D$2:$D$2000,S$1,Sets!$J$2:$J$2000,"N")=0,"",_xlfn.MAXIFS(Sets!$H$2:$H$2000,Sets!$A$2:$A$2000,$A67,Sets!$D$2:$D$2000,S$1,Sets!$J$2:$J$2000,"N"))</f>
        <v/>
      </c>
      <c r="T67">
        <f>IF(_xlfn.MAXIFS(Sets!$H$2:$H$2000,Sets!$A$2:$A$2000,$A67,Sets!$D$2:$D$2000,T$1,Sets!$J$2:$J$2000,"N")=0,"",_xlfn.MAXIFS(Sets!$H$2:$H$2000,Sets!$A$2:$A$2000,$A67,Sets!$D$2:$D$2000,T$1,Sets!$J$2:$J$2000,"N"))</f>
        <v/>
      </c>
      <c r="U67">
        <f>IF(_xlfn.MAXIFS(Sets!$H$2:$H$2000,Sets!$A$2:$A$2000,$A67,Sets!$D$2:$D$2000,U$1,Sets!$J$2:$J$2000,"N")=0,"",_xlfn.MAXIFS(Sets!$H$2:$H$2000,Sets!$A$2:$A$2000,$A67,Sets!$D$2:$D$2000,U$1,Sets!$J$2:$J$2000,"N"))</f>
        <v/>
      </c>
      <c r="V67">
        <f>IF(_xlfn.MAXIFS(Sets!$H$2:$H$2000,Sets!$A$2:$A$2000,$A67,Sets!$D$2:$D$2000,V$1,Sets!$J$2:$J$2000,"N")=0,"",_xlfn.MAXIFS(Sets!$H$2:$H$2000,Sets!$A$2:$A$2000,$A67,Sets!$D$2:$D$2000,V$1,Sets!$J$2:$J$2000,"N"))</f>
        <v/>
      </c>
      <c r="W67">
        <f>IF(_xlfn.MAXIFS(Sets!$H$2:$H$2000,Sets!$A$2:$A$2000,$A67,Sets!$D$2:$D$2000,W$1,Sets!$J$2:$J$2000,"N")=0,"",_xlfn.MAXIFS(Sets!$H$2:$H$2000,Sets!$A$2:$A$2000,$A67,Sets!$D$2:$D$2000,W$1,Sets!$J$2:$J$2000,"N"))</f>
        <v/>
      </c>
      <c r="X67">
        <f>IF(_xlfn.MAXIFS(Sets!$H$2:$H$2000,Sets!$A$2:$A$2000,$A67,Sets!$D$2:$D$2000,X$1,Sets!$J$2:$J$2000,"N")=0,"",_xlfn.MAXIFS(Sets!$H$2:$H$2000,Sets!$A$2:$A$2000,$A67,Sets!$D$2:$D$2000,X$1,Sets!$J$2:$J$2000,"N"))</f>
        <v/>
      </c>
      <c r="Y67">
        <f>IF(_xlfn.MAXIFS(Sets!$H$2:$H$2000,Sets!$A$2:$A$2000,$A67,Sets!$D$2:$D$2000,Y$1,Sets!$J$2:$J$2000,"N")=0,"",_xlfn.MAXIFS(Sets!$H$2:$H$2000,Sets!$A$2:$A$2000,$A67,Sets!$D$2:$D$2000,Y$1,Sets!$J$2:$J$2000,"N"))</f>
        <v/>
      </c>
      <c r="Z67">
        <f>IF(_xlfn.MAXIFS(Sets!$H$2:$H$2000,Sets!$A$2:$A$2000,$A67,Sets!$D$2:$D$2000,Z$1,Sets!$J$2:$J$2000,"N")=0,"",_xlfn.MAXIFS(Sets!$H$2:$H$2000,Sets!$A$2:$A$2000,$A67,Sets!$D$2:$D$2000,Z$1,Sets!$J$2:$J$2000,"N"))</f>
        <v/>
      </c>
      <c r="AA67">
        <f>IF(_xlfn.MAXIFS(Sets!$H$2:$H$2000,Sets!$A$2:$A$2000,$A67,Sets!$D$2:$D$2000,AA$1,Sets!$J$2:$J$2000,"N")=0,"",_xlfn.MAXIFS(Sets!$H$2:$H$2000,Sets!$A$2:$A$2000,$A67,Sets!$D$2:$D$2000,AA$1,Sets!$J$2:$J$2000,"N"))</f>
        <v/>
      </c>
      <c r="AB67">
        <f>IF(_xlfn.MAXIFS(Sets!$H$2:$H$2000,Sets!$A$2:$A$2000,$A67,Sets!$D$2:$D$2000,AB$1,Sets!$J$2:$J$2000,"N")=0,"",_xlfn.MAXIFS(Sets!$H$2:$H$2000,Sets!$A$2:$A$2000,$A67,Sets!$D$2:$D$2000,AB$1,Sets!$J$2:$J$2000,"N"))</f>
        <v/>
      </c>
      <c r="AC67">
        <f>IF(_xlfn.MAXIFS(Sets!$H$2:$H$2000,Sets!$A$2:$A$2000,$A67,Sets!$D$2:$D$2000,AC$1,Sets!$J$2:$J$2000,"N")=0,"",_xlfn.MAXIFS(Sets!$H$2:$H$2000,Sets!$A$2:$A$2000,$A67,Sets!$D$2:$D$2000,AC$1,Sets!$J$2:$J$2000,"N"))</f>
        <v/>
      </c>
      <c r="AD67">
        <f>IF(_xlfn.MAXIFS(Sets!$H$2:$H$2000,Sets!$A$2:$A$2000,$A67,Sets!$D$2:$D$2000,AD$1,Sets!$J$2:$J$2000,"N")=0,"",_xlfn.MAXIFS(Sets!$H$2:$H$2000,Sets!$A$2:$A$2000,$A67,Sets!$D$2:$D$2000,AD$1,Sets!$J$2:$J$2000,"N"))</f>
        <v/>
      </c>
      <c r="AE67">
        <f>IF(_xlfn.MAXIFS(Sets!$H$2:$H$2000,Sets!$A$2:$A$2000,$A67,Sets!$D$2:$D$2000,AE$1,Sets!$J$2:$J$2000,"N")=0,"",_xlfn.MAXIFS(Sets!$H$2:$H$2000,Sets!$A$2:$A$2000,$A67,Sets!$D$2:$D$2000,AE$1,Sets!$J$2:$J$2000,"N"))</f>
        <v/>
      </c>
      <c r="AF67">
        <f>IF(_xlfn.MAXIFS(Sets!$H$2:$H$2000,Sets!$A$2:$A$2000,$A67,Sets!$D$2:$D$2000,AF$1,Sets!$J$2:$J$2000,"N")=0,"",_xlfn.MAXIFS(Sets!$H$2:$H$2000,Sets!$A$2:$A$2000,$A67,Sets!$D$2:$D$2000,AF$1,Sets!$J$2:$J$2000,"N"))</f>
        <v/>
      </c>
      <c r="AG67">
        <f>IF(_xlfn.MAXIFS(Sets!$H$2:$H$2000,Sets!$A$2:$A$2000,$A67,Sets!$D$2:$D$2000,AG$1,Sets!$J$2:$J$2000,"N")=0,"",_xlfn.MAXIFS(Sets!$H$2:$H$2000,Sets!$A$2:$A$2000,$A67,Sets!$D$2:$D$2000,AG$1,Sets!$J$2:$J$2000,"N"))</f>
        <v/>
      </c>
      <c r="AH67">
        <f>IF(_xlfn.MAXIFS(Sets!$H$2:$H$2000,Sets!$A$2:$A$2000,$A67,Sets!$D$2:$D$2000,AH$1,Sets!$J$2:$J$2000,"N")=0,"",_xlfn.MAXIFS(Sets!$H$2:$H$2000,Sets!$A$2:$A$2000,$A67,Sets!$D$2:$D$2000,AH$1,Sets!$J$2:$J$2000,"N"))</f>
        <v/>
      </c>
      <c r="AI67">
        <f>IF(_xlfn.MAXIFS(Sets!$H$2:$H$2000,Sets!$A$2:$A$2000,$A67,Sets!$D$2:$D$2000,AI$1,Sets!$J$2:$J$2000,"N")=0,"",_xlfn.MAXIFS(Sets!$H$2:$H$2000,Sets!$A$2:$A$2000,$A67,Sets!$D$2:$D$2000,AI$1,Sets!$J$2:$J$2000,"N"))</f>
        <v/>
      </c>
      <c r="AJ67">
        <f>IF(_xlfn.MAXIFS(Sets!$H$2:$H$2000,Sets!$A$2:$A$2000,$A67,Sets!$D$2:$D$2000,AJ$1,Sets!$J$2:$J$2000,"N")=0,"",_xlfn.MAXIFS(Sets!$H$2:$H$2000,Sets!$A$2:$A$2000,$A67,Sets!$D$2:$D$2000,AJ$1,Sets!$J$2:$J$2000,"N"))</f>
        <v/>
      </c>
      <c r="AK67">
        <f>IF(_xlfn.MAXIFS(Sets!$H$2:$H$2000,Sets!$A$2:$A$2000,$A67,Sets!$D$2:$D$2000,AK$1,Sets!$J$2:$J$2000,"N")=0,"",_xlfn.MAXIFS(Sets!$H$2:$H$2000,Sets!$A$2:$A$2000,$A67,Sets!$D$2:$D$2000,AK$1,Sets!$J$2:$J$2000,"N"))</f>
        <v/>
      </c>
      <c r="AL67">
        <f>IF(_xlfn.MAXIFS(Sets!$H$2:$H$2000,Sets!$A$2:$A$2000,$A67,Sets!$D$2:$D$2000,AL$1,Sets!$J$2:$J$2000,"N")=0,"",_xlfn.MAXIFS(Sets!$H$2:$H$2000,Sets!$A$2:$A$2000,$A67,Sets!$D$2:$D$2000,AL$1,Sets!$J$2:$J$2000,"N"))</f>
        <v/>
      </c>
      <c r="AM67">
        <f>IF(_xlfn.MAXIFS(Sets!$H$2:$H$2000,Sets!$A$2:$A$2000,$A67,Sets!$D$2:$D$2000,AM$1,Sets!$J$2:$J$2000,"N")=0,"",_xlfn.MAXIFS(Sets!$H$2:$H$2000,Sets!$A$2:$A$2000,$A67,Sets!$D$2:$D$2000,AM$1,Sets!$J$2:$J$2000,"N"))</f>
        <v/>
      </c>
      <c r="AN67">
        <f>IF(_xlfn.MAXIFS(Sets!$H$2:$H$2000,Sets!$A$2:$A$2000,$A67,Sets!$D$2:$D$2000,AN$1,Sets!$J$2:$J$2000,"N")=0,"",_xlfn.MAXIFS(Sets!$H$2:$H$2000,Sets!$A$2:$A$2000,$A67,Sets!$D$2:$D$2000,AN$1,Sets!$J$2:$J$2000,"N"))</f>
        <v/>
      </c>
      <c r="AO67">
        <f>IF(_xlfn.MAXIFS(Sets!$H$2:$H$2000,Sets!$A$2:$A$2000,$A67,Sets!$D$2:$D$2000,AO$1,Sets!$J$2:$J$2000,"N")=0,"",_xlfn.MAXIFS(Sets!$H$2:$H$2000,Sets!$A$2:$A$2000,$A67,Sets!$D$2:$D$2000,AO$1,Sets!$J$2:$J$2000,"N"))</f>
        <v/>
      </c>
      <c r="AP67">
        <f>IF(_xlfn.MAXIFS(Sets!$H$2:$H$2000,Sets!$A$2:$A$2000,$A67,Sets!$D$2:$D$2000,AP$1,Sets!$J$2:$J$2000,"N")=0,"",_xlfn.MAXIFS(Sets!$H$2:$H$2000,Sets!$A$2:$A$2000,$A67,Sets!$D$2:$D$2000,AP$1,Sets!$J$2:$J$2000,"N"))</f>
        <v/>
      </c>
    </row>
    <row r="68">
      <c r="A68" s="36" t="n">
        <v>46270</v>
      </c>
      <c r="B68">
        <f>IF(_xlfn.MAXIFS(Sets!$H$2:$H$2000,Sets!$A$2:$A$2000,$A68,Sets!$D$2:$D$2000,B$1,Sets!$J$2:$J$2000,"N")=0,"",_xlfn.MAXIFS(Sets!$H$2:$H$2000,Sets!$A$2:$A$2000,$A68,Sets!$D$2:$D$2000,B$1,Sets!$J$2:$J$2000,"N"))</f>
        <v/>
      </c>
      <c r="C68">
        <f>IF(_xlfn.MAXIFS(Sets!$H$2:$H$2000,Sets!$A$2:$A$2000,$A68,Sets!$D$2:$D$2000,C$1,Sets!$J$2:$J$2000,"N")=0,"",_xlfn.MAXIFS(Sets!$H$2:$H$2000,Sets!$A$2:$A$2000,$A68,Sets!$D$2:$D$2000,C$1,Sets!$J$2:$J$2000,"N"))</f>
        <v/>
      </c>
      <c r="D68">
        <f>IF(_xlfn.MAXIFS(Sets!$H$2:$H$2000,Sets!$A$2:$A$2000,$A68,Sets!$D$2:$D$2000,D$1,Sets!$J$2:$J$2000,"N")=0,"",_xlfn.MAXIFS(Sets!$H$2:$H$2000,Sets!$A$2:$A$2000,$A68,Sets!$D$2:$D$2000,D$1,Sets!$J$2:$J$2000,"N"))</f>
        <v/>
      </c>
      <c r="E68">
        <f>IF(_xlfn.MAXIFS(Sets!$H$2:$H$2000,Sets!$A$2:$A$2000,$A68,Sets!$D$2:$D$2000,E$1,Sets!$J$2:$J$2000,"N")=0,"",_xlfn.MAXIFS(Sets!$H$2:$H$2000,Sets!$A$2:$A$2000,$A68,Sets!$D$2:$D$2000,E$1,Sets!$J$2:$J$2000,"N"))</f>
        <v/>
      </c>
      <c r="F68">
        <f>IF(_xlfn.MAXIFS(Sets!$H$2:$H$2000,Sets!$A$2:$A$2000,$A68,Sets!$D$2:$D$2000,F$1,Sets!$J$2:$J$2000,"N")=0,"",_xlfn.MAXIFS(Sets!$H$2:$H$2000,Sets!$A$2:$A$2000,$A68,Sets!$D$2:$D$2000,F$1,Sets!$J$2:$J$2000,"N"))</f>
        <v/>
      </c>
      <c r="G68">
        <f>IF(_xlfn.MAXIFS(Sets!$H$2:$H$2000,Sets!$A$2:$A$2000,$A68,Sets!$D$2:$D$2000,G$1,Sets!$J$2:$J$2000,"N")=0,"",_xlfn.MAXIFS(Sets!$H$2:$H$2000,Sets!$A$2:$A$2000,$A68,Sets!$D$2:$D$2000,G$1,Sets!$J$2:$J$2000,"N"))</f>
        <v/>
      </c>
      <c r="H68">
        <f>IF(_xlfn.MAXIFS(Sets!$H$2:$H$2000,Sets!$A$2:$A$2000,$A68,Sets!$D$2:$D$2000,H$1,Sets!$J$2:$J$2000,"N")=0,"",_xlfn.MAXIFS(Sets!$H$2:$H$2000,Sets!$A$2:$A$2000,$A68,Sets!$D$2:$D$2000,H$1,Sets!$J$2:$J$2000,"N"))</f>
        <v/>
      </c>
      <c r="I68">
        <f>IF(_xlfn.MAXIFS(Sets!$H$2:$H$2000,Sets!$A$2:$A$2000,$A68,Sets!$D$2:$D$2000,I$1,Sets!$J$2:$J$2000,"N")=0,"",_xlfn.MAXIFS(Sets!$H$2:$H$2000,Sets!$A$2:$A$2000,$A68,Sets!$D$2:$D$2000,I$1,Sets!$J$2:$J$2000,"N"))</f>
        <v/>
      </c>
      <c r="J68">
        <f>IF(_xlfn.MAXIFS(Sets!$H$2:$H$2000,Sets!$A$2:$A$2000,$A68,Sets!$D$2:$D$2000,J$1,Sets!$J$2:$J$2000,"N")=0,"",_xlfn.MAXIFS(Sets!$H$2:$H$2000,Sets!$A$2:$A$2000,$A68,Sets!$D$2:$D$2000,J$1,Sets!$J$2:$J$2000,"N"))</f>
        <v/>
      </c>
      <c r="K68">
        <f>IF(_xlfn.MAXIFS(Sets!$H$2:$H$2000,Sets!$A$2:$A$2000,$A68,Sets!$D$2:$D$2000,K$1,Sets!$J$2:$J$2000,"N")=0,"",_xlfn.MAXIFS(Sets!$H$2:$H$2000,Sets!$A$2:$A$2000,$A68,Sets!$D$2:$D$2000,K$1,Sets!$J$2:$J$2000,"N"))</f>
        <v/>
      </c>
      <c r="L68">
        <f>IF(_xlfn.MAXIFS(Sets!$H$2:$H$2000,Sets!$A$2:$A$2000,$A68,Sets!$D$2:$D$2000,L$1,Sets!$J$2:$J$2000,"N")=0,"",_xlfn.MAXIFS(Sets!$H$2:$H$2000,Sets!$A$2:$A$2000,$A68,Sets!$D$2:$D$2000,L$1,Sets!$J$2:$J$2000,"N"))</f>
        <v/>
      </c>
      <c r="M68">
        <f>IF(_xlfn.MAXIFS(Sets!$H$2:$H$2000,Sets!$A$2:$A$2000,$A68,Sets!$D$2:$D$2000,M$1,Sets!$J$2:$J$2000,"N")=0,"",_xlfn.MAXIFS(Sets!$H$2:$H$2000,Sets!$A$2:$A$2000,$A68,Sets!$D$2:$D$2000,M$1,Sets!$J$2:$J$2000,"N"))</f>
        <v/>
      </c>
      <c r="N68">
        <f>IF(_xlfn.MAXIFS(Sets!$H$2:$H$2000,Sets!$A$2:$A$2000,$A68,Sets!$D$2:$D$2000,N$1,Sets!$J$2:$J$2000,"N")=0,"",_xlfn.MAXIFS(Sets!$H$2:$H$2000,Sets!$A$2:$A$2000,$A68,Sets!$D$2:$D$2000,N$1,Sets!$J$2:$J$2000,"N"))</f>
        <v/>
      </c>
      <c r="O68">
        <f>IF(_xlfn.MAXIFS(Sets!$H$2:$H$2000,Sets!$A$2:$A$2000,$A68,Sets!$D$2:$D$2000,O$1,Sets!$J$2:$J$2000,"N")=0,"",_xlfn.MAXIFS(Sets!$H$2:$H$2000,Sets!$A$2:$A$2000,$A68,Sets!$D$2:$D$2000,O$1,Sets!$J$2:$J$2000,"N"))</f>
        <v/>
      </c>
      <c r="P68">
        <f>IF(_xlfn.MAXIFS(Sets!$H$2:$H$2000,Sets!$A$2:$A$2000,$A68,Sets!$D$2:$D$2000,P$1,Sets!$J$2:$J$2000,"N")=0,"",_xlfn.MAXIFS(Sets!$H$2:$H$2000,Sets!$A$2:$A$2000,$A68,Sets!$D$2:$D$2000,P$1,Sets!$J$2:$J$2000,"N"))</f>
        <v/>
      </c>
      <c r="Q68">
        <f>IF(_xlfn.MAXIFS(Sets!$H$2:$H$2000,Sets!$A$2:$A$2000,$A68,Sets!$D$2:$D$2000,Q$1,Sets!$J$2:$J$2000,"N")=0,"",_xlfn.MAXIFS(Sets!$H$2:$H$2000,Sets!$A$2:$A$2000,$A68,Sets!$D$2:$D$2000,Q$1,Sets!$J$2:$J$2000,"N"))</f>
        <v/>
      </c>
      <c r="R68">
        <f>IF(_xlfn.MAXIFS(Sets!$H$2:$H$2000,Sets!$A$2:$A$2000,$A68,Sets!$D$2:$D$2000,R$1,Sets!$J$2:$J$2000,"N")=0,"",_xlfn.MAXIFS(Sets!$H$2:$H$2000,Sets!$A$2:$A$2000,$A68,Sets!$D$2:$D$2000,R$1,Sets!$J$2:$J$2000,"N"))</f>
        <v/>
      </c>
      <c r="S68">
        <f>IF(_xlfn.MAXIFS(Sets!$H$2:$H$2000,Sets!$A$2:$A$2000,$A68,Sets!$D$2:$D$2000,S$1,Sets!$J$2:$J$2000,"N")=0,"",_xlfn.MAXIFS(Sets!$H$2:$H$2000,Sets!$A$2:$A$2000,$A68,Sets!$D$2:$D$2000,S$1,Sets!$J$2:$J$2000,"N"))</f>
        <v/>
      </c>
      <c r="T68">
        <f>IF(_xlfn.MAXIFS(Sets!$H$2:$H$2000,Sets!$A$2:$A$2000,$A68,Sets!$D$2:$D$2000,T$1,Sets!$J$2:$J$2000,"N")=0,"",_xlfn.MAXIFS(Sets!$H$2:$H$2000,Sets!$A$2:$A$2000,$A68,Sets!$D$2:$D$2000,T$1,Sets!$J$2:$J$2000,"N"))</f>
        <v/>
      </c>
      <c r="U68">
        <f>IF(_xlfn.MAXIFS(Sets!$H$2:$H$2000,Sets!$A$2:$A$2000,$A68,Sets!$D$2:$D$2000,U$1,Sets!$J$2:$J$2000,"N")=0,"",_xlfn.MAXIFS(Sets!$H$2:$H$2000,Sets!$A$2:$A$2000,$A68,Sets!$D$2:$D$2000,U$1,Sets!$J$2:$J$2000,"N"))</f>
        <v/>
      </c>
      <c r="V68">
        <f>IF(_xlfn.MAXIFS(Sets!$H$2:$H$2000,Sets!$A$2:$A$2000,$A68,Sets!$D$2:$D$2000,V$1,Sets!$J$2:$J$2000,"N")=0,"",_xlfn.MAXIFS(Sets!$H$2:$H$2000,Sets!$A$2:$A$2000,$A68,Sets!$D$2:$D$2000,V$1,Sets!$J$2:$J$2000,"N"))</f>
        <v/>
      </c>
      <c r="W68">
        <f>IF(_xlfn.MAXIFS(Sets!$H$2:$H$2000,Sets!$A$2:$A$2000,$A68,Sets!$D$2:$D$2000,W$1,Sets!$J$2:$J$2000,"N")=0,"",_xlfn.MAXIFS(Sets!$H$2:$H$2000,Sets!$A$2:$A$2000,$A68,Sets!$D$2:$D$2000,W$1,Sets!$J$2:$J$2000,"N"))</f>
        <v/>
      </c>
      <c r="X68">
        <f>IF(_xlfn.MAXIFS(Sets!$H$2:$H$2000,Sets!$A$2:$A$2000,$A68,Sets!$D$2:$D$2000,X$1,Sets!$J$2:$J$2000,"N")=0,"",_xlfn.MAXIFS(Sets!$H$2:$H$2000,Sets!$A$2:$A$2000,$A68,Sets!$D$2:$D$2000,X$1,Sets!$J$2:$J$2000,"N"))</f>
        <v/>
      </c>
      <c r="Y68">
        <f>IF(_xlfn.MAXIFS(Sets!$H$2:$H$2000,Sets!$A$2:$A$2000,$A68,Sets!$D$2:$D$2000,Y$1,Sets!$J$2:$J$2000,"N")=0,"",_xlfn.MAXIFS(Sets!$H$2:$H$2000,Sets!$A$2:$A$2000,$A68,Sets!$D$2:$D$2000,Y$1,Sets!$J$2:$J$2000,"N"))</f>
        <v/>
      </c>
      <c r="Z68">
        <f>IF(_xlfn.MAXIFS(Sets!$H$2:$H$2000,Sets!$A$2:$A$2000,$A68,Sets!$D$2:$D$2000,Z$1,Sets!$J$2:$J$2000,"N")=0,"",_xlfn.MAXIFS(Sets!$H$2:$H$2000,Sets!$A$2:$A$2000,$A68,Sets!$D$2:$D$2000,Z$1,Sets!$J$2:$J$2000,"N"))</f>
        <v/>
      </c>
      <c r="AA68">
        <f>IF(_xlfn.MAXIFS(Sets!$H$2:$H$2000,Sets!$A$2:$A$2000,$A68,Sets!$D$2:$D$2000,AA$1,Sets!$J$2:$J$2000,"N")=0,"",_xlfn.MAXIFS(Sets!$H$2:$H$2000,Sets!$A$2:$A$2000,$A68,Sets!$D$2:$D$2000,AA$1,Sets!$J$2:$J$2000,"N"))</f>
        <v/>
      </c>
      <c r="AB68">
        <f>IF(_xlfn.MAXIFS(Sets!$H$2:$H$2000,Sets!$A$2:$A$2000,$A68,Sets!$D$2:$D$2000,AB$1,Sets!$J$2:$J$2000,"N")=0,"",_xlfn.MAXIFS(Sets!$H$2:$H$2000,Sets!$A$2:$A$2000,$A68,Sets!$D$2:$D$2000,AB$1,Sets!$J$2:$J$2000,"N"))</f>
        <v/>
      </c>
      <c r="AC68">
        <f>IF(_xlfn.MAXIFS(Sets!$H$2:$H$2000,Sets!$A$2:$A$2000,$A68,Sets!$D$2:$D$2000,AC$1,Sets!$J$2:$J$2000,"N")=0,"",_xlfn.MAXIFS(Sets!$H$2:$H$2000,Sets!$A$2:$A$2000,$A68,Sets!$D$2:$D$2000,AC$1,Sets!$J$2:$J$2000,"N"))</f>
        <v/>
      </c>
      <c r="AD68">
        <f>IF(_xlfn.MAXIFS(Sets!$H$2:$H$2000,Sets!$A$2:$A$2000,$A68,Sets!$D$2:$D$2000,AD$1,Sets!$J$2:$J$2000,"N")=0,"",_xlfn.MAXIFS(Sets!$H$2:$H$2000,Sets!$A$2:$A$2000,$A68,Sets!$D$2:$D$2000,AD$1,Sets!$J$2:$J$2000,"N"))</f>
        <v/>
      </c>
      <c r="AE68">
        <f>IF(_xlfn.MAXIFS(Sets!$H$2:$H$2000,Sets!$A$2:$A$2000,$A68,Sets!$D$2:$D$2000,AE$1,Sets!$J$2:$J$2000,"N")=0,"",_xlfn.MAXIFS(Sets!$H$2:$H$2000,Sets!$A$2:$A$2000,$A68,Sets!$D$2:$D$2000,AE$1,Sets!$J$2:$J$2000,"N"))</f>
        <v/>
      </c>
      <c r="AF68">
        <f>IF(_xlfn.MAXIFS(Sets!$H$2:$H$2000,Sets!$A$2:$A$2000,$A68,Sets!$D$2:$D$2000,AF$1,Sets!$J$2:$J$2000,"N")=0,"",_xlfn.MAXIFS(Sets!$H$2:$H$2000,Sets!$A$2:$A$2000,$A68,Sets!$D$2:$D$2000,AF$1,Sets!$J$2:$J$2000,"N"))</f>
        <v/>
      </c>
      <c r="AG68">
        <f>IF(_xlfn.MAXIFS(Sets!$H$2:$H$2000,Sets!$A$2:$A$2000,$A68,Sets!$D$2:$D$2000,AG$1,Sets!$J$2:$J$2000,"N")=0,"",_xlfn.MAXIFS(Sets!$H$2:$H$2000,Sets!$A$2:$A$2000,$A68,Sets!$D$2:$D$2000,AG$1,Sets!$J$2:$J$2000,"N"))</f>
        <v/>
      </c>
      <c r="AH68">
        <f>IF(_xlfn.MAXIFS(Sets!$H$2:$H$2000,Sets!$A$2:$A$2000,$A68,Sets!$D$2:$D$2000,AH$1,Sets!$J$2:$J$2000,"N")=0,"",_xlfn.MAXIFS(Sets!$H$2:$H$2000,Sets!$A$2:$A$2000,$A68,Sets!$D$2:$D$2000,AH$1,Sets!$J$2:$J$2000,"N"))</f>
        <v/>
      </c>
      <c r="AI68">
        <f>IF(_xlfn.MAXIFS(Sets!$H$2:$H$2000,Sets!$A$2:$A$2000,$A68,Sets!$D$2:$D$2000,AI$1,Sets!$J$2:$J$2000,"N")=0,"",_xlfn.MAXIFS(Sets!$H$2:$H$2000,Sets!$A$2:$A$2000,$A68,Sets!$D$2:$D$2000,AI$1,Sets!$J$2:$J$2000,"N"))</f>
        <v/>
      </c>
      <c r="AJ68">
        <f>IF(_xlfn.MAXIFS(Sets!$H$2:$H$2000,Sets!$A$2:$A$2000,$A68,Sets!$D$2:$D$2000,AJ$1,Sets!$J$2:$J$2000,"N")=0,"",_xlfn.MAXIFS(Sets!$H$2:$H$2000,Sets!$A$2:$A$2000,$A68,Sets!$D$2:$D$2000,AJ$1,Sets!$J$2:$J$2000,"N"))</f>
        <v/>
      </c>
      <c r="AK68">
        <f>IF(_xlfn.MAXIFS(Sets!$H$2:$H$2000,Sets!$A$2:$A$2000,$A68,Sets!$D$2:$D$2000,AK$1,Sets!$J$2:$J$2000,"N")=0,"",_xlfn.MAXIFS(Sets!$H$2:$H$2000,Sets!$A$2:$A$2000,$A68,Sets!$D$2:$D$2000,AK$1,Sets!$J$2:$J$2000,"N"))</f>
        <v/>
      </c>
      <c r="AL68">
        <f>IF(_xlfn.MAXIFS(Sets!$H$2:$H$2000,Sets!$A$2:$A$2000,$A68,Sets!$D$2:$D$2000,AL$1,Sets!$J$2:$J$2000,"N")=0,"",_xlfn.MAXIFS(Sets!$H$2:$H$2000,Sets!$A$2:$A$2000,$A68,Sets!$D$2:$D$2000,AL$1,Sets!$J$2:$J$2000,"N"))</f>
        <v/>
      </c>
      <c r="AM68">
        <f>IF(_xlfn.MAXIFS(Sets!$H$2:$H$2000,Sets!$A$2:$A$2000,$A68,Sets!$D$2:$D$2000,AM$1,Sets!$J$2:$J$2000,"N")=0,"",_xlfn.MAXIFS(Sets!$H$2:$H$2000,Sets!$A$2:$A$2000,$A68,Sets!$D$2:$D$2000,AM$1,Sets!$J$2:$J$2000,"N"))</f>
        <v/>
      </c>
      <c r="AN68">
        <f>IF(_xlfn.MAXIFS(Sets!$H$2:$H$2000,Sets!$A$2:$A$2000,$A68,Sets!$D$2:$D$2000,AN$1,Sets!$J$2:$J$2000,"N")=0,"",_xlfn.MAXIFS(Sets!$H$2:$H$2000,Sets!$A$2:$A$2000,$A68,Sets!$D$2:$D$2000,AN$1,Sets!$J$2:$J$2000,"N"))</f>
        <v/>
      </c>
      <c r="AO68">
        <f>IF(_xlfn.MAXIFS(Sets!$H$2:$H$2000,Sets!$A$2:$A$2000,$A68,Sets!$D$2:$D$2000,AO$1,Sets!$J$2:$J$2000,"N")=0,"",_xlfn.MAXIFS(Sets!$H$2:$H$2000,Sets!$A$2:$A$2000,$A68,Sets!$D$2:$D$2000,AO$1,Sets!$J$2:$J$2000,"N"))</f>
        <v/>
      </c>
      <c r="AP68">
        <f>IF(_xlfn.MAXIFS(Sets!$H$2:$H$2000,Sets!$A$2:$A$2000,$A68,Sets!$D$2:$D$2000,AP$1,Sets!$J$2:$J$2000,"N")=0,"",_xlfn.MAXIFS(Sets!$H$2:$H$2000,Sets!$A$2:$A$2000,$A68,Sets!$D$2:$D$2000,AP$1,Sets!$J$2:$J$2000,"N"))</f>
        <v/>
      </c>
    </row>
    <row r="69">
      <c r="A69" s="36" t="n">
        <v>46271</v>
      </c>
      <c r="B69">
        <f>IF(_xlfn.MAXIFS(Sets!$H$2:$H$2000,Sets!$A$2:$A$2000,$A69,Sets!$D$2:$D$2000,B$1,Sets!$J$2:$J$2000,"N")=0,"",_xlfn.MAXIFS(Sets!$H$2:$H$2000,Sets!$A$2:$A$2000,$A69,Sets!$D$2:$D$2000,B$1,Sets!$J$2:$J$2000,"N"))</f>
        <v/>
      </c>
      <c r="C69">
        <f>IF(_xlfn.MAXIFS(Sets!$H$2:$H$2000,Sets!$A$2:$A$2000,$A69,Sets!$D$2:$D$2000,C$1,Sets!$J$2:$J$2000,"N")=0,"",_xlfn.MAXIFS(Sets!$H$2:$H$2000,Sets!$A$2:$A$2000,$A69,Sets!$D$2:$D$2000,C$1,Sets!$J$2:$J$2000,"N"))</f>
        <v/>
      </c>
      <c r="D69">
        <f>IF(_xlfn.MAXIFS(Sets!$H$2:$H$2000,Sets!$A$2:$A$2000,$A69,Sets!$D$2:$D$2000,D$1,Sets!$J$2:$J$2000,"N")=0,"",_xlfn.MAXIFS(Sets!$H$2:$H$2000,Sets!$A$2:$A$2000,$A69,Sets!$D$2:$D$2000,D$1,Sets!$J$2:$J$2000,"N"))</f>
        <v/>
      </c>
      <c r="E69">
        <f>IF(_xlfn.MAXIFS(Sets!$H$2:$H$2000,Sets!$A$2:$A$2000,$A69,Sets!$D$2:$D$2000,E$1,Sets!$J$2:$J$2000,"N")=0,"",_xlfn.MAXIFS(Sets!$H$2:$H$2000,Sets!$A$2:$A$2000,$A69,Sets!$D$2:$D$2000,E$1,Sets!$J$2:$J$2000,"N"))</f>
        <v/>
      </c>
      <c r="F69">
        <f>IF(_xlfn.MAXIFS(Sets!$H$2:$H$2000,Sets!$A$2:$A$2000,$A69,Sets!$D$2:$D$2000,F$1,Sets!$J$2:$J$2000,"N")=0,"",_xlfn.MAXIFS(Sets!$H$2:$H$2000,Sets!$A$2:$A$2000,$A69,Sets!$D$2:$D$2000,F$1,Sets!$J$2:$J$2000,"N"))</f>
        <v/>
      </c>
      <c r="G69">
        <f>IF(_xlfn.MAXIFS(Sets!$H$2:$H$2000,Sets!$A$2:$A$2000,$A69,Sets!$D$2:$D$2000,G$1,Sets!$J$2:$J$2000,"N")=0,"",_xlfn.MAXIFS(Sets!$H$2:$H$2000,Sets!$A$2:$A$2000,$A69,Sets!$D$2:$D$2000,G$1,Sets!$J$2:$J$2000,"N"))</f>
        <v/>
      </c>
      <c r="H69">
        <f>IF(_xlfn.MAXIFS(Sets!$H$2:$H$2000,Sets!$A$2:$A$2000,$A69,Sets!$D$2:$D$2000,H$1,Sets!$J$2:$J$2000,"N")=0,"",_xlfn.MAXIFS(Sets!$H$2:$H$2000,Sets!$A$2:$A$2000,$A69,Sets!$D$2:$D$2000,H$1,Sets!$J$2:$J$2000,"N"))</f>
        <v/>
      </c>
      <c r="I69">
        <f>IF(_xlfn.MAXIFS(Sets!$H$2:$H$2000,Sets!$A$2:$A$2000,$A69,Sets!$D$2:$D$2000,I$1,Sets!$J$2:$J$2000,"N")=0,"",_xlfn.MAXIFS(Sets!$H$2:$H$2000,Sets!$A$2:$A$2000,$A69,Sets!$D$2:$D$2000,I$1,Sets!$J$2:$J$2000,"N"))</f>
        <v/>
      </c>
      <c r="J69">
        <f>IF(_xlfn.MAXIFS(Sets!$H$2:$H$2000,Sets!$A$2:$A$2000,$A69,Sets!$D$2:$D$2000,J$1,Sets!$J$2:$J$2000,"N")=0,"",_xlfn.MAXIFS(Sets!$H$2:$H$2000,Sets!$A$2:$A$2000,$A69,Sets!$D$2:$D$2000,J$1,Sets!$J$2:$J$2000,"N"))</f>
        <v/>
      </c>
      <c r="K69">
        <f>IF(_xlfn.MAXIFS(Sets!$H$2:$H$2000,Sets!$A$2:$A$2000,$A69,Sets!$D$2:$D$2000,K$1,Sets!$J$2:$J$2000,"N")=0,"",_xlfn.MAXIFS(Sets!$H$2:$H$2000,Sets!$A$2:$A$2000,$A69,Sets!$D$2:$D$2000,K$1,Sets!$J$2:$J$2000,"N"))</f>
        <v/>
      </c>
      <c r="L69">
        <f>IF(_xlfn.MAXIFS(Sets!$H$2:$H$2000,Sets!$A$2:$A$2000,$A69,Sets!$D$2:$D$2000,L$1,Sets!$J$2:$J$2000,"N")=0,"",_xlfn.MAXIFS(Sets!$H$2:$H$2000,Sets!$A$2:$A$2000,$A69,Sets!$D$2:$D$2000,L$1,Sets!$J$2:$J$2000,"N"))</f>
        <v/>
      </c>
      <c r="M69">
        <f>IF(_xlfn.MAXIFS(Sets!$H$2:$H$2000,Sets!$A$2:$A$2000,$A69,Sets!$D$2:$D$2000,M$1,Sets!$J$2:$J$2000,"N")=0,"",_xlfn.MAXIFS(Sets!$H$2:$H$2000,Sets!$A$2:$A$2000,$A69,Sets!$D$2:$D$2000,M$1,Sets!$J$2:$J$2000,"N"))</f>
        <v/>
      </c>
      <c r="N69">
        <f>IF(_xlfn.MAXIFS(Sets!$H$2:$H$2000,Sets!$A$2:$A$2000,$A69,Sets!$D$2:$D$2000,N$1,Sets!$J$2:$J$2000,"N")=0,"",_xlfn.MAXIFS(Sets!$H$2:$H$2000,Sets!$A$2:$A$2000,$A69,Sets!$D$2:$D$2000,N$1,Sets!$J$2:$J$2000,"N"))</f>
        <v/>
      </c>
      <c r="O69">
        <f>IF(_xlfn.MAXIFS(Sets!$H$2:$H$2000,Sets!$A$2:$A$2000,$A69,Sets!$D$2:$D$2000,O$1,Sets!$J$2:$J$2000,"N")=0,"",_xlfn.MAXIFS(Sets!$H$2:$H$2000,Sets!$A$2:$A$2000,$A69,Sets!$D$2:$D$2000,O$1,Sets!$J$2:$J$2000,"N"))</f>
        <v/>
      </c>
      <c r="P69">
        <f>IF(_xlfn.MAXIFS(Sets!$H$2:$H$2000,Sets!$A$2:$A$2000,$A69,Sets!$D$2:$D$2000,P$1,Sets!$J$2:$J$2000,"N")=0,"",_xlfn.MAXIFS(Sets!$H$2:$H$2000,Sets!$A$2:$A$2000,$A69,Sets!$D$2:$D$2000,P$1,Sets!$J$2:$J$2000,"N"))</f>
        <v/>
      </c>
      <c r="Q69">
        <f>IF(_xlfn.MAXIFS(Sets!$H$2:$H$2000,Sets!$A$2:$A$2000,$A69,Sets!$D$2:$D$2000,Q$1,Sets!$J$2:$J$2000,"N")=0,"",_xlfn.MAXIFS(Sets!$H$2:$H$2000,Sets!$A$2:$A$2000,$A69,Sets!$D$2:$D$2000,Q$1,Sets!$J$2:$J$2000,"N"))</f>
        <v/>
      </c>
      <c r="R69">
        <f>IF(_xlfn.MAXIFS(Sets!$H$2:$H$2000,Sets!$A$2:$A$2000,$A69,Sets!$D$2:$D$2000,R$1,Sets!$J$2:$J$2000,"N")=0,"",_xlfn.MAXIFS(Sets!$H$2:$H$2000,Sets!$A$2:$A$2000,$A69,Sets!$D$2:$D$2000,R$1,Sets!$J$2:$J$2000,"N"))</f>
        <v/>
      </c>
      <c r="S69">
        <f>IF(_xlfn.MAXIFS(Sets!$H$2:$H$2000,Sets!$A$2:$A$2000,$A69,Sets!$D$2:$D$2000,S$1,Sets!$J$2:$J$2000,"N")=0,"",_xlfn.MAXIFS(Sets!$H$2:$H$2000,Sets!$A$2:$A$2000,$A69,Sets!$D$2:$D$2000,S$1,Sets!$J$2:$J$2000,"N"))</f>
        <v/>
      </c>
      <c r="T69">
        <f>IF(_xlfn.MAXIFS(Sets!$H$2:$H$2000,Sets!$A$2:$A$2000,$A69,Sets!$D$2:$D$2000,T$1,Sets!$J$2:$J$2000,"N")=0,"",_xlfn.MAXIFS(Sets!$H$2:$H$2000,Sets!$A$2:$A$2000,$A69,Sets!$D$2:$D$2000,T$1,Sets!$J$2:$J$2000,"N"))</f>
        <v/>
      </c>
      <c r="U69">
        <f>IF(_xlfn.MAXIFS(Sets!$H$2:$H$2000,Sets!$A$2:$A$2000,$A69,Sets!$D$2:$D$2000,U$1,Sets!$J$2:$J$2000,"N")=0,"",_xlfn.MAXIFS(Sets!$H$2:$H$2000,Sets!$A$2:$A$2000,$A69,Sets!$D$2:$D$2000,U$1,Sets!$J$2:$J$2000,"N"))</f>
        <v/>
      </c>
      <c r="V69">
        <f>IF(_xlfn.MAXIFS(Sets!$H$2:$H$2000,Sets!$A$2:$A$2000,$A69,Sets!$D$2:$D$2000,V$1,Sets!$J$2:$J$2000,"N")=0,"",_xlfn.MAXIFS(Sets!$H$2:$H$2000,Sets!$A$2:$A$2000,$A69,Sets!$D$2:$D$2000,V$1,Sets!$J$2:$J$2000,"N"))</f>
        <v/>
      </c>
      <c r="W69">
        <f>IF(_xlfn.MAXIFS(Sets!$H$2:$H$2000,Sets!$A$2:$A$2000,$A69,Sets!$D$2:$D$2000,W$1,Sets!$J$2:$J$2000,"N")=0,"",_xlfn.MAXIFS(Sets!$H$2:$H$2000,Sets!$A$2:$A$2000,$A69,Sets!$D$2:$D$2000,W$1,Sets!$J$2:$J$2000,"N"))</f>
        <v/>
      </c>
      <c r="X69">
        <f>IF(_xlfn.MAXIFS(Sets!$H$2:$H$2000,Sets!$A$2:$A$2000,$A69,Sets!$D$2:$D$2000,X$1,Sets!$J$2:$J$2000,"N")=0,"",_xlfn.MAXIFS(Sets!$H$2:$H$2000,Sets!$A$2:$A$2000,$A69,Sets!$D$2:$D$2000,X$1,Sets!$J$2:$J$2000,"N"))</f>
        <v/>
      </c>
      <c r="Y69">
        <f>IF(_xlfn.MAXIFS(Sets!$H$2:$H$2000,Sets!$A$2:$A$2000,$A69,Sets!$D$2:$D$2000,Y$1,Sets!$J$2:$J$2000,"N")=0,"",_xlfn.MAXIFS(Sets!$H$2:$H$2000,Sets!$A$2:$A$2000,$A69,Sets!$D$2:$D$2000,Y$1,Sets!$J$2:$J$2000,"N"))</f>
        <v/>
      </c>
      <c r="Z69">
        <f>IF(_xlfn.MAXIFS(Sets!$H$2:$H$2000,Sets!$A$2:$A$2000,$A69,Sets!$D$2:$D$2000,Z$1,Sets!$J$2:$J$2000,"N")=0,"",_xlfn.MAXIFS(Sets!$H$2:$H$2000,Sets!$A$2:$A$2000,$A69,Sets!$D$2:$D$2000,Z$1,Sets!$J$2:$J$2000,"N"))</f>
        <v/>
      </c>
      <c r="AA69">
        <f>IF(_xlfn.MAXIFS(Sets!$H$2:$H$2000,Sets!$A$2:$A$2000,$A69,Sets!$D$2:$D$2000,AA$1,Sets!$J$2:$J$2000,"N")=0,"",_xlfn.MAXIFS(Sets!$H$2:$H$2000,Sets!$A$2:$A$2000,$A69,Sets!$D$2:$D$2000,AA$1,Sets!$J$2:$J$2000,"N"))</f>
        <v/>
      </c>
      <c r="AB69">
        <f>IF(_xlfn.MAXIFS(Sets!$H$2:$H$2000,Sets!$A$2:$A$2000,$A69,Sets!$D$2:$D$2000,AB$1,Sets!$J$2:$J$2000,"N")=0,"",_xlfn.MAXIFS(Sets!$H$2:$H$2000,Sets!$A$2:$A$2000,$A69,Sets!$D$2:$D$2000,AB$1,Sets!$J$2:$J$2000,"N"))</f>
        <v/>
      </c>
      <c r="AC69">
        <f>IF(_xlfn.MAXIFS(Sets!$H$2:$H$2000,Sets!$A$2:$A$2000,$A69,Sets!$D$2:$D$2000,AC$1,Sets!$J$2:$J$2000,"N")=0,"",_xlfn.MAXIFS(Sets!$H$2:$H$2000,Sets!$A$2:$A$2000,$A69,Sets!$D$2:$D$2000,AC$1,Sets!$J$2:$J$2000,"N"))</f>
        <v/>
      </c>
      <c r="AD69">
        <f>IF(_xlfn.MAXIFS(Sets!$H$2:$H$2000,Sets!$A$2:$A$2000,$A69,Sets!$D$2:$D$2000,AD$1,Sets!$J$2:$J$2000,"N")=0,"",_xlfn.MAXIFS(Sets!$H$2:$H$2000,Sets!$A$2:$A$2000,$A69,Sets!$D$2:$D$2000,AD$1,Sets!$J$2:$J$2000,"N"))</f>
        <v/>
      </c>
      <c r="AE69">
        <f>IF(_xlfn.MAXIFS(Sets!$H$2:$H$2000,Sets!$A$2:$A$2000,$A69,Sets!$D$2:$D$2000,AE$1,Sets!$J$2:$J$2000,"N")=0,"",_xlfn.MAXIFS(Sets!$H$2:$H$2000,Sets!$A$2:$A$2000,$A69,Sets!$D$2:$D$2000,AE$1,Sets!$J$2:$J$2000,"N"))</f>
        <v/>
      </c>
      <c r="AF69">
        <f>IF(_xlfn.MAXIFS(Sets!$H$2:$H$2000,Sets!$A$2:$A$2000,$A69,Sets!$D$2:$D$2000,AF$1,Sets!$J$2:$J$2000,"N")=0,"",_xlfn.MAXIFS(Sets!$H$2:$H$2000,Sets!$A$2:$A$2000,$A69,Sets!$D$2:$D$2000,AF$1,Sets!$J$2:$J$2000,"N"))</f>
        <v/>
      </c>
      <c r="AG69">
        <f>IF(_xlfn.MAXIFS(Sets!$H$2:$H$2000,Sets!$A$2:$A$2000,$A69,Sets!$D$2:$D$2000,AG$1,Sets!$J$2:$J$2000,"N")=0,"",_xlfn.MAXIFS(Sets!$H$2:$H$2000,Sets!$A$2:$A$2000,$A69,Sets!$D$2:$D$2000,AG$1,Sets!$J$2:$J$2000,"N"))</f>
        <v/>
      </c>
      <c r="AH69">
        <f>IF(_xlfn.MAXIFS(Sets!$H$2:$H$2000,Sets!$A$2:$A$2000,$A69,Sets!$D$2:$D$2000,AH$1,Sets!$J$2:$J$2000,"N")=0,"",_xlfn.MAXIFS(Sets!$H$2:$H$2000,Sets!$A$2:$A$2000,$A69,Sets!$D$2:$D$2000,AH$1,Sets!$J$2:$J$2000,"N"))</f>
        <v/>
      </c>
      <c r="AI69">
        <f>IF(_xlfn.MAXIFS(Sets!$H$2:$H$2000,Sets!$A$2:$A$2000,$A69,Sets!$D$2:$D$2000,AI$1,Sets!$J$2:$J$2000,"N")=0,"",_xlfn.MAXIFS(Sets!$H$2:$H$2000,Sets!$A$2:$A$2000,$A69,Sets!$D$2:$D$2000,AI$1,Sets!$J$2:$J$2000,"N"))</f>
        <v/>
      </c>
      <c r="AJ69">
        <f>IF(_xlfn.MAXIFS(Sets!$H$2:$H$2000,Sets!$A$2:$A$2000,$A69,Sets!$D$2:$D$2000,AJ$1,Sets!$J$2:$J$2000,"N")=0,"",_xlfn.MAXIFS(Sets!$H$2:$H$2000,Sets!$A$2:$A$2000,$A69,Sets!$D$2:$D$2000,AJ$1,Sets!$J$2:$J$2000,"N"))</f>
        <v/>
      </c>
      <c r="AK69">
        <f>IF(_xlfn.MAXIFS(Sets!$H$2:$H$2000,Sets!$A$2:$A$2000,$A69,Sets!$D$2:$D$2000,AK$1,Sets!$J$2:$J$2000,"N")=0,"",_xlfn.MAXIFS(Sets!$H$2:$H$2000,Sets!$A$2:$A$2000,$A69,Sets!$D$2:$D$2000,AK$1,Sets!$J$2:$J$2000,"N"))</f>
        <v/>
      </c>
      <c r="AL69">
        <f>IF(_xlfn.MAXIFS(Sets!$H$2:$H$2000,Sets!$A$2:$A$2000,$A69,Sets!$D$2:$D$2000,AL$1,Sets!$J$2:$J$2000,"N")=0,"",_xlfn.MAXIFS(Sets!$H$2:$H$2000,Sets!$A$2:$A$2000,$A69,Sets!$D$2:$D$2000,AL$1,Sets!$J$2:$J$2000,"N"))</f>
        <v/>
      </c>
      <c r="AM69">
        <f>IF(_xlfn.MAXIFS(Sets!$H$2:$H$2000,Sets!$A$2:$A$2000,$A69,Sets!$D$2:$D$2000,AM$1,Sets!$J$2:$J$2000,"N")=0,"",_xlfn.MAXIFS(Sets!$H$2:$H$2000,Sets!$A$2:$A$2000,$A69,Sets!$D$2:$D$2000,AM$1,Sets!$J$2:$J$2000,"N"))</f>
        <v/>
      </c>
      <c r="AN69">
        <f>IF(_xlfn.MAXIFS(Sets!$H$2:$H$2000,Sets!$A$2:$A$2000,$A69,Sets!$D$2:$D$2000,AN$1,Sets!$J$2:$J$2000,"N")=0,"",_xlfn.MAXIFS(Sets!$H$2:$H$2000,Sets!$A$2:$A$2000,$A69,Sets!$D$2:$D$2000,AN$1,Sets!$J$2:$J$2000,"N"))</f>
        <v/>
      </c>
      <c r="AO69">
        <f>IF(_xlfn.MAXIFS(Sets!$H$2:$H$2000,Sets!$A$2:$A$2000,$A69,Sets!$D$2:$D$2000,AO$1,Sets!$J$2:$J$2000,"N")=0,"",_xlfn.MAXIFS(Sets!$H$2:$H$2000,Sets!$A$2:$A$2000,$A69,Sets!$D$2:$D$2000,AO$1,Sets!$J$2:$J$2000,"N"))</f>
        <v/>
      </c>
      <c r="AP69">
        <f>IF(_xlfn.MAXIFS(Sets!$H$2:$H$2000,Sets!$A$2:$A$2000,$A69,Sets!$D$2:$D$2000,AP$1,Sets!$J$2:$J$2000,"N")=0,"",_xlfn.MAXIFS(Sets!$H$2:$H$2000,Sets!$A$2:$A$2000,$A69,Sets!$D$2:$D$2000,AP$1,Sets!$J$2:$J$2000,"N"))</f>
        <v/>
      </c>
    </row>
    <row r="70">
      <c r="A70" s="36" t="n">
        <v>46273</v>
      </c>
      <c r="B70">
        <f>IF(_xlfn.MAXIFS(Sets!$H$2:$H$2000,Sets!$A$2:$A$2000,$A70,Sets!$D$2:$D$2000,B$1,Sets!$J$2:$J$2000,"N")=0,"",_xlfn.MAXIFS(Sets!$H$2:$H$2000,Sets!$A$2:$A$2000,$A70,Sets!$D$2:$D$2000,B$1,Sets!$J$2:$J$2000,"N"))</f>
        <v/>
      </c>
      <c r="C70">
        <f>IF(_xlfn.MAXIFS(Sets!$H$2:$H$2000,Sets!$A$2:$A$2000,$A70,Sets!$D$2:$D$2000,C$1,Sets!$J$2:$J$2000,"N")=0,"",_xlfn.MAXIFS(Sets!$H$2:$H$2000,Sets!$A$2:$A$2000,$A70,Sets!$D$2:$D$2000,C$1,Sets!$J$2:$J$2000,"N"))</f>
        <v/>
      </c>
      <c r="D70">
        <f>IF(_xlfn.MAXIFS(Sets!$H$2:$H$2000,Sets!$A$2:$A$2000,$A70,Sets!$D$2:$D$2000,D$1,Sets!$J$2:$J$2000,"N")=0,"",_xlfn.MAXIFS(Sets!$H$2:$H$2000,Sets!$A$2:$A$2000,$A70,Sets!$D$2:$D$2000,D$1,Sets!$J$2:$J$2000,"N"))</f>
        <v/>
      </c>
      <c r="E70">
        <f>IF(_xlfn.MAXIFS(Sets!$H$2:$H$2000,Sets!$A$2:$A$2000,$A70,Sets!$D$2:$D$2000,E$1,Sets!$J$2:$J$2000,"N")=0,"",_xlfn.MAXIFS(Sets!$H$2:$H$2000,Sets!$A$2:$A$2000,$A70,Sets!$D$2:$D$2000,E$1,Sets!$J$2:$J$2000,"N"))</f>
        <v/>
      </c>
      <c r="F70">
        <f>IF(_xlfn.MAXIFS(Sets!$H$2:$H$2000,Sets!$A$2:$A$2000,$A70,Sets!$D$2:$D$2000,F$1,Sets!$J$2:$J$2000,"N")=0,"",_xlfn.MAXIFS(Sets!$H$2:$H$2000,Sets!$A$2:$A$2000,$A70,Sets!$D$2:$D$2000,F$1,Sets!$J$2:$J$2000,"N"))</f>
        <v/>
      </c>
      <c r="G70">
        <f>IF(_xlfn.MAXIFS(Sets!$H$2:$H$2000,Sets!$A$2:$A$2000,$A70,Sets!$D$2:$D$2000,G$1,Sets!$J$2:$J$2000,"N")=0,"",_xlfn.MAXIFS(Sets!$H$2:$H$2000,Sets!$A$2:$A$2000,$A70,Sets!$D$2:$D$2000,G$1,Sets!$J$2:$J$2000,"N"))</f>
        <v/>
      </c>
      <c r="H70">
        <f>IF(_xlfn.MAXIFS(Sets!$H$2:$H$2000,Sets!$A$2:$A$2000,$A70,Sets!$D$2:$D$2000,H$1,Sets!$J$2:$J$2000,"N")=0,"",_xlfn.MAXIFS(Sets!$H$2:$H$2000,Sets!$A$2:$A$2000,$A70,Sets!$D$2:$D$2000,H$1,Sets!$J$2:$J$2000,"N"))</f>
        <v/>
      </c>
      <c r="I70">
        <f>IF(_xlfn.MAXIFS(Sets!$H$2:$H$2000,Sets!$A$2:$A$2000,$A70,Sets!$D$2:$D$2000,I$1,Sets!$J$2:$J$2000,"N")=0,"",_xlfn.MAXIFS(Sets!$H$2:$H$2000,Sets!$A$2:$A$2000,$A70,Sets!$D$2:$D$2000,I$1,Sets!$J$2:$J$2000,"N"))</f>
        <v/>
      </c>
      <c r="J70">
        <f>IF(_xlfn.MAXIFS(Sets!$H$2:$H$2000,Sets!$A$2:$A$2000,$A70,Sets!$D$2:$D$2000,J$1,Sets!$J$2:$J$2000,"N")=0,"",_xlfn.MAXIFS(Sets!$H$2:$H$2000,Sets!$A$2:$A$2000,$A70,Sets!$D$2:$D$2000,J$1,Sets!$J$2:$J$2000,"N"))</f>
        <v/>
      </c>
      <c r="K70">
        <f>IF(_xlfn.MAXIFS(Sets!$H$2:$H$2000,Sets!$A$2:$A$2000,$A70,Sets!$D$2:$D$2000,K$1,Sets!$J$2:$J$2000,"N")=0,"",_xlfn.MAXIFS(Sets!$H$2:$H$2000,Sets!$A$2:$A$2000,$A70,Sets!$D$2:$D$2000,K$1,Sets!$J$2:$J$2000,"N"))</f>
        <v/>
      </c>
      <c r="L70">
        <f>IF(_xlfn.MAXIFS(Sets!$H$2:$H$2000,Sets!$A$2:$A$2000,$A70,Sets!$D$2:$D$2000,L$1,Sets!$J$2:$J$2000,"N")=0,"",_xlfn.MAXIFS(Sets!$H$2:$H$2000,Sets!$A$2:$A$2000,$A70,Sets!$D$2:$D$2000,L$1,Sets!$J$2:$J$2000,"N"))</f>
        <v/>
      </c>
      <c r="M70">
        <f>IF(_xlfn.MAXIFS(Sets!$H$2:$H$2000,Sets!$A$2:$A$2000,$A70,Sets!$D$2:$D$2000,M$1,Sets!$J$2:$J$2000,"N")=0,"",_xlfn.MAXIFS(Sets!$H$2:$H$2000,Sets!$A$2:$A$2000,$A70,Sets!$D$2:$D$2000,M$1,Sets!$J$2:$J$2000,"N"))</f>
        <v/>
      </c>
      <c r="N70">
        <f>IF(_xlfn.MAXIFS(Sets!$H$2:$H$2000,Sets!$A$2:$A$2000,$A70,Sets!$D$2:$D$2000,N$1,Sets!$J$2:$J$2000,"N")=0,"",_xlfn.MAXIFS(Sets!$H$2:$H$2000,Sets!$A$2:$A$2000,$A70,Sets!$D$2:$D$2000,N$1,Sets!$J$2:$J$2000,"N"))</f>
        <v/>
      </c>
      <c r="O70">
        <f>IF(_xlfn.MAXIFS(Sets!$H$2:$H$2000,Sets!$A$2:$A$2000,$A70,Sets!$D$2:$D$2000,O$1,Sets!$J$2:$J$2000,"N")=0,"",_xlfn.MAXIFS(Sets!$H$2:$H$2000,Sets!$A$2:$A$2000,$A70,Sets!$D$2:$D$2000,O$1,Sets!$J$2:$J$2000,"N"))</f>
        <v/>
      </c>
      <c r="P70">
        <f>IF(_xlfn.MAXIFS(Sets!$H$2:$H$2000,Sets!$A$2:$A$2000,$A70,Sets!$D$2:$D$2000,P$1,Sets!$J$2:$J$2000,"N")=0,"",_xlfn.MAXIFS(Sets!$H$2:$H$2000,Sets!$A$2:$A$2000,$A70,Sets!$D$2:$D$2000,P$1,Sets!$J$2:$J$2000,"N"))</f>
        <v/>
      </c>
      <c r="Q70">
        <f>IF(_xlfn.MAXIFS(Sets!$H$2:$H$2000,Sets!$A$2:$A$2000,$A70,Sets!$D$2:$D$2000,Q$1,Sets!$J$2:$J$2000,"N")=0,"",_xlfn.MAXIFS(Sets!$H$2:$H$2000,Sets!$A$2:$A$2000,$A70,Sets!$D$2:$D$2000,Q$1,Sets!$J$2:$J$2000,"N"))</f>
        <v/>
      </c>
      <c r="R70">
        <f>IF(_xlfn.MAXIFS(Sets!$H$2:$H$2000,Sets!$A$2:$A$2000,$A70,Sets!$D$2:$D$2000,R$1,Sets!$J$2:$J$2000,"N")=0,"",_xlfn.MAXIFS(Sets!$H$2:$H$2000,Sets!$A$2:$A$2000,$A70,Sets!$D$2:$D$2000,R$1,Sets!$J$2:$J$2000,"N"))</f>
        <v/>
      </c>
      <c r="S70">
        <f>IF(_xlfn.MAXIFS(Sets!$H$2:$H$2000,Sets!$A$2:$A$2000,$A70,Sets!$D$2:$D$2000,S$1,Sets!$J$2:$J$2000,"N")=0,"",_xlfn.MAXIFS(Sets!$H$2:$H$2000,Sets!$A$2:$A$2000,$A70,Sets!$D$2:$D$2000,S$1,Sets!$J$2:$J$2000,"N"))</f>
        <v/>
      </c>
      <c r="T70">
        <f>IF(_xlfn.MAXIFS(Sets!$H$2:$H$2000,Sets!$A$2:$A$2000,$A70,Sets!$D$2:$D$2000,T$1,Sets!$J$2:$J$2000,"N")=0,"",_xlfn.MAXIFS(Sets!$H$2:$H$2000,Sets!$A$2:$A$2000,$A70,Sets!$D$2:$D$2000,T$1,Sets!$J$2:$J$2000,"N"))</f>
        <v/>
      </c>
      <c r="U70">
        <f>IF(_xlfn.MAXIFS(Sets!$H$2:$H$2000,Sets!$A$2:$A$2000,$A70,Sets!$D$2:$D$2000,U$1,Sets!$J$2:$J$2000,"N")=0,"",_xlfn.MAXIFS(Sets!$H$2:$H$2000,Sets!$A$2:$A$2000,$A70,Sets!$D$2:$D$2000,U$1,Sets!$J$2:$J$2000,"N"))</f>
        <v/>
      </c>
      <c r="V70">
        <f>IF(_xlfn.MAXIFS(Sets!$H$2:$H$2000,Sets!$A$2:$A$2000,$A70,Sets!$D$2:$D$2000,V$1,Sets!$J$2:$J$2000,"N")=0,"",_xlfn.MAXIFS(Sets!$H$2:$H$2000,Sets!$A$2:$A$2000,$A70,Sets!$D$2:$D$2000,V$1,Sets!$J$2:$J$2000,"N"))</f>
        <v/>
      </c>
      <c r="W70">
        <f>IF(_xlfn.MAXIFS(Sets!$H$2:$H$2000,Sets!$A$2:$A$2000,$A70,Sets!$D$2:$D$2000,W$1,Sets!$J$2:$J$2000,"N")=0,"",_xlfn.MAXIFS(Sets!$H$2:$H$2000,Sets!$A$2:$A$2000,$A70,Sets!$D$2:$D$2000,W$1,Sets!$J$2:$J$2000,"N"))</f>
        <v/>
      </c>
      <c r="X70">
        <f>IF(_xlfn.MAXIFS(Sets!$H$2:$H$2000,Sets!$A$2:$A$2000,$A70,Sets!$D$2:$D$2000,X$1,Sets!$J$2:$J$2000,"N")=0,"",_xlfn.MAXIFS(Sets!$H$2:$H$2000,Sets!$A$2:$A$2000,$A70,Sets!$D$2:$D$2000,X$1,Sets!$J$2:$J$2000,"N"))</f>
        <v/>
      </c>
      <c r="Y70">
        <f>IF(_xlfn.MAXIFS(Sets!$H$2:$H$2000,Sets!$A$2:$A$2000,$A70,Sets!$D$2:$D$2000,Y$1,Sets!$J$2:$J$2000,"N")=0,"",_xlfn.MAXIFS(Sets!$H$2:$H$2000,Sets!$A$2:$A$2000,$A70,Sets!$D$2:$D$2000,Y$1,Sets!$J$2:$J$2000,"N"))</f>
        <v/>
      </c>
      <c r="Z70">
        <f>IF(_xlfn.MAXIFS(Sets!$H$2:$H$2000,Sets!$A$2:$A$2000,$A70,Sets!$D$2:$D$2000,Z$1,Sets!$J$2:$J$2000,"N")=0,"",_xlfn.MAXIFS(Sets!$H$2:$H$2000,Sets!$A$2:$A$2000,$A70,Sets!$D$2:$D$2000,Z$1,Sets!$J$2:$J$2000,"N"))</f>
        <v/>
      </c>
      <c r="AA70">
        <f>IF(_xlfn.MAXIFS(Sets!$H$2:$H$2000,Sets!$A$2:$A$2000,$A70,Sets!$D$2:$D$2000,AA$1,Sets!$J$2:$J$2000,"N")=0,"",_xlfn.MAXIFS(Sets!$H$2:$H$2000,Sets!$A$2:$A$2000,$A70,Sets!$D$2:$D$2000,AA$1,Sets!$J$2:$J$2000,"N"))</f>
        <v/>
      </c>
      <c r="AB70">
        <f>IF(_xlfn.MAXIFS(Sets!$H$2:$H$2000,Sets!$A$2:$A$2000,$A70,Sets!$D$2:$D$2000,AB$1,Sets!$J$2:$J$2000,"N")=0,"",_xlfn.MAXIFS(Sets!$H$2:$H$2000,Sets!$A$2:$A$2000,$A70,Sets!$D$2:$D$2000,AB$1,Sets!$J$2:$J$2000,"N"))</f>
        <v/>
      </c>
      <c r="AC70">
        <f>IF(_xlfn.MAXIFS(Sets!$H$2:$H$2000,Sets!$A$2:$A$2000,$A70,Sets!$D$2:$D$2000,AC$1,Sets!$J$2:$J$2000,"N")=0,"",_xlfn.MAXIFS(Sets!$H$2:$H$2000,Sets!$A$2:$A$2000,$A70,Sets!$D$2:$D$2000,AC$1,Sets!$J$2:$J$2000,"N"))</f>
        <v/>
      </c>
      <c r="AD70">
        <f>IF(_xlfn.MAXIFS(Sets!$H$2:$H$2000,Sets!$A$2:$A$2000,$A70,Sets!$D$2:$D$2000,AD$1,Sets!$J$2:$J$2000,"N")=0,"",_xlfn.MAXIFS(Sets!$H$2:$H$2000,Sets!$A$2:$A$2000,$A70,Sets!$D$2:$D$2000,AD$1,Sets!$J$2:$J$2000,"N"))</f>
        <v/>
      </c>
      <c r="AE70">
        <f>IF(_xlfn.MAXIFS(Sets!$H$2:$H$2000,Sets!$A$2:$A$2000,$A70,Sets!$D$2:$D$2000,AE$1,Sets!$J$2:$J$2000,"N")=0,"",_xlfn.MAXIFS(Sets!$H$2:$H$2000,Sets!$A$2:$A$2000,$A70,Sets!$D$2:$D$2000,AE$1,Sets!$J$2:$J$2000,"N"))</f>
        <v/>
      </c>
      <c r="AF70">
        <f>IF(_xlfn.MAXIFS(Sets!$H$2:$H$2000,Sets!$A$2:$A$2000,$A70,Sets!$D$2:$D$2000,AF$1,Sets!$J$2:$J$2000,"N")=0,"",_xlfn.MAXIFS(Sets!$H$2:$H$2000,Sets!$A$2:$A$2000,$A70,Sets!$D$2:$D$2000,AF$1,Sets!$J$2:$J$2000,"N"))</f>
        <v/>
      </c>
      <c r="AG70">
        <f>IF(_xlfn.MAXIFS(Sets!$H$2:$H$2000,Sets!$A$2:$A$2000,$A70,Sets!$D$2:$D$2000,AG$1,Sets!$J$2:$J$2000,"N")=0,"",_xlfn.MAXIFS(Sets!$H$2:$H$2000,Sets!$A$2:$A$2000,$A70,Sets!$D$2:$D$2000,AG$1,Sets!$J$2:$J$2000,"N"))</f>
        <v/>
      </c>
      <c r="AH70">
        <f>IF(_xlfn.MAXIFS(Sets!$H$2:$H$2000,Sets!$A$2:$A$2000,$A70,Sets!$D$2:$D$2000,AH$1,Sets!$J$2:$J$2000,"N")=0,"",_xlfn.MAXIFS(Sets!$H$2:$H$2000,Sets!$A$2:$A$2000,$A70,Sets!$D$2:$D$2000,AH$1,Sets!$J$2:$J$2000,"N"))</f>
        <v/>
      </c>
      <c r="AI70">
        <f>IF(_xlfn.MAXIFS(Sets!$H$2:$H$2000,Sets!$A$2:$A$2000,$A70,Sets!$D$2:$D$2000,AI$1,Sets!$J$2:$J$2000,"N")=0,"",_xlfn.MAXIFS(Sets!$H$2:$H$2000,Sets!$A$2:$A$2000,$A70,Sets!$D$2:$D$2000,AI$1,Sets!$J$2:$J$2000,"N"))</f>
        <v/>
      </c>
      <c r="AJ70">
        <f>IF(_xlfn.MAXIFS(Sets!$H$2:$H$2000,Sets!$A$2:$A$2000,$A70,Sets!$D$2:$D$2000,AJ$1,Sets!$J$2:$J$2000,"N")=0,"",_xlfn.MAXIFS(Sets!$H$2:$H$2000,Sets!$A$2:$A$2000,$A70,Sets!$D$2:$D$2000,AJ$1,Sets!$J$2:$J$2000,"N"))</f>
        <v/>
      </c>
      <c r="AK70">
        <f>IF(_xlfn.MAXIFS(Sets!$H$2:$H$2000,Sets!$A$2:$A$2000,$A70,Sets!$D$2:$D$2000,AK$1,Sets!$J$2:$J$2000,"N")=0,"",_xlfn.MAXIFS(Sets!$H$2:$H$2000,Sets!$A$2:$A$2000,$A70,Sets!$D$2:$D$2000,AK$1,Sets!$J$2:$J$2000,"N"))</f>
        <v/>
      </c>
      <c r="AL70">
        <f>IF(_xlfn.MAXIFS(Sets!$H$2:$H$2000,Sets!$A$2:$A$2000,$A70,Sets!$D$2:$D$2000,AL$1,Sets!$J$2:$J$2000,"N")=0,"",_xlfn.MAXIFS(Sets!$H$2:$H$2000,Sets!$A$2:$A$2000,$A70,Sets!$D$2:$D$2000,AL$1,Sets!$J$2:$J$2000,"N"))</f>
        <v/>
      </c>
      <c r="AM70">
        <f>IF(_xlfn.MAXIFS(Sets!$H$2:$H$2000,Sets!$A$2:$A$2000,$A70,Sets!$D$2:$D$2000,AM$1,Sets!$J$2:$J$2000,"N")=0,"",_xlfn.MAXIFS(Sets!$H$2:$H$2000,Sets!$A$2:$A$2000,$A70,Sets!$D$2:$D$2000,AM$1,Sets!$J$2:$J$2000,"N"))</f>
        <v/>
      </c>
      <c r="AN70">
        <f>IF(_xlfn.MAXIFS(Sets!$H$2:$H$2000,Sets!$A$2:$A$2000,$A70,Sets!$D$2:$D$2000,AN$1,Sets!$J$2:$J$2000,"N")=0,"",_xlfn.MAXIFS(Sets!$H$2:$H$2000,Sets!$A$2:$A$2000,$A70,Sets!$D$2:$D$2000,AN$1,Sets!$J$2:$J$2000,"N"))</f>
        <v/>
      </c>
      <c r="AO70">
        <f>IF(_xlfn.MAXIFS(Sets!$H$2:$H$2000,Sets!$A$2:$A$2000,$A70,Sets!$D$2:$D$2000,AO$1,Sets!$J$2:$J$2000,"N")=0,"",_xlfn.MAXIFS(Sets!$H$2:$H$2000,Sets!$A$2:$A$2000,$A70,Sets!$D$2:$D$2000,AO$1,Sets!$J$2:$J$2000,"N"))</f>
        <v/>
      </c>
      <c r="AP70">
        <f>IF(_xlfn.MAXIFS(Sets!$H$2:$H$2000,Sets!$A$2:$A$2000,$A70,Sets!$D$2:$D$2000,AP$1,Sets!$J$2:$J$2000,"N")=0,"",_xlfn.MAXIFS(Sets!$H$2:$H$2000,Sets!$A$2:$A$2000,$A70,Sets!$D$2:$D$2000,AP$1,Sets!$J$2:$J$2000,"N"))</f>
        <v/>
      </c>
    </row>
    <row r="71">
      <c r="A71" s="36" t="n">
        <v>46277</v>
      </c>
      <c r="B71">
        <f>IF(_xlfn.MAXIFS(Sets!$H$2:$H$2000,Sets!$A$2:$A$2000,$A71,Sets!$D$2:$D$2000,B$1,Sets!$J$2:$J$2000,"N")=0,"",_xlfn.MAXIFS(Sets!$H$2:$H$2000,Sets!$A$2:$A$2000,$A71,Sets!$D$2:$D$2000,B$1,Sets!$J$2:$J$2000,"N"))</f>
        <v/>
      </c>
      <c r="C71">
        <f>IF(_xlfn.MAXIFS(Sets!$H$2:$H$2000,Sets!$A$2:$A$2000,$A71,Sets!$D$2:$D$2000,C$1,Sets!$J$2:$J$2000,"N")=0,"",_xlfn.MAXIFS(Sets!$H$2:$H$2000,Sets!$A$2:$A$2000,$A71,Sets!$D$2:$D$2000,C$1,Sets!$J$2:$J$2000,"N"))</f>
        <v/>
      </c>
      <c r="D71">
        <f>IF(_xlfn.MAXIFS(Sets!$H$2:$H$2000,Sets!$A$2:$A$2000,$A71,Sets!$D$2:$D$2000,D$1,Sets!$J$2:$J$2000,"N")=0,"",_xlfn.MAXIFS(Sets!$H$2:$H$2000,Sets!$A$2:$A$2000,$A71,Sets!$D$2:$D$2000,D$1,Sets!$J$2:$J$2000,"N"))</f>
        <v/>
      </c>
      <c r="E71">
        <f>IF(_xlfn.MAXIFS(Sets!$H$2:$H$2000,Sets!$A$2:$A$2000,$A71,Sets!$D$2:$D$2000,E$1,Sets!$J$2:$J$2000,"N")=0,"",_xlfn.MAXIFS(Sets!$H$2:$H$2000,Sets!$A$2:$A$2000,$A71,Sets!$D$2:$D$2000,E$1,Sets!$J$2:$J$2000,"N"))</f>
        <v/>
      </c>
      <c r="F71">
        <f>IF(_xlfn.MAXIFS(Sets!$H$2:$H$2000,Sets!$A$2:$A$2000,$A71,Sets!$D$2:$D$2000,F$1,Sets!$J$2:$J$2000,"N")=0,"",_xlfn.MAXIFS(Sets!$H$2:$H$2000,Sets!$A$2:$A$2000,$A71,Sets!$D$2:$D$2000,F$1,Sets!$J$2:$J$2000,"N"))</f>
        <v/>
      </c>
      <c r="G71">
        <f>IF(_xlfn.MAXIFS(Sets!$H$2:$H$2000,Sets!$A$2:$A$2000,$A71,Sets!$D$2:$D$2000,G$1,Sets!$J$2:$J$2000,"N")=0,"",_xlfn.MAXIFS(Sets!$H$2:$H$2000,Sets!$A$2:$A$2000,$A71,Sets!$D$2:$D$2000,G$1,Sets!$J$2:$J$2000,"N"))</f>
        <v/>
      </c>
      <c r="H71">
        <f>IF(_xlfn.MAXIFS(Sets!$H$2:$H$2000,Sets!$A$2:$A$2000,$A71,Sets!$D$2:$D$2000,H$1,Sets!$J$2:$J$2000,"N")=0,"",_xlfn.MAXIFS(Sets!$H$2:$H$2000,Sets!$A$2:$A$2000,$A71,Sets!$D$2:$D$2000,H$1,Sets!$J$2:$J$2000,"N"))</f>
        <v/>
      </c>
      <c r="I71">
        <f>IF(_xlfn.MAXIFS(Sets!$H$2:$H$2000,Sets!$A$2:$A$2000,$A71,Sets!$D$2:$D$2000,I$1,Sets!$J$2:$J$2000,"N")=0,"",_xlfn.MAXIFS(Sets!$H$2:$H$2000,Sets!$A$2:$A$2000,$A71,Sets!$D$2:$D$2000,I$1,Sets!$J$2:$J$2000,"N"))</f>
        <v/>
      </c>
      <c r="J71">
        <f>IF(_xlfn.MAXIFS(Sets!$H$2:$H$2000,Sets!$A$2:$A$2000,$A71,Sets!$D$2:$D$2000,J$1,Sets!$J$2:$J$2000,"N")=0,"",_xlfn.MAXIFS(Sets!$H$2:$H$2000,Sets!$A$2:$A$2000,$A71,Sets!$D$2:$D$2000,J$1,Sets!$J$2:$J$2000,"N"))</f>
        <v/>
      </c>
      <c r="K71">
        <f>IF(_xlfn.MAXIFS(Sets!$H$2:$H$2000,Sets!$A$2:$A$2000,$A71,Sets!$D$2:$D$2000,K$1,Sets!$J$2:$J$2000,"N")=0,"",_xlfn.MAXIFS(Sets!$H$2:$H$2000,Sets!$A$2:$A$2000,$A71,Sets!$D$2:$D$2000,K$1,Sets!$J$2:$J$2000,"N"))</f>
        <v/>
      </c>
      <c r="L71">
        <f>IF(_xlfn.MAXIFS(Sets!$H$2:$H$2000,Sets!$A$2:$A$2000,$A71,Sets!$D$2:$D$2000,L$1,Sets!$J$2:$J$2000,"N")=0,"",_xlfn.MAXIFS(Sets!$H$2:$H$2000,Sets!$A$2:$A$2000,$A71,Sets!$D$2:$D$2000,L$1,Sets!$J$2:$J$2000,"N"))</f>
        <v/>
      </c>
      <c r="M71">
        <f>IF(_xlfn.MAXIFS(Sets!$H$2:$H$2000,Sets!$A$2:$A$2000,$A71,Sets!$D$2:$D$2000,M$1,Sets!$J$2:$J$2000,"N")=0,"",_xlfn.MAXIFS(Sets!$H$2:$H$2000,Sets!$A$2:$A$2000,$A71,Sets!$D$2:$D$2000,M$1,Sets!$J$2:$J$2000,"N"))</f>
        <v/>
      </c>
      <c r="N71">
        <f>IF(_xlfn.MAXIFS(Sets!$H$2:$H$2000,Sets!$A$2:$A$2000,$A71,Sets!$D$2:$D$2000,N$1,Sets!$J$2:$J$2000,"N")=0,"",_xlfn.MAXIFS(Sets!$H$2:$H$2000,Sets!$A$2:$A$2000,$A71,Sets!$D$2:$D$2000,N$1,Sets!$J$2:$J$2000,"N"))</f>
        <v/>
      </c>
      <c r="O71">
        <f>IF(_xlfn.MAXIFS(Sets!$H$2:$H$2000,Sets!$A$2:$A$2000,$A71,Sets!$D$2:$D$2000,O$1,Sets!$J$2:$J$2000,"N")=0,"",_xlfn.MAXIFS(Sets!$H$2:$H$2000,Sets!$A$2:$A$2000,$A71,Sets!$D$2:$D$2000,O$1,Sets!$J$2:$J$2000,"N"))</f>
        <v/>
      </c>
      <c r="P71">
        <f>IF(_xlfn.MAXIFS(Sets!$H$2:$H$2000,Sets!$A$2:$A$2000,$A71,Sets!$D$2:$D$2000,P$1,Sets!$J$2:$J$2000,"N")=0,"",_xlfn.MAXIFS(Sets!$H$2:$H$2000,Sets!$A$2:$A$2000,$A71,Sets!$D$2:$D$2000,P$1,Sets!$J$2:$J$2000,"N"))</f>
        <v/>
      </c>
      <c r="Q71">
        <f>IF(_xlfn.MAXIFS(Sets!$H$2:$H$2000,Sets!$A$2:$A$2000,$A71,Sets!$D$2:$D$2000,Q$1,Sets!$J$2:$J$2000,"N")=0,"",_xlfn.MAXIFS(Sets!$H$2:$H$2000,Sets!$A$2:$A$2000,$A71,Sets!$D$2:$D$2000,Q$1,Sets!$J$2:$J$2000,"N"))</f>
        <v/>
      </c>
      <c r="R71">
        <f>IF(_xlfn.MAXIFS(Sets!$H$2:$H$2000,Sets!$A$2:$A$2000,$A71,Sets!$D$2:$D$2000,R$1,Sets!$J$2:$J$2000,"N")=0,"",_xlfn.MAXIFS(Sets!$H$2:$H$2000,Sets!$A$2:$A$2000,$A71,Sets!$D$2:$D$2000,R$1,Sets!$J$2:$J$2000,"N"))</f>
        <v/>
      </c>
      <c r="S71">
        <f>IF(_xlfn.MAXIFS(Sets!$H$2:$H$2000,Sets!$A$2:$A$2000,$A71,Sets!$D$2:$D$2000,S$1,Sets!$J$2:$J$2000,"N")=0,"",_xlfn.MAXIFS(Sets!$H$2:$H$2000,Sets!$A$2:$A$2000,$A71,Sets!$D$2:$D$2000,S$1,Sets!$J$2:$J$2000,"N"))</f>
        <v/>
      </c>
      <c r="T71">
        <f>IF(_xlfn.MAXIFS(Sets!$H$2:$H$2000,Sets!$A$2:$A$2000,$A71,Sets!$D$2:$D$2000,T$1,Sets!$J$2:$J$2000,"N")=0,"",_xlfn.MAXIFS(Sets!$H$2:$H$2000,Sets!$A$2:$A$2000,$A71,Sets!$D$2:$D$2000,T$1,Sets!$J$2:$J$2000,"N"))</f>
        <v/>
      </c>
      <c r="U71">
        <f>IF(_xlfn.MAXIFS(Sets!$H$2:$H$2000,Sets!$A$2:$A$2000,$A71,Sets!$D$2:$D$2000,U$1,Sets!$J$2:$J$2000,"N")=0,"",_xlfn.MAXIFS(Sets!$H$2:$H$2000,Sets!$A$2:$A$2000,$A71,Sets!$D$2:$D$2000,U$1,Sets!$J$2:$J$2000,"N"))</f>
        <v/>
      </c>
      <c r="V71">
        <f>IF(_xlfn.MAXIFS(Sets!$H$2:$H$2000,Sets!$A$2:$A$2000,$A71,Sets!$D$2:$D$2000,V$1,Sets!$J$2:$J$2000,"N")=0,"",_xlfn.MAXIFS(Sets!$H$2:$H$2000,Sets!$A$2:$A$2000,$A71,Sets!$D$2:$D$2000,V$1,Sets!$J$2:$J$2000,"N"))</f>
        <v/>
      </c>
      <c r="W71">
        <f>IF(_xlfn.MAXIFS(Sets!$H$2:$H$2000,Sets!$A$2:$A$2000,$A71,Sets!$D$2:$D$2000,W$1,Sets!$J$2:$J$2000,"N")=0,"",_xlfn.MAXIFS(Sets!$H$2:$H$2000,Sets!$A$2:$A$2000,$A71,Sets!$D$2:$D$2000,W$1,Sets!$J$2:$J$2000,"N"))</f>
        <v/>
      </c>
      <c r="X71">
        <f>IF(_xlfn.MAXIFS(Sets!$H$2:$H$2000,Sets!$A$2:$A$2000,$A71,Sets!$D$2:$D$2000,X$1,Sets!$J$2:$J$2000,"N")=0,"",_xlfn.MAXIFS(Sets!$H$2:$H$2000,Sets!$A$2:$A$2000,$A71,Sets!$D$2:$D$2000,X$1,Sets!$J$2:$J$2000,"N"))</f>
        <v/>
      </c>
      <c r="Y71">
        <f>IF(_xlfn.MAXIFS(Sets!$H$2:$H$2000,Sets!$A$2:$A$2000,$A71,Sets!$D$2:$D$2000,Y$1,Sets!$J$2:$J$2000,"N")=0,"",_xlfn.MAXIFS(Sets!$H$2:$H$2000,Sets!$A$2:$A$2000,$A71,Sets!$D$2:$D$2000,Y$1,Sets!$J$2:$J$2000,"N"))</f>
        <v/>
      </c>
      <c r="Z71">
        <f>IF(_xlfn.MAXIFS(Sets!$H$2:$H$2000,Sets!$A$2:$A$2000,$A71,Sets!$D$2:$D$2000,Z$1,Sets!$J$2:$J$2000,"N")=0,"",_xlfn.MAXIFS(Sets!$H$2:$H$2000,Sets!$A$2:$A$2000,$A71,Sets!$D$2:$D$2000,Z$1,Sets!$J$2:$J$2000,"N"))</f>
        <v/>
      </c>
      <c r="AA71">
        <f>IF(_xlfn.MAXIFS(Sets!$H$2:$H$2000,Sets!$A$2:$A$2000,$A71,Sets!$D$2:$D$2000,AA$1,Sets!$J$2:$J$2000,"N")=0,"",_xlfn.MAXIFS(Sets!$H$2:$H$2000,Sets!$A$2:$A$2000,$A71,Sets!$D$2:$D$2000,AA$1,Sets!$J$2:$J$2000,"N"))</f>
        <v/>
      </c>
      <c r="AB71">
        <f>IF(_xlfn.MAXIFS(Sets!$H$2:$H$2000,Sets!$A$2:$A$2000,$A71,Sets!$D$2:$D$2000,AB$1,Sets!$J$2:$J$2000,"N")=0,"",_xlfn.MAXIFS(Sets!$H$2:$H$2000,Sets!$A$2:$A$2000,$A71,Sets!$D$2:$D$2000,AB$1,Sets!$J$2:$J$2000,"N"))</f>
        <v/>
      </c>
      <c r="AC71">
        <f>IF(_xlfn.MAXIFS(Sets!$H$2:$H$2000,Sets!$A$2:$A$2000,$A71,Sets!$D$2:$D$2000,AC$1,Sets!$J$2:$J$2000,"N")=0,"",_xlfn.MAXIFS(Sets!$H$2:$H$2000,Sets!$A$2:$A$2000,$A71,Sets!$D$2:$D$2000,AC$1,Sets!$J$2:$J$2000,"N"))</f>
        <v/>
      </c>
      <c r="AD71">
        <f>IF(_xlfn.MAXIFS(Sets!$H$2:$H$2000,Sets!$A$2:$A$2000,$A71,Sets!$D$2:$D$2000,AD$1,Sets!$J$2:$J$2000,"N")=0,"",_xlfn.MAXIFS(Sets!$H$2:$H$2000,Sets!$A$2:$A$2000,$A71,Sets!$D$2:$D$2000,AD$1,Sets!$J$2:$J$2000,"N"))</f>
        <v/>
      </c>
      <c r="AE71">
        <f>IF(_xlfn.MAXIFS(Sets!$H$2:$H$2000,Sets!$A$2:$A$2000,$A71,Sets!$D$2:$D$2000,AE$1,Sets!$J$2:$J$2000,"N")=0,"",_xlfn.MAXIFS(Sets!$H$2:$H$2000,Sets!$A$2:$A$2000,$A71,Sets!$D$2:$D$2000,AE$1,Sets!$J$2:$J$2000,"N"))</f>
        <v/>
      </c>
      <c r="AF71">
        <f>IF(_xlfn.MAXIFS(Sets!$H$2:$H$2000,Sets!$A$2:$A$2000,$A71,Sets!$D$2:$D$2000,AF$1,Sets!$J$2:$J$2000,"N")=0,"",_xlfn.MAXIFS(Sets!$H$2:$H$2000,Sets!$A$2:$A$2000,$A71,Sets!$D$2:$D$2000,AF$1,Sets!$J$2:$J$2000,"N"))</f>
        <v/>
      </c>
      <c r="AG71">
        <f>IF(_xlfn.MAXIFS(Sets!$H$2:$H$2000,Sets!$A$2:$A$2000,$A71,Sets!$D$2:$D$2000,AG$1,Sets!$J$2:$J$2000,"N")=0,"",_xlfn.MAXIFS(Sets!$H$2:$H$2000,Sets!$A$2:$A$2000,$A71,Sets!$D$2:$D$2000,AG$1,Sets!$J$2:$J$2000,"N"))</f>
        <v/>
      </c>
      <c r="AH71">
        <f>IF(_xlfn.MAXIFS(Sets!$H$2:$H$2000,Sets!$A$2:$A$2000,$A71,Sets!$D$2:$D$2000,AH$1,Sets!$J$2:$J$2000,"N")=0,"",_xlfn.MAXIFS(Sets!$H$2:$H$2000,Sets!$A$2:$A$2000,$A71,Sets!$D$2:$D$2000,AH$1,Sets!$J$2:$J$2000,"N"))</f>
        <v/>
      </c>
      <c r="AI71">
        <f>IF(_xlfn.MAXIFS(Sets!$H$2:$H$2000,Sets!$A$2:$A$2000,$A71,Sets!$D$2:$D$2000,AI$1,Sets!$J$2:$J$2000,"N")=0,"",_xlfn.MAXIFS(Sets!$H$2:$H$2000,Sets!$A$2:$A$2000,$A71,Sets!$D$2:$D$2000,AI$1,Sets!$J$2:$J$2000,"N"))</f>
        <v/>
      </c>
      <c r="AJ71">
        <f>IF(_xlfn.MAXIFS(Sets!$H$2:$H$2000,Sets!$A$2:$A$2000,$A71,Sets!$D$2:$D$2000,AJ$1,Sets!$J$2:$J$2000,"N")=0,"",_xlfn.MAXIFS(Sets!$H$2:$H$2000,Sets!$A$2:$A$2000,$A71,Sets!$D$2:$D$2000,AJ$1,Sets!$J$2:$J$2000,"N"))</f>
        <v/>
      </c>
      <c r="AK71">
        <f>IF(_xlfn.MAXIFS(Sets!$H$2:$H$2000,Sets!$A$2:$A$2000,$A71,Sets!$D$2:$D$2000,AK$1,Sets!$J$2:$J$2000,"N")=0,"",_xlfn.MAXIFS(Sets!$H$2:$H$2000,Sets!$A$2:$A$2000,$A71,Sets!$D$2:$D$2000,AK$1,Sets!$J$2:$J$2000,"N"))</f>
        <v/>
      </c>
      <c r="AL71">
        <f>IF(_xlfn.MAXIFS(Sets!$H$2:$H$2000,Sets!$A$2:$A$2000,$A71,Sets!$D$2:$D$2000,AL$1,Sets!$J$2:$J$2000,"N")=0,"",_xlfn.MAXIFS(Sets!$H$2:$H$2000,Sets!$A$2:$A$2000,$A71,Sets!$D$2:$D$2000,AL$1,Sets!$J$2:$J$2000,"N"))</f>
        <v/>
      </c>
      <c r="AM71">
        <f>IF(_xlfn.MAXIFS(Sets!$H$2:$H$2000,Sets!$A$2:$A$2000,$A71,Sets!$D$2:$D$2000,AM$1,Sets!$J$2:$J$2000,"N")=0,"",_xlfn.MAXIFS(Sets!$H$2:$H$2000,Sets!$A$2:$A$2000,$A71,Sets!$D$2:$D$2000,AM$1,Sets!$J$2:$J$2000,"N"))</f>
        <v/>
      </c>
      <c r="AN71">
        <f>IF(_xlfn.MAXIFS(Sets!$H$2:$H$2000,Sets!$A$2:$A$2000,$A71,Sets!$D$2:$D$2000,AN$1,Sets!$J$2:$J$2000,"N")=0,"",_xlfn.MAXIFS(Sets!$H$2:$H$2000,Sets!$A$2:$A$2000,$A71,Sets!$D$2:$D$2000,AN$1,Sets!$J$2:$J$2000,"N"))</f>
        <v/>
      </c>
      <c r="AO71">
        <f>IF(_xlfn.MAXIFS(Sets!$H$2:$H$2000,Sets!$A$2:$A$2000,$A71,Sets!$D$2:$D$2000,AO$1,Sets!$J$2:$J$2000,"N")=0,"",_xlfn.MAXIFS(Sets!$H$2:$H$2000,Sets!$A$2:$A$2000,$A71,Sets!$D$2:$D$2000,AO$1,Sets!$J$2:$J$2000,"N"))</f>
        <v/>
      </c>
      <c r="AP71">
        <f>IF(_xlfn.MAXIFS(Sets!$H$2:$H$2000,Sets!$A$2:$A$2000,$A71,Sets!$D$2:$D$2000,AP$1,Sets!$J$2:$J$2000,"N")=0,"",_xlfn.MAXIFS(Sets!$H$2:$H$2000,Sets!$A$2:$A$2000,$A71,Sets!$D$2:$D$2000,AP$1,Sets!$J$2:$J$2000,"N"))</f>
        <v/>
      </c>
    </row>
    <row r="72">
      <c r="A72" s="36" t="n">
        <v>46279</v>
      </c>
      <c r="B72">
        <f>IF(_xlfn.MAXIFS(Sets!$H$2:$H$2000,Sets!$A$2:$A$2000,$A72,Sets!$D$2:$D$2000,B$1,Sets!$J$2:$J$2000,"N")=0,"",_xlfn.MAXIFS(Sets!$H$2:$H$2000,Sets!$A$2:$A$2000,$A72,Sets!$D$2:$D$2000,B$1,Sets!$J$2:$J$2000,"N"))</f>
        <v/>
      </c>
      <c r="C72">
        <f>IF(_xlfn.MAXIFS(Sets!$H$2:$H$2000,Sets!$A$2:$A$2000,$A72,Sets!$D$2:$D$2000,C$1,Sets!$J$2:$J$2000,"N")=0,"",_xlfn.MAXIFS(Sets!$H$2:$H$2000,Sets!$A$2:$A$2000,$A72,Sets!$D$2:$D$2000,C$1,Sets!$J$2:$J$2000,"N"))</f>
        <v/>
      </c>
      <c r="D72">
        <f>IF(_xlfn.MAXIFS(Sets!$H$2:$H$2000,Sets!$A$2:$A$2000,$A72,Sets!$D$2:$D$2000,D$1,Sets!$J$2:$J$2000,"N")=0,"",_xlfn.MAXIFS(Sets!$H$2:$H$2000,Sets!$A$2:$A$2000,$A72,Sets!$D$2:$D$2000,D$1,Sets!$J$2:$J$2000,"N"))</f>
        <v/>
      </c>
      <c r="E72">
        <f>IF(_xlfn.MAXIFS(Sets!$H$2:$H$2000,Sets!$A$2:$A$2000,$A72,Sets!$D$2:$D$2000,E$1,Sets!$J$2:$J$2000,"N")=0,"",_xlfn.MAXIFS(Sets!$H$2:$H$2000,Sets!$A$2:$A$2000,$A72,Sets!$D$2:$D$2000,E$1,Sets!$J$2:$J$2000,"N"))</f>
        <v/>
      </c>
      <c r="F72">
        <f>IF(_xlfn.MAXIFS(Sets!$H$2:$H$2000,Sets!$A$2:$A$2000,$A72,Sets!$D$2:$D$2000,F$1,Sets!$J$2:$J$2000,"N")=0,"",_xlfn.MAXIFS(Sets!$H$2:$H$2000,Sets!$A$2:$A$2000,$A72,Sets!$D$2:$D$2000,F$1,Sets!$J$2:$J$2000,"N"))</f>
        <v/>
      </c>
      <c r="G72">
        <f>IF(_xlfn.MAXIFS(Sets!$H$2:$H$2000,Sets!$A$2:$A$2000,$A72,Sets!$D$2:$D$2000,G$1,Sets!$J$2:$J$2000,"N")=0,"",_xlfn.MAXIFS(Sets!$H$2:$H$2000,Sets!$A$2:$A$2000,$A72,Sets!$D$2:$D$2000,G$1,Sets!$J$2:$J$2000,"N"))</f>
        <v/>
      </c>
      <c r="H72">
        <f>IF(_xlfn.MAXIFS(Sets!$H$2:$H$2000,Sets!$A$2:$A$2000,$A72,Sets!$D$2:$D$2000,H$1,Sets!$J$2:$J$2000,"N")=0,"",_xlfn.MAXIFS(Sets!$H$2:$H$2000,Sets!$A$2:$A$2000,$A72,Sets!$D$2:$D$2000,H$1,Sets!$J$2:$J$2000,"N"))</f>
        <v/>
      </c>
      <c r="I72">
        <f>IF(_xlfn.MAXIFS(Sets!$H$2:$H$2000,Sets!$A$2:$A$2000,$A72,Sets!$D$2:$D$2000,I$1,Sets!$J$2:$J$2000,"N")=0,"",_xlfn.MAXIFS(Sets!$H$2:$H$2000,Sets!$A$2:$A$2000,$A72,Sets!$D$2:$D$2000,I$1,Sets!$J$2:$J$2000,"N"))</f>
        <v/>
      </c>
      <c r="J72">
        <f>IF(_xlfn.MAXIFS(Sets!$H$2:$H$2000,Sets!$A$2:$A$2000,$A72,Sets!$D$2:$D$2000,J$1,Sets!$J$2:$J$2000,"N")=0,"",_xlfn.MAXIFS(Sets!$H$2:$H$2000,Sets!$A$2:$A$2000,$A72,Sets!$D$2:$D$2000,J$1,Sets!$J$2:$J$2000,"N"))</f>
        <v/>
      </c>
      <c r="K72">
        <f>IF(_xlfn.MAXIFS(Sets!$H$2:$H$2000,Sets!$A$2:$A$2000,$A72,Sets!$D$2:$D$2000,K$1,Sets!$J$2:$J$2000,"N")=0,"",_xlfn.MAXIFS(Sets!$H$2:$H$2000,Sets!$A$2:$A$2000,$A72,Sets!$D$2:$D$2000,K$1,Sets!$J$2:$J$2000,"N"))</f>
        <v/>
      </c>
      <c r="L72">
        <f>IF(_xlfn.MAXIFS(Sets!$H$2:$H$2000,Sets!$A$2:$A$2000,$A72,Sets!$D$2:$D$2000,L$1,Sets!$J$2:$J$2000,"N")=0,"",_xlfn.MAXIFS(Sets!$H$2:$H$2000,Sets!$A$2:$A$2000,$A72,Sets!$D$2:$D$2000,L$1,Sets!$J$2:$J$2000,"N"))</f>
        <v/>
      </c>
      <c r="M72">
        <f>IF(_xlfn.MAXIFS(Sets!$H$2:$H$2000,Sets!$A$2:$A$2000,$A72,Sets!$D$2:$D$2000,M$1,Sets!$J$2:$J$2000,"N")=0,"",_xlfn.MAXIFS(Sets!$H$2:$H$2000,Sets!$A$2:$A$2000,$A72,Sets!$D$2:$D$2000,M$1,Sets!$J$2:$J$2000,"N"))</f>
        <v/>
      </c>
      <c r="N72">
        <f>IF(_xlfn.MAXIFS(Sets!$H$2:$H$2000,Sets!$A$2:$A$2000,$A72,Sets!$D$2:$D$2000,N$1,Sets!$J$2:$J$2000,"N")=0,"",_xlfn.MAXIFS(Sets!$H$2:$H$2000,Sets!$A$2:$A$2000,$A72,Sets!$D$2:$D$2000,N$1,Sets!$J$2:$J$2000,"N"))</f>
        <v/>
      </c>
      <c r="O72">
        <f>IF(_xlfn.MAXIFS(Sets!$H$2:$H$2000,Sets!$A$2:$A$2000,$A72,Sets!$D$2:$D$2000,O$1,Sets!$J$2:$J$2000,"N")=0,"",_xlfn.MAXIFS(Sets!$H$2:$H$2000,Sets!$A$2:$A$2000,$A72,Sets!$D$2:$D$2000,O$1,Sets!$J$2:$J$2000,"N"))</f>
        <v/>
      </c>
      <c r="P72">
        <f>IF(_xlfn.MAXIFS(Sets!$H$2:$H$2000,Sets!$A$2:$A$2000,$A72,Sets!$D$2:$D$2000,P$1,Sets!$J$2:$J$2000,"N")=0,"",_xlfn.MAXIFS(Sets!$H$2:$H$2000,Sets!$A$2:$A$2000,$A72,Sets!$D$2:$D$2000,P$1,Sets!$J$2:$J$2000,"N"))</f>
        <v/>
      </c>
      <c r="Q72">
        <f>IF(_xlfn.MAXIFS(Sets!$H$2:$H$2000,Sets!$A$2:$A$2000,$A72,Sets!$D$2:$D$2000,Q$1,Sets!$J$2:$J$2000,"N")=0,"",_xlfn.MAXIFS(Sets!$H$2:$H$2000,Sets!$A$2:$A$2000,$A72,Sets!$D$2:$D$2000,Q$1,Sets!$J$2:$J$2000,"N"))</f>
        <v/>
      </c>
      <c r="R72">
        <f>IF(_xlfn.MAXIFS(Sets!$H$2:$H$2000,Sets!$A$2:$A$2000,$A72,Sets!$D$2:$D$2000,R$1,Sets!$J$2:$J$2000,"N")=0,"",_xlfn.MAXIFS(Sets!$H$2:$H$2000,Sets!$A$2:$A$2000,$A72,Sets!$D$2:$D$2000,R$1,Sets!$J$2:$J$2000,"N"))</f>
        <v/>
      </c>
      <c r="S72">
        <f>IF(_xlfn.MAXIFS(Sets!$H$2:$H$2000,Sets!$A$2:$A$2000,$A72,Sets!$D$2:$D$2000,S$1,Sets!$J$2:$J$2000,"N")=0,"",_xlfn.MAXIFS(Sets!$H$2:$H$2000,Sets!$A$2:$A$2000,$A72,Sets!$D$2:$D$2000,S$1,Sets!$J$2:$J$2000,"N"))</f>
        <v/>
      </c>
      <c r="T72">
        <f>IF(_xlfn.MAXIFS(Sets!$H$2:$H$2000,Sets!$A$2:$A$2000,$A72,Sets!$D$2:$D$2000,T$1,Sets!$J$2:$J$2000,"N")=0,"",_xlfn.MAXIFS(Sets!$H$2:$H$2000,Sets!$A$2:$A$2000,$A72,Sets!$D$2:$D$2000,T$1,Sets!$J$2:$J$2000,"N"))</f>
        <v/>
      </c>
      <c r="U72">
        <f>IF(_xlfn.MAXIFS(Sets!$H$2:$H$2000,Sets!$A$2:$A$2000,$A72,Sets!$D$2:$D$2000,U$1,Sets!$J$2:$J$2000,"N")=0,"",_xlfn.MAXIFS(Sets!$H$2:$H$2000,Sets!$A$2:$A$2000,$A72,Sets!$D$2:$D$2000,U$1,Sets!$J$2:$J$2000,"N"))</f>
        <v/>
      </c>
      <c r="V72">
        <f>IF(_xlfn.MAXIFS(Sets!$H$2:$H$2000,Sets!$A$2:$A$2000,$A72,Sets!$D$2:$D$2000,V$1,Sets!$J$2:$J$2000,"N")=0,"",_xlfn.MAXIFS(Sets!$H$2:$H$2000,Sets!$A$2:$A$2000,$A72,Sets!$D$2:$D$2000,V$1,Sets!$J$2:$J$2000,"N"))</f>
        <v/>
      </c>
      <c r="W72">
        <f>IF(_xlfn.MAXIFS(Sets!$H$2:$H$2000,Sets!$A$2:$A$2000,$A72,Sets!$D$2:$D$2000,W$1,Sets!$J$2:$J$2000,"N")=0,"",_xlfn.MAXIFS(Sets!$H$2:$H$2000,Sets!$A$2:$A$2000,$A72,Sets!$D$2:$D$2000,W$1,Sets!$J$2:$J$2000,"N"))</f>
        <v/>
      </c>
      <c r="X72">
        <f>IF(_xlfn.MAXIFS(Sets!$H$2:$H$2000,Sets!$A$2:$A$2000,$A72,Sets!$D$2:$D$2000,X$1,Sets!$J$2:$J$2000,"N")=0,"",_xlfn.MAXIFS(Sets!$H$2:$H$2000,Sets!$A$2:$A$2000,$A72,Sets!$D$2:$D$2000,X$1,Sets!$J$2:$J$2000,"N"))</f>
        <v/>
      </c>
      <c r="Y72">
        <f>IF(_xlfn.MAXIFS(Sets!$H$2:$H$2000,Sets!$A$2:$A$2000,$A72,Sets!$D$2:$D$2000,Y$1,Sets!$J$2:$J$2000,"N")=0,"",_xlfn.MAXIFS(Sets!$H$2:$H$2000,Sets!$A$2:$A$2000,$A72,Sets!$D$2:$D$2000,Y$1,Sets!$J$2:$J$2000,"N"))</f>
        <v/>
      </c>
      <c r="Z72">
        <f>IF(_xlfn.MAXIFS(Sets!$H$2:$H$2000,Sets!$A$2:$A$2000,$A72,Sets!$D$2:$D$2000,Z$1,Sets!$J$2:$J$2000,"N")=0,"",_xlfn.MAXIFS(Sets!$H$2:$H$2000,Sets!$A$2:$A$2000,$A72,Sets!$D$2:$D$2000,Z$1,Sets!$J$2:$J$2000,"N"))</f>
        <v/>
      </c>
      <c r="AA72">
        <f>IF(_xlfn.MAXIFS(Sets!$H$2:$H$2000,Sets!$A$2:$A$2000,$A72,Sets!$D$2:$D$2000,AA$1,Sets!$J$2:$J$2000,"N")=0,"",_xlfn.MAXIFS(Sets!$H$2:$H$2000,Sets!$A$2:$A$2000,$A72,Sets!$D$2:$D$2000,AA$1,Sets!$J$2:$J$2000,"N"))</f>
        <v/>
      </c>
      <c r="AB72">
        <f>IF(_xlfn.MAXIFS(Sets!$H$2:$H$2000,Sets!$A$2:$A$2000,$A72,Sets!$D$2:$D$2000,AB$1,Sets!$J$2:$J$2000,"N")=0,"",_xlfn.MAXIFS(Sets!$H$2:$H$2000,Sets!$A$2:$A$2000,$A72,Sets!$D$2:$D$2000,AB$1,Sets!$J$2:$J$2000,"N"))</f>
        <v/>
      </c>
      <c r="AC72">
        <f>IF(_xlfn.MAXIFS(Sets!$H$2:$H$2000,Sets!$A$2:$A$2000,$A72,Sets!$D$2:$D$2000,AC$1,Sets!$J$2:$J$2000,"N")=0,"",_xlfn.MAXIFS(Sets!$H$2:$H$2000,Sets!$A$2:$A$2000,$A72,Sets!$D$2:$D$2000,AC$1,Sets!$J$2:$J$2000,"N"))</f>
        <v/>
      </c>
      <c r="AD72">
        <f>IF(_xlfn.MAXIFS(Sets!$H$2:$H$2000,Sets!$A$2:$A$2000,$A72,Sets!$D$2:$D$2000,AD$1,Sets!$J$2:$J$2000,"N")=0,"",_xlfn.MAXIFS(Sets!$H$2:$H$2000,Sets!$A$2:$A$2000,$A72,Sets!$D$2:$D$2000,AD$1,Sets!$J$2:$J$2000,"N"))</f>
        <v/>
      </c>
      <c r="AE72">
        <f>IF(_xlfn.MAXIFS(Sets!$H$2:$H$2000,Sets!$A$2:$A$2000,$A72,Sets!$D$2:$D$2000,AE$1,Sets!$J$2:$J$2000,"N")=0,"",_xlfn.MAXIFS(Sets!$H$2:$H$2000,Sets!$A$2:$A$2000,$A72,Sets!$D$2:$D$2000,AE$1,Sets!$J$2:$J$2000,"N"))</f>
        <v/>
      </c>
      <c r="AF72">
        <f>IF(_xlfn.MAXIFS(Sets!$H$2:$H$2000,Sets!$A$2:$A$2000,$A72,Sets!$D$2:$D$2000,AF$1,Sets!$J$2:$J$2000,"N")=0,"",_xlfn.MAXIFS(Sets!$H$2:$H$2000,Sets!$A$2:$A$2000,$A72,Sets!$D$2:$D$2000,AF$1,Sets!$J$2:$J$2000,"N"))</f>
        <v/>
      </c>
      <c r="AG72">
        <f>IF(_xlfn.MAXIFS(Sets!$H$2:$H$2000,Sets!$A$2:$A$2000,$A72,Sets!$D$2:$D$2000,AG$1,Sets!$J$2:$J$2000,"N")=0,"",_xlfn.MAXIFS(Sets!$H$2:$H$2000,Sets!$A$2:$A$2000,$A72,Sets!$D$2:$D$2000,AG$1,Sets!$J$2:$J$2000,"N"))</f>
        <v/>
      </c>
      <c r="AH72">
        <f>IF(_xlfn.MAXIFS(Sets!$H$2:$H$2000,Sets!$A$2:$A$2000,$A72,Sets!$D$2:$D$2000,AH$1,Sets!$J$2:$J$2000,"N")=0,"",_xlfn.MAXIFS(Sets!$H$2:$H$2000,Sets!$A$2:$A$2000,$A72,Sets!$D$2:$D$2000,AH$1,Sets!$J$2:$J$2000,"N"))</f>
        <v/>
      </c>
      <c r="AI72">
        <f>IF(_xlfn.MAXIFS(Sets!$H$2:$H$2000,Sets!$A$2:$A$2000,$A72,Sets!$D$2:$D$2000,AI$1,Sets!$J$2:$J$2000,"N")=0,"",_xlfn.MAXIFS(Sets!$H$2:$H$2000,Sets!$A$2:$A$2000,$A72,Sets!$D$2:$D$2000,AI$1,Sets!$J$2:$J$2000,"N"))</f>
        <v/>
      </c>
      <c r="AJ72">
        <f>IF(_xlfn.MAXIFS(Sets!$H$2:$H$2000,Sets!$A$2:$A$2000,$A72,Sets!$D$2:$D$2000,AJ$1,Sets!$J$2:$J$2000,"N")=0,"",_xlfn.MAXIFS(Sets!$H$2:$H$2000,Sets!$A$2:$A$2000,$A72,Sets!$D$2:$D$2000,AJ$1,Sets!$J$2:$J$2000,"N"))</f>
        <v/>
      </c>
      <c r="AK72">
        <f>IF(_xlfn.MAXIFS(Sets!$H$2:$H$2000,Sets!$A$2:$A$2000,$A72,Sets!$D$2:$D$2000,AK$1,Sets!$J$2:$J$2000,"N")=0,"",_xlfn.MAXIFS(Sets!$H$2:$H$2000,Sets!$A$2:$A$2000,$A72,Sets!$D$2:$D$2000,AK$1,Sets!$J$2:$J$2000,"N"))</f>
        <v/>
      </c>
      <c r="AL72">
        <f>IF(_xlfn.MAXIFS(Sets!$H$2:$H$2000,Sets!$A$2:$A$2000,$A72,Sets!$D$2:$D$2000,AL$1,Sets!$J$2:$J$2000,"N")=0,"",_xlfn.MAXIFS(Sets!$H$2:$H$2000,Sets!$A$2:$A$2000,$A72,Sets!$D$2:$D$2000,AL$1,Sets!$J$2:$J$2000,"N"))</f>
        <v/>
      </c>
      <c r="AM72">
        <f>IF(_xlfn.MAXIFS(Sets!$H$2:$H$2000,Sets!$A$2:$A$2000,$A72,Sets!$D$2:$D$2000,AM$1,Sets!$J$2:$J$2000,"N")=0,"",_xlfn.MAXIFS(Sets!$H$2:$H$2000,Sets!$A$2:$A$2000,$A72,Sets!$D$2:$D$2000,AM$1,Sets!$J$2:$J$2000,"N"))</f>
        <v/>
      </c>
      <c r="AN72">
        <f>IF(_xlfn.MAXIFS(Sets!$H$2:$H$2000,Sets!$A$2:$A$2000,$A72,Sets!$D$2:$D$2000,AN$1,Sets!$J$2:$J$2000,"N")=0,"",_xlfn.MAXIFS(Sets!$H$2:$H$2000,Sets!$A$2:$A$2000,$A72,Sets!$D$2:$D$2000,AN$1,Sets!$J$2:$J$2000,"N"))</f>
        <v/>
      </c>
      <c r="AO72">
        <f>IF(_xlfn.MAXIFS(Sets!$H$2:$H$2000,Sets!$A$2:$A$2000,$A72,Sets!$D$2:$D$2000,AO$1,Sets!$J$2:$J$2000,"N")=0,"",_xlfn.MAXIFS(Sets!$H$2:$H$2000,Sets!$A$2:$A$2000,$A72,Sets!$D$2:$D$2000,AO$1,Sets!$J$2:$J$2000,"N"))</f>
        <v/>
      </c>
      <c r="AP72">
        <f>IF(_xlfn.MAXIFS(Sets!$H$2:$H$2000,Sets!$A$2:$A$2000,$A72,Sets!$D$2:$D$2000,AP$1,Sets!$J$2:$J$2000,"N")=0,"",_xlfn.MAXIFS(Sets!$H$2:$H$2000,Sets!$A$2:$A$2000,$A72,Sets!$D$2:$D$2000,AP$1,Sets!$J$2:$J$2000,"N"))</f>
        <v/>
      </c>
    </row>
    <row r="73">
      <c r="A73" s="36" t="n">
        <v>46282</v>
      </c>
      <c r="B73">
        <f>IF(_xlfn.MAXIFS(Sets!$H$2:$H$2000,Sets!$A$2:$A$2000,$A73,Sets!$D$2:$D$2000,B$1,Sets!$J$2:$J$2000,"N")=0,"",_xlfn.MAXIFS(Sets!$H$2:$H$2000,Sets!$A$2:$A$2000,$A73,Sets!$D$2:$D$2000,B$1,Sets!$J$2:$J$2000,"N"))</f>
        <v/>
      </c>
      <c r="C73">
        <f>IF(_xlfn.MAXIFS(Sets!$H$2:$H$2000,Sets!$A$2:$A$2000,$A73,Sets!$D$2:$D$2000,C$1,Sets!$J$2:$J$2000,"N")=0,"",_xlfn.MAXIFS(Sets!$H$2:$H$2000,Sets!$A$2:$A$2000,$A73,Sets!$D$2:$D$2000,C$1,Sets!$J$2:$J$2000,"N"))</f>
        <v/>
      </c>
      <c r="D73">
        <f>IF(_xlfn.MAXIFS(Sets!$H$2:$H$2000,Sets!$A$2:$A$2000,$A73,Sets!$D$2:$D$2000,D$1,Sets!$J$2:$J$2000,"N")=0,"",_xlfn.MAXIFS(Sets!$H$2:$H$2000,Sets!$A$2:$A$2000,$A73,Sets!$D$2:$D$2000,D$1,Sets!$J$2:$J$2000,"N"))</f>
        <v/>
      </c>
      <c r="E73">
        <f>IF(_xlfn.MAXIFS(Sets!$H$2:$H$2000,Sets!$A$2:$A$2000,$A73,Sets!$D$2:$D$2000,E$1,Sets!$J$2:$J$2000,"N")=0,"",_xlfn.MAXIFS(Sets!$H$2:$H$2000,Sets!$A$2:$A$2000,$A73,Sets!$D$2:$D$2000,E$1,Sets!$J$2:$J$2000,"N"))</f>
        <v/>
      </c>
      <c r="F73">
        <f>IF(_xlfn.MAXIFS(Sets!$H$2:$H$2000,Sets!$A$2:$A$2000,$A73,Sets!$D$2:$D$2000,F$1,Sets!$J$2:$J$2000,"N")=0,"",_xlfn.MAXIFS(Sets!$H$2:$H$2000,Sets!$A$2:$A$2000,$A73,Sets!$D$2:$D$2000,F$1,Sets!$J$2:$J$2000,"N"))</f>
        <v/>
      </c>
      <c r="G73">
        <f>IF(_xlfn.MAXIFS(Sets!$H$2:$H$2000,Sets!$A$2:$A$2000,$A73,Sets!$D$2:$D$2000,G$1,Sets!$J$2:$J$2000,"N")=0,"",_xlfn.MAXIFS(Sets!$H$2:$H$2000,Sets!$A$2:$A$2000,$A73,Sets!$D$2:$D$2000,G$1,Sets!$J$2:$J$2000,"N"))</f>
        <v/>
      </c>
      <c r="H73">
        <f>IF(_xlfn.MAXIFS(Sets!$H$2:$H$2000,Sets!$A$2:$A$2000,$A73,Sets!$D$2:$D$2000,H$1,Sets!$J$2:$J$2000,"N")=0,"",_xlfn.MAXIFS(Sets!$H$2:$H$2000,Sets!$A$2:$A$2000,$A73,Sets!$D$2:$D$2000,H$1,Sets!$J$2:$J$2000,"N"))</f>
        <v/>
      </c>
      <c r="I73">
        <f>IF(_xlfn.MAXIFS(Sets!$H$2:$H$2000,Sets!$A$2:$A$2000,$A73,Sets!$D$2:$D$2000,I$1,Sets!$J$2:$J$2000,"N")=0,"",_xlfn.MAXIFS(Sets!$H$2:$H$2000,Sets!$A$2:$A$2000,$A73,Sets!$D$2:$D$2000,I$1,Sets!$J$2:$J$2000,"N"))</f>
        <v/>
      </c>
      <c r="J73">
        <f>IF(_xlfn.MAXIFS(Sets!$H$2:$H$2000,Sets!$A$2:$A$2000,$A73,Sets!$D$2:$D$2000,J$1,Sets!$J$2:$J$2000,"N")=0,"",_xlfn.MAXIFS(Sets!$H$2:$H$2000,Sets!$A$2:$A$2000,$A73,Sets!$D$2:$D$2000,J$1,Sets!$J$2:$J$2000,"N"))</f>
        <v/>
      </c>
      <c r="K73">
        <f>IF(_xlfn.MAXIFS(Sets!$H$2:$H$2000,Sets!$A$2:$A$2000,$A73,Sets!$D$2:$D$2000,K$1,Sets!$J$2:$J$2000,"N")=0,"",_xlfn.MAXIFS(Sets!$H$2:$H$2000,Sets!$A$2:$A$2000,$A73,Sets!$D$2:$D$2000,K$1,Sets!$J$2:$J$2000,"N"))</f>
        <v/>
      </c>
      <c r="L73">
        <f>IF(_xlfn.MAXIFS(Sets!$H$2:$H$2000,Sets!$A$2:$A$2000,$A73,Sets!$D$2:$D$2000,L$1,Sets!$J$2:$J$2000,"N")=0,"",_xlfn.MAXIFS(Sets!$H$2:$H$2000,Sets!$A$2:$A$2000,$A73,Sets!$D$2:$D$2000,L$1,Sets!$J$2:$J$2000,"N"))</f>
        <v/>
      </c>
      <c r="M73">
        <f>IF(_xlfn.MAXIFS(Sets!$H$2:$H$2000,Sets!$A$2:$A$2000,$A73,Sets!$D$2:$D$2000,M$1,Sets!$J$2:$J$2000,"N")=0,"",_xlfn.MAXIFS(Sets!$H$2:$H$2000,Sets!$A$2:$A$2000,$A73,Sets!$D$2:$D$2000,M$1,Sets!$J$2:$J$2000,"N"))</f>
        <v/>
      </c>
      <c r="N73">
        <f>IF(_xlfn.MAXIFS(Sets!$H$2:$H$2000,Sets!$A$2:$A$2000,$A73,Sets!$D$2:$D$2000,N$1,Sets!$J$2:$J$2000,"N")=0,"",_xlfn.MAXIFS(Sets!$H$2:$H$2000,Sets!$A$2:$A$2000,$A73,Sets!$D$2:$D$2000,N$1,Sets!$J$2:$J$2000,"N"))</f>
        <v/>
      </c>
      <c r="O73">
        <f>IF(_xlfn.MAXIFS(Sets!$H$2:$H$2000,Sets!$A$2:$A$2000,$A73,Sets!$D$2:$D$2000,O$1,Sets!$J$2:$J$2000,"N")=0,"",_xlfn.MAXIFS(Sets!$H$2:$H$2000,Sets!$A$2:$A$2000,$A73,Sets!$D$2:$D$2000,O$1,Sets!$J$2:$J$2000,"N"))</f>
        <v/>
      </c>
      <c r="P73">
        <f>IF(_xlfn.MAXIFS(Sets!$H$2:$H$2000,Sets!$A$2:$A$2000,$A73,Sets!$D$2:$D$2000,P$1,Sets!$J$2:$J$2000,"N")=0,"",_xlfn.MAXIFS(Sets!$H$2:$H$2000,Sets!$A$2:$A$2000,$A73,Sets!$D$2:$D$2000,P$1,Sets!$J$2:$J$2000,"N"))</f>
        <v/>
      </c>
      <c r="Q73">
        <f>IF(_xlfn.MAXIFS(Sets!$H$2:$H$2000,Sets!$A$2:$A$2000,$A73,Sets!$D$2:$D$2000,Q$1,Sets!$J$2:$J$2000,"N")=0,"",_xlfn.MAXIFS(Sets!$H$2:$H$2000,Sets!$A$2:$A$2000,$A73,Sets!$D$2:$D$2000,Q$1,Sets!$J$2:$J$2000,"N"))</f>
        <v/>
      </c>
      <c r="R73">
        <f>IF(_xlfn.MAXIFS(Sets!$H$2:$H$2000,Sets!$A$2:$A$2000,$A73,Sets!$D$2:$D$2000,R$1,Sets!$J$2:$J$2000,"N")=0,"",_xlfn.MAXIFS(Sets!$H$2:$H$2000,Sets!$A$2:$A$2000,$A73,Sets!$D$2:$D$2000,R$1,Sets!$J$2:$J$2000,"N"))</f>
        <v/>
      </c>
      <c r="S73">
        <f>IF(_xlfn.MAXIFS(Sets!$H$2:$H$2000,Sets!$A$2:$A$2000,$A73,Sets!$D$2:$D$2000,S$1,Sets!$J$2:$J$2000,"N")=0,"",_xlfn.MAXIFS(Sets!$H$2:$H$2000,Sets!$A$2:$A$2000,$A73,Sets!$D$2:$D$2000,S$1,Sets!$J$2:$J$2000,"N"))</f>
        <v/>
      </c>
      <c r="T73">
        <f>IF(_xlfn.MAXIFS(Sets!$H$2:$H$2000,Sets!$A$2:$A$2000,$A73,Sets!$D$2:$D$2000,T$1,Sets!$J$2:$J$2000,"N")=0,"",_xlfn.MAXIFS(Sets!$H$2:$H$2000,Sets!$A$2:$A$2000,$A73,Sets!$D$2:$D$2000,T$1,Sets!$J$2:$J$2000,"N"))</f>
        <v/>
      </c>
      <c r="U73">
        <f>IF(_xlfn.MAXIFS(Sets!$H$2:$H$2000,Sets!$A$2:$A$2000,$A73,Sets!$D$2:$D$2000,U$1,Sets!$J$2:$J$2000,"N")=0,"",_xlfn.MAXIFS(Sets!$H$2:$H$2000,Sets!$A$2:$A$2000,$A73,Sets!$D$2:$D$2000,U$1,Sets!$J$2:$J$2000,"N"))</f>
        <v/>
      </c>
      <c r="V73">
        <f>IF(_xlfn.MAXIFS(Sets!$H$2:$H$2000,Sets!$A$2:$A$2000,$A73,Sets!$D$2:$D$2000,V$1,Sets!$J$2:$J$2000,"N")=0,"",_xlfn.MAXIFS(Sets!$H$2:$H$2000,Sets!$A$2:$A$2000,$A73,Sets!$D$2:$D$2000,V$1,Sets!$J$2:$J$2000,"N"))</f>
        <v/>
      </c>
      <c r="W73">
        <f>IF(_xlfn.MAXIFS(Sets!$H$2:$H$2000,Sets!$A$2:$A$2000,$A73,Sets!$D$2:$D$2000,W$1,Sets!$J$2:$J$2000,"N")=0,"",_xlfn.MAXIFS(Sets!$H$2:$H$2000,Sets!$A$2:$A$2000,$A73,Sets!$D$2:$D$2000,W$1,Sets!$J$2:$J$2000,"N"))</f>
        <v/>
      </c>
      <c r="X73">
        <f>IF(_xlfn.MAXIFS(Sets!$H$2:$H$2000,Sets!$A$2:$A$2000,$A73,Sets!$D$2:$D$2000,X$1,Sets!$J$2:$J$2000,"N")=0,"",_xlfn.MAXIFS(Sets!$H$2:$H$2000,Sets!$A$2:$A$2000,$A73,Sets!$D$2:$D$2000,X$1,Sets!$J$2:$J$2000,"N"))</f>
        <v/>
      </c>
      <c r="Y73">
        <f>IF(_xlfn.MAXIFS(Sets!$H$2:$H$2000,Sets!$A$2:$A$2000,$A73,Sets!$D$2:$D$2000,Y$1,Sets!$J$2:$J$2000,"N")=0,"",_xlfn.MAXIFS(Sets!$H$2:$H$2000,Sets!$A$2:$A$2000,$A73,Sets!$D$2:$D$2000,Y$1,Sets!$J$2:$J$2000,"N"))</f>
        <v/>
      </c>
      <c r="Z73">
        <f>IF(_xlfn.MAXIFS(Sets!$H$2:$H$2000,Sets!$A$2:$A$2000,$A73,Sets!$D$2:$D$2000,Z$1,Sets!$J$2:$J$2000,"N")=0,"",_xlfn.MAXIFS(Sets!$H$2:$H$2000,Sets!$A$2:$A$2000,$A73,Sets!$D$2:$D$2000,Z$1,Sets!$J$2:$J$2000,"N"))</f>
        <v/>
      </c>
      <c r="AA73">
        <f>IF(_xlfn.MAXIFS(Sets!$H$2:$H$2000,Sets!$A$2:$A$2000,$A73,Sets!$D$2:$D$2000,AA$1,Sets!$J$2:$J$2000,"N")=0,"",_xlfn.MAXIFS(Sets!$H$2:$H$2000,Sets!$A$2:$A$2000,$A73,Sets!$D$2:$D$2000,AA$1,Sets!$J$2:$J$2000,"N"))</f>
        <v/>
      </c>
      <c r="AB73">
        <f>IF(_xlfn.MAXIFS(Sets!$H$2:$H$2000,Sets!$A$2:$A$2000,$A73,Sets!$D$2:$D$2000,AB$1,Sets!$J$2:$J$2000,"N")=0,"",_xlfn.MAXIFS(Sets!$H$2:$H$2000,Sets!$A$2:$A$2000,$A73,Sets!$D$2:$D$2000,AB$1,Sets!$J$2:$J$2000,"N"))</f>
        <v/>
      </c>
      <c r="AC73">
        <f>IF(_xlfn.MAXIFS(Sets!$H$2:$H$2000,Sets!$A$2:$A$2000,$A73,Sets!$D$2:$D$2000,AC$1,Sets!$J$2:$J$2000,"N")=0,"",_xlfn.MAXIFS(Sets!$H$2:$H$2000,Sets!$A$2:$A$2000,$A73,Sets!$D$2:$D$2000,AC$1,Sets!$J$2:$J$2000,"N"))</f>
        <v/>
      </c>
      <c r="AD73">
        <f>IF(_xlfn.MAXIFS(Sets!$H$2:$H$2000,Sets!$A$2:$A$2000,$A73,Sets!$D$2:$D$2000,AD$1,Sets!$J$2:$J$2000,"N")=0,"",_xlfn.MAXIFS(Sets!$H$2:$H$2000,Sets!$A$2:$A$2000,$A73,Sets!$D$2:$D$2000,AD$1,Sets!$J$2:$J$2000,"N"))</f>
        <v/>
      </c>
      <c r="AE73">
        <f>IF(_xlfn.MAXIFS(Sets!$H$2:$H$2000,Sets!$A$2:$A$2000,$A73,Sets!$D$2:$D$2000,AE$1,Sets!$J$2:$J$2000,"N")=0,"",_xlfn.MAXIFS(Sets!$H$2:$H$2000,Sets!$A$2:$A$2000,$A73,Sets!$D$2:$D$2000,AE$1,Sets!$J$2:$J$2000,"N"))</f>
        <v/>
      </c>
      <c r="AF73">
        <f>IF(_xlfn.MAXIFS(Sets!$H$2:$H$2000,Sets!$A$2:$A$2000,$A73,Sets!$D$2:$D$2000,AF$1,Sets!$J$2:$J$2000,"N")=0,"",_xlfn.MAXIFS(Sets!$H$2:$H$2000,Sets!$A$2:$A$2000,$A73,Sets!$D$2:$D$2000,AF$1,Sets!$J$2:$J$2000,"N"))</f>
        <v/>
      </c>
      <c r="AG73">
        <f>IF(_xlfn.MAXIFS(Sets!$H$2:$H$2000,Sets!$A$2:$A$2000,$A73,Sets!$D$2:$D$2000,AG$1,Sets!$J$2:$J$2000,"N")=0,"",_xlfn.MAXIFS(Sets!$H$2:$H$2000,Sets!$A$2:$A$2000,$A73,Sets!$D$2:$D$2000,AG$1,Sets!$J$2:$J$2000,"N"))</f>
        <v/>
      </c>
      <c r="AH73">
        <f>IF(_xlfn.MAXIFS(Sets!$H$2:$H$2000,Sets!$A$2:$A$2000,$A73,Sets!$D$2:$D$2000,AH$1,Sets!$J$2:$J$2000,"N")=0,"",_xlfn.MAXIFS(Sets!$H$2:$H$2000,Sets!$A$2:$A$2000,$A73,Sets!$D$2:$D$2000,AH$1,Sets!$J$2:$J$2000,"N"))</f>
        <v/>
      </c>
      <c r="AI73">
        <f>IF(_xlfn.MAXIFS(Sets!$H$2:$H$2000,Sets!$A$2:$A$2000,$A73,Sets!$D$2:$D$2000,AI$1,Sets!$J$2:$J$2000,"N")=0,"",_xlfn.MAXIFS(Sets!$H$2:$H$2000,Sets!$A$2:$A$2000,$A73,Sets!$D$2:$D$2000,AI$1,Sets!$J$2:$J$2000,"N"))</f>
        <v/>
      </c>
      <c r="AJ73">
        <f>IF(_xlfn.MAXIFS(Sets!$H$2:$H$2000,Sets!$A$2:$A$2000,$A73,Sets!$D$2:$D$2000,AJ$1,Sets!$J$2:$J$2000,"N")=0,"",_xlfn.MAXIFS(Sets!$H$2:$H$2000,Sets!$A$2:$A$2000,$A73,Sets!$D$2:$D$2000,AJ$1,Sets!$J$2:$J$2000,"N"))</f>
        <v/>
      </c>
      <c r="AK73">
        <f>IF(_xlfn.MAXIFS(Sets!$H$2:$H$2000,Sets!$A$2:$A$2000,$A73,Sets!$D$2:$D$2000,AK$1,Sets!$J$2:$J$2000,"N")=0,"",_xlfn.MAXIFS(Sets!$H$2:$H$2000,Sets!$A$2:$A$2000,$A73,Sets!$D$2:$D$2000,AK$1,Sets!$J$2:$J$2000,"N"))</f>
        <v/>
      </c>
      <c r="AL73">
        <f>IF(_xlfn.MAXIFS(Sets!$H$2:$H$2000,Sets!$A$2:$A$2000,$A73,Sets!$D$2:$D$2000,AL$1,Sets!$J$2:$J$2000,"N")=0,"",_xlfn.MAXIFS(Sets!$H$2:$H$2000,Sets!$A$2:$A$2000,$A73,Sets!$D$2:$D$2000,AL$1,Sets!$J$2:$J$2000,"N"))</f>
        <v/>
      </c>
      <c r="AM73">
        <f>IF(_xlfn.MAXIFS(Sets!$H$2:$H$2000,Sets!$A$2:$A$2000,$A73,Sets!$D$2:$D$2000,AM$1,Sets!$J$2:$J$2000,"N")=0,"",_xlfn.MAXIFS(Sets!$H$2:$H$2000,Sets!$A$2:$A$2000,$A73,Sets!$D$2:$D$2000,AM$1,Sets!$J$2:$J$2000,"N"))</f>
        <v/>
      </c>
      <c r="AN73">
        <f>IF(_xlfn.MAXIFS(Sets!$H$2:$H$2000,Sets!$A$2:$A$2000,$A73,Sets!$D$2:$D$2000,AN$1,Sets!$J$2:$J$2000,"N")=0,"",_xlfn.MAXIFS(Sets!$H$2:$H$2000,Sets!$A$2:$A$2000,$A73,Sets!$D$2:$D$2000,AN$1,Sets!$J$2:$J$2000,"N"))</f>
        <v/>
      </c>
      <c r="AO73">
        <f>IF(_xlfn.MAXIFS(Sets!$H$2:$H$2000,Sets!$A$2:$A$2000,$A73,Sets!$D$2:$D$2000,AO$1,Sets!$J$2:$J$2000,"N")=0,"",_xlfn.MAXIFS(Sets!$H$2:$H$2000,Sets!$A$2:$A$2000,$A73,Sets!$D$2:$D$2000,AO$1,Sets!$J$2:$J$2000,"N"))</f>
        <v/>
      </c>
      <c r="AP73">
        <f>IF(_xlfn.MAXIFS(Sets!$H$2:$H$2000,Sets!$A$2:$A$2000,$A73,Sets!$D$2:$D$2000,AP$1,Sets!$J$2:$J$2000,"N")=0,"",_xlfn.MAXIFS(Sets!$H$2:$H$2000,Sets!$A$2:$A$2000,$A73,Sets!$D$2:$D$2000,AP$1,Sets!$J$2:$J$2000,"N"))</f>
        <v/>
      </c>
    </row>
    <row r="74">
      <c r="A74" s="36" t="n">
        <v>46285</v>
      </c>
      <c r="B74">
        <f>IF(_xlfn.MAXIFS(Sets!$H$2:$H$2000,Sets!$A$2:$A$2000,$A74,Sets!$D$2:$D$2000,B$1,Sets!$J$2:$J$2000,"N")=0,"",_xlfn.MAXIFS(Sets!$H$2:$H$2000,Sets!$A$2:$A$2000,$A74,Sets!$D$2:$D$2000,B$1,Sets!$J$2:$J$2000,"N"))</f>
        <v/>
      </c>
      <c r="C74">
        <f>IF(_xlfn.MAXIFS(Sets!$H$2:$H$2000,Sets!$A$2:$A$2000,$A74,Sets!$D$2:$D$2000,C$1,Sets!$J$2:$J$2000,"N")=0,"",_xlfn.MAXIFS(Sets!$H$2:$H$2000,Sets!$A$2:$A$2000,$A74,Sets!$D$2:$D$2000,C$1,Sets!$J$2:$J$2000,"N"))</f>
        <v/>
      </c>
      <c r="D74">
        <f>IF(_xlfn.MAXIFS(Sets!$H$2:$H$2000,Sets!$A$2:$A$2000,$A74,Sets!$D$2:$D$2000,D$1,Sets!$J$2:$J$2000,"N")=0,"",_xlfn.MAXIFS(Sets!$H$2:$H$2000,Sets!$A$2:$A$2000,$A74,Sets!$D$2:$D$2000,D$1,Sets!$J$2:$J$2000,"N"))</f>
        <v/>
      </c>
      <c r="E74">
        <f>IF(_xlfn.MAXIFS(Sets!$H$2:$H$2000,Sets!$A$2:$A$2000,$A74,Sets!$D$2:$D$2000,E$1,Sets!$J$2:$J$2000,"N")=0,"",_xlfn.MAXIFS(Sets!$H$2:$H$2000,Sets!$A$2:$A$2000,$A74,Sets!$D$2:$D$2000,E$1,Sets!$J$2:$J$2000,"N"))</f>
        <v/>
      </c>
      <c r="F74">
        <f>IF(_xlfn.MAXIFS(Sets!$H$2:$H$2000,Sets!$A$2:$A$2000,$A74,Sets!$D$2:$D$2000,F$1,Sets!$J$2:$J$2000,"N")=0,"",_xlfn.MAXIFS(Sets!$H$2:$H$2000,Sets!$A$2:$A$2000,$A74,Sets!$D$2:$D$2000,F$1,Sets!$J$2:$J$2000,"N"))</f>
        <v/>
      </c>
      <c r="G74">
        <f>IF(_xlfn.MAXIFS(Sets!$H$2:$H$2000,Sets!$A$2:$A$2000,$A74,Sets!$D$2:$D$2000,G$1,Sets!$J$2:$J$2000,"N")=0,"",_xlfn.MAXIFS(Sets!$H$2:$H$2000,Sets!$A$2:$A$2000,$A74,Sets!$D$2:$D$2000,G$1,Sets!$J$2:$J$2000,"N"))</f>
        <v/>
      </c>
      <c r="H74">
        <f>IF(_xlfn.MAXIFS(Sets!$H$2:$H$2000,Sets!$A$2:$A$2000,$A74,Sets!$D$2:$D$2000,H$1,Sets!$J$2:$J$2000,"N")=0,"",_xlfn.MAXIFS(Sets!$H$2:$H$2000,Sets!$A$2:$A$2000,$A74,Sets!$D$2:$D$2000,H$1,Sets!$J$2:$J$2000,"N"))</f>
        <v/>
      </c>
      <c r="I74">
        <f>IF(_xlfn.MAXIFS(Sets!$H$2:$H$2000,Sets!$A$2:$A$2000,$A74,Sets!$D$2:$D$2000,I$1,Sets!$J$2:$J$2000,"N")=0,"",_xlfn.MAXIFS(Sets!$H$2:$H$2000,Sets!$A$2:$A$2000,$A74,Sets!$D$2:$D$2000,I$1,Sets!$J$2:$J$2000,"N"))</f>
        <v/>
      </c>
      <c r="J74">
        <f>IF(_xlfn.MAXIFS(Sets!$H$2:$H$2000,Sets!$A$2:$A$2000,$A74,Sets!$D$2:$D$2000,J$1,Sets!$J$2:$J$2000,"N")=0,"",_xlfn.MAXIFS(Sets!$H$2:$H$2000,Sets!$A$2:$A$2000,$A74,Sets!$D$2:$D$2000,J$1,Sets!$J$2:$J$2000,"N"))</f>
        <v/>
      </c>
      <c r="K74">
        <f>IF(_xlfn.MAXIFS(Sets!$H$2:$H$2000,Sets!$A$2:$A$2000,$A74,Sets!$D$2:$D$2000,K$1,Sets!$J$2:$J$2000,"N")=0,"",_xlfn.MAXIFS(Sets!$H$2:$H$2000,Sets!$A$2:$A$2000,$A74,Sets!$D$2:$D$2000,K$1,Sets!$J$2:$J$2000,"N"))</f>
        <v/>
      </c>
      <c r="L74">
        <f>IF(_xlfn.MAXIFS(Sets!$H$2:$H$2000,Sets!$A$2:$A$2000,$A74,Sets!$D$2:$D$2000,L$1,Sets!$J$2:$J$2000,"N")=0,"",_xlfn.MAXIFS(Sets!$H$2:$H$2000,Sets!$A$2:$A$2000,$A74,Sets!$D$2:$D$2000,L$1,Sets!$J$2:$J$2000,"N"))</f>
        <v/>
      </c>
      <c r="M74">
        <f>IF(_xlfn.MAXIFS(Sets!$H$2:$H$2000,Sets!$A$2:$A$2000,$A74,Sets!$D$2:$D$2000,M$1,Sets!$J$2:$J$2000,"N")=0,"",_xlfn.MAXIFS(Sets!$H$2:$H$2000,Sets!$A$2:$A$2000,$A74,Sets!$D$2:$D$2000,M$1,Sets!$J$2:$J$2000,"N"))</f>
        <v/>
      </c>
      <c r="N74">
        <f>IF(_xlfn.MAXIFS(Sets!$H$2:$H$2000,Sets!$A$2:$A$2000,$A74,Sets!$D$2:$D$2000,N$1,Sets!$J$2:$J$2000,"N")=0,"",_xlfn.MAXIFS(Sets!$H$2:$H$2000,Sets!$A$2:$A$2000,$A74,Sets!$D$2:$D$2000,N$1,Sets!$J$2:$J$2000,"N"))</f>
        <v/>
      </c>
      <c r="O74">
        <f>IF(_xlfn.MAXIFS(Sets!$H$2:$H$2000,Sets!$A$2:$A$2000,$A74,Sets!$D$2:$D$2000,O$1,Sets!$J$2:$J$2000,"N")=0,"",_xlfn.MAXIFS(Sets!$H$2:$H$2000,Sets!$A$2:$A$2000,$A74,Sets!$D$2:$D$2000,O$1,Sets!$J$2:$J$2000,"N"))</f>
        <v/>
      </c>
      <c r="P74">
        <f>IF(_xlfn.MAXIFS(Sets!$H$2:$H$2000,Sets!$A$2:$A$2000,$A74,Sets!$D$2:$D$2000,P$1,Sets!$J$2:$J$2000,"N")=0,"",_xlfn.MAXIFS(Sets!$H$2:$H$2000,Sets!$A$2:$A$2000,$A74,Sets!$D$2:$D$2000,P$1,Sets!$J$2:$J$2000,"N"))</f>
        <v/>
      </c>
      <c r="Q74">
        <f>IF(_xlfn.MAXIFS(Sets!$H$2:$H$2000,Sets!$A$2:$A$2000,$A74,Sets!$D$2:$D$2000,Q$1,Sets!$J$2:$J$2000,"N")=0,"",_xlfn.MAXIFS(Sets!$H$2:$H$2000,Sets!$A$2:$A$2000,$A74,Sets!$D$2:$D$2000,Q$1,Sets!$J$2:$J$2000,"N"))</f>
        <v/>
      </c>
      <c r="R74">
        <f>IF(_xlfn.MAXIFS(Sets!$H$2:$H$2000,Sets!$A$2:$A$2000,$A74,Sets!$D$2:$D$2000,R$1,Sets!$J$2:$J$2000,"N")=0,"",_xlfn.MAXIFS(Sets!$H$2:$H$2000,Sets!$A$2:$A$2000,$A74,Sets!$D$2:$D$2000,R$1,Sets!$J$2:$J$2000,"N"))</f>
        <v/>
      </c>
      <c r="S74">
        <f>IF(_xlfn.MAXIFS(Sets!$H$2:$H$2000,Sets!$A$2:$A$2000,$A74,Sets!$D$2:$D$2000,S$1,Sets!$J$2:$J$2000,"N")=0,"",_xlfn.MAXIFS(Sets!$H$2:$H$2000,Sets!$A$2:$A$2000,$A74,Sets!$D$2:$D$2000,S$1,Sets!$J$2:$J$2000,"N"))</f>
        <v/>
      </c>
      <c r="T74">
        <f>IF(_xlfn.MAXIFS(Sets!$H$2:$H$2000,Sets!$A$2:$A$2000,$A74,Sets!$D$2:$D$2000,T$1,Sets!$J$2:$J$2000,"N")=0,"",_xlfn.MAXIFS(Sets!$H$2:$H$2000,Sets!$A$2:$A$2000,$A74,Sets!$D$2:$D$2000,T$1,Sets!$J$2:$J$2000,"N"))</f>
        <v/>
      </c>
      <c r="U74">
        <f>IF(_xlfn.MAXIFS(Sets!$H$2:$H$2000,Sets!$A$2:$A$2000,$A74,Sets!$D$2:$D$2000,U$1,Sets!$J$2:$J$2000,"N")=0,"",_xlfn.MAXIFS(Sets!$H$2:$H$2000,Sets!$A$2:$A$2000,$A74,Sets!$D$2:$D$2000,U$1,Sets!$J$2:$J$2000,"N"))</f>
        <v/>
      </c>
      <c r="V74">
        <f>IF(_xlfn.MAXIFS(Sets!$H$2:$H$2000,Sets!$A$2:$A$2000,$A74,Sets!$D$2:$D$2000,V$1,Sets!$J$2:$J$2000,"N")=0,"",_xlfn.MAXIFS(Sets!$H$2:$H$2000,Sets!$A$2:$A$2000,$A74,Sets!$D$2:$D$2000,V$1,Sets!$J$2:$J$2000,"N"))</f>
        <v/>
      </c>
      <c r="W74">
        <f>IF(_xlfn.MAXIFS(Sets!$H$2:$H$2000,Sets!$A$2:$A$2000,$A74,Sets!$D$2:$D$2000,W$1,Sets!$J$2:$J$2000,"N")=0,"",_xlfn.MAXIFS(Sets!$H$2:$H$2000,Sets!$A$2:$A$2000,$A74,Sets!$D$2:$D$2000,W$1,Sets!$J$2:$J$2000,"N"))</f>
        <v/>
      </c>
      <c r="X74">
        <f>IF(_xlfn.MAXIFS(Sets!$H$2:$H$2000,Sets!$A$2:$A$2000,$A74,Sets!$D$2:$D$2000,X$1,Sets!$J$2:$J$2000,"N")=0,"",_xlfn.MAXIFS(Sets!$H$2:$H$2000,Sets!$A$2:$A$2000,$A74,Sets!$D$2:$D$2000,X$1,Sets!$J$2:$J$2000,"N"))</f>
        <v/>
      </c>
      <c r="Y74">
        <f>IF(_xlfn.MAXIFS(Sets!$H$2:$H$2000,Sets!$A$2:$A$2000,$A74,Sets!$D$2:$D$2000,Y$1,Sets!$J$2:$J$2000,"N")=0,"",_xlfn.MAXIFS(Sets!$H$2:$H$2000,Sets!$A$2:$A$2000,$A74,Sets!$D$2:$D$2000,Y$1,Sets!$J$2:$J$2000,"N"))</f>
        <v/>
      </c>
      <c r="Z74">
        <f>IF(_xlfn.MAXIFS(Sets!$H$2:$H$2000,Sets!$A$2:$A$2000,$A74,Sets!$D$2:$D$2000,Z$1,Sets!$J$2:$J$2000,"N")=0,"",_xlfn.MAXIFS(Sets!$H$2:$H$2000,Sets!$A$2:$A$2000,$A74,Sets!$D$2:$D$2000,Z$1,Sets!$J$2:$J$2000,"N"))</f>
        <v/>
      </c>
      <c r="AA74">
        <f>IF(_xlfn.MAXIFS(Sets!$H$2:$H$2000,Sets!$A$2:$A$2000,$A74,Sets!$D$2:$D$2000,AA$1,Sets!$J$2:$J$2000,"N")=0,"",_xlfn.MAXIFS(Sets!$H$2:$H$2000,Sets!$A$2:$A$2000,$A74,Sets!$D$2:$D$2000,AA$1,Sets!$J$2:$J$2000,"N"))</f>
        <v/>
      </c>
      <c r="AB74">
        <f>IF(_xlfn.MAXIFS(Sets!$H$2:$H$2000,Sets!$A$2:$A$2000,$A74,Sets!$D$2:$D$2000,AB$1,Sets!$J$2:$J$2000,"N")=0,"",_xlfn.MAXIFS(Sets!$H$2:$H$2000,Sets!$A$2:$A$2000,$A74,Sets!$D$2:$D$2000,AB$1,Sets!$J$2:$J$2000,"N"))</f>
        <v/>
      </c>
      <c r="AC74">
        <f>IF(_xlfn.MAXIFS(Sets!$H$2:$H$2000,Sets!$A$2:$A$2000,$A74,Sets!$D$2:$D$2000,AC$1,Sets!$J$2:$J$2000,"N")=0,"",_xlfn.MAXIFS(Sets!$H$2:$H$2000,Sets!$A$2:$A$2000,$A74,Sets!$D$2:$D$2000,AC$1,Sets!$J$2:$J$2000,"N"))</f>
        <v/>
      </c>
      <c r="AD74">
        <f>IF(_xlfn.MAXIFS(Sets!$H$2:$H$2000,Sets!$A$2:$A$2000,$A74,Sets!$D$2:$D$2000,AD$1,Sets!$J$2:$J$2000,"N")=0,"",_xlfn.MAXIFS(Sets!$H$2:$H$2000,Sets!$A$2:$A$2000,$A74,Sets!$D$2:$D$2000,AD$1,Sets!$J$2:$J$2000,"N"))</f>
        <v/>
      </c>
      <c r="AE74">
        <f>IF(_xlfn.MAXIFS(Sets!$H$2:$H$2000,Sets!$A$2:$A$2000,$A74,Sets!$D$2:$D$2000,AE$1,Sets!$J$2:$J$2000,"N")=0,"",_xlfn.MAXIFS(Sets!$H$2:$H$2000,Sets!$A$2:$A$2000,$A74,Sets!$D$2:$D$2000,AE$1,Sets!$J$2:$J$2000,"N"))</f>
        <v/>
      </c>
      <c r="AF74">
        <f>IF(_xlfn.MAXIFS(Sets!$H$2:$H$2000,Sets!$A$2:$A$2000,$A74,Sets!$D$2:$D$2000,AF$1,Sets!$J$2:$J$2000,"N")=0,"",_xlfn.MAXIFS(Sets!$H$2:$H$2000,Sets!$A$2:$A$2000,$A74,Sets!$D$2:$D$2000,AF$1,Sets!$J$2:$J$2000,"N"))</f>
        <v/>
      </c>
      <c r="AG74">
        <f>IF(_xlfn.MAXIFS(Sets!$H$2:$H$2000,Sets!$A$2:$A$2000,$A74,Sets!$D$2:$D$2000,AG$1,Sets!$J$2:$J$2000,"N")=0,"",_xlfn.MAXIFS(Sets!$H$2:$H$2000,Sets!$A$2:$A$2000,$A74,Sets!$D$2:$D$2000,AG$1,Sets!$J$2:$J$2000,"N"))</f>
        <v/>
      </c>
      <c r="AH74">
        <f>IF(_xlfn.MAXIFS(Sets!$H$2:$H$2000,Sets!$A$2:$A$2000,$A74,Sets!$D$2:$D$2000,AH$1,Sets!$J$2:$J$2000,"N")=0,"",_xlfn.MAXIFS(Sets!$H$2:$H$2000,Sets!$A$2:$A$2000,$A74,Sets!$D$2:$D$2000,AH$1,Sets!$J$2:$J$2000,"N"))</f>
        <v/>
      </c>
      <c r="AI74">
        <f>IF(_xlfn.MAXIFS(Sets!$H$2:$H$2000,Sets!$A$2:$A$2000,$A74,Sets!$D$2:$D$2000,AI$1,Sets!$J$2:$J$2000,"N")=0,"",_xlfn.MAXIFS(Sets!$H$2:$H$2000,Sets!$A$2:$A$2000,$A74,Sets!$D$2:$D$2000,AI$1,Sets!$J$2:$J$2000,"N"))</f>
        <v/>
      </c>
      <c r="AJ74">
        <f>IF(_xlfn.MAXIFS(Sets!$H$2:$H$2000,Sets!$A$2:$A$2000,$A74,Sets!$D$2:$D$2000,AJ$1,Sets!$J$2:$J$2000,"N")=0,"",_xlfn.MAXIFS(Sets!$H$2:$H$2000,Sets!$A$2:$A$2000,$A74,Sets!$D$2:$D$2000,AJ$1,Sets!$J$2:$J$2000,"N"))</f>
        <v/>
      </c>
      <c r="AK74">
        <f>IF(_xlfn.MAXIFS(Sets!$H$2:$H$2000,Sets!$A$2:$A$2000,$A74,Sets!$D$2:$D$2000,AK$1,Sets!$J$2:$J$2000,"N")=0,"",_xlfn.MAXIFS(Sets!$H$2:$H$2000,Sets!$A$2:$A$2000,$A74,Sets!$D$2:$D$2000,AK$1,Sets!$J$2:$J$2000,"N"))</f>
        <v/>
      </c>
      <c r="AL74">
        <f>IF(_xlfn.MAXIFS(Sets!$H$2:$H$2000,Sets!$A$2:$A$2000,$A74,Sets!$D$2:$D$2000,AL$1,Sets!$J$2:$J$2000,"N")=0,"",_xlfn.MAXIFS(Sets!$H$2:$H$2000,Sets!$A$2:$A$2000,$A74,Sets!$D$2:$D$2000,AL$1,Sets!$J$2:$J$2000,"N"))</f>
        <v/>
      </c>
      <c r="AM74">
        <f>IF(_xlfn.MAXIFS(Sets!$H$2:$H$2000,Sets!$A$2:$A$2000,$A74,Sets!$D$2:$D$2000,AM$1,Sets!$J$2:$J$2000,"N")=0,"",_xlfn.MAXIFS(Sets!$H$2:$H$2000,Sets!$A$2:$A$2000,$A74,Sets!$D$2:$D$2000,AM$1,Sets!$J$2:$J$2000,"N"))</f>
        <v/>
      </c>
      <c r="AN74">
        <f>IF(_xlfn.MAXIFS(Sets!$H$2:$H$2000,Sets!$A$2:$A$2000,$A74,Sets!$D$2:$D$2000,AN$1,Sets!$J$2:$J$2000,"N")=0,"",_xlfn.MAXIFS(Sets!$H$2:$H$2000,Sets!$A$2:$A$2000,$A74,Sets!$D$2:$D$2000,AN$1,Sets!$J$2:$J$2000,"N"))</f>
        <v/>
      </c>
      <c r="AO74">
        <f>IF(_xlfn.MAXIFS(Sets!$H$2:$H$2000,Sets!$A$2:$A$2000,$A74,Sets!$D$2:$D$2000,AO$1,Sets!$J$2:$J$2000,"N")=0,"",_xlfn.MAXIFS(Sets!$H$2:$H$2000,Sets!$A$2:$A$2000,$A74,Sets!$D$2:$D$2000,AO$1,Sets!$J$2:$J$2000,"N"))</f>
        <v/>
      </c>
      <c r="AP74">
        <f>IF(_xlfn.MAXIFS(Sets!$H$2:$H$2000,Sets!$A$2:$A$2000,$A74,Sets!$D$2:$D$2000,AP$1,Sets!$J$2:$J$2000,"N")=0,"",_xlfn.MAXIFS(Sets!$H$2:$H$2000,Sets!$A$2:$A$2000,$A74,Sets!$D$2:$D$2000,AP$1,Sets!$J$2:$J$2000,"N"))</f>
        <v/>
      </c>
    </row>
    <row r="75">
      <c r="A75" s="36" t="n">
        <v>46287</v>
      </c>
      <c r="B75">
        <f>IF(_xlfn.MAXIFS(Sets!$H$2:$H$2000,Sets!$A$2:$A$2000,$A75,Sets!$D$2:$D$2000,B$1,Sets!$J$2:$J$2000,"N")=0,"",_xlfn.MAXIFS(Sets!$H$2:$H$2000,Sets!$A$2:$A$2000,$A75,Sets!$D$2:$D$2000,B$1,Sets!$J$2:$J$2000,"N"))</f>
        <v/>
      </c>
      <c r="C75">
        <f>IF(_xlfn.MAXIFS(Sets!$H$2:$H$2000,Sets!$A$2:$A$2000,$A75,Sets!$D$2:$D$2000,C$1,Sets!$J$2:$J$2000,"N")=0,"",_xlfn.MAXIFS(Sets!$H$2:$H$2000,Sets!$A$2:$A$2000,$A75,Sets!$D$2:$D$2000,C$1,Sets!$J$2:$J$2000,"N"))</f>
        <v/>
      </c>
      <c r="D75">
        <f>IF(_xlfn.MAXIFS(Sets!$H$2:$H$2000,Sets!$A$2:$A$2000,$A75,Sets!$D$2:$D$2000,D$1,Sets!$J$2:$J$2000,"N")=0,"",_xlfn.MAXIFS(Sets!$H$2:$H$2000,Sets!$A$2:$A$2000,$A75,Sets!$D$2:$D$2000,D$1,Sets!$J$2:$J$2000,"N"))</f>
        <v/>
      </c>
      <c r="E75">
        <f>IF(_xlfn.MAXIFS(Sets!$H$2:$H$2000,Sets!$A$2:$A$2000,$A75,Sets!$D$2:$D$2000,E$1,Sets!$J$2:$J$2000,"N")=0,"",_xlfn.MAXIFS(Sets!$H$2:$H$2000,Sets!$A$2:$A$2000,$A75,Sets!$D$2:$D$2000,E$1,Sets!$J$2:$J$2000,"N"))</f>
        <v/>
      </c>
      <c r="F75">
        <f>IF(_xlfn.MAXIFS(Sets!$H$2:$H$2000,Sets!$A$2:$A$2000,$A75,Sets!$D$2:$D$2000,F$1,Sets!$J$2:$J$2000,"N")=0,"",_xlfn.MAXIFS(Sets!$H$2:$H$2000,Sets!$A$2:$A$2000,$A75,Sets!$D$2:$D$2000,F$1,Sets!$J$2:$J$2000,"N"))</f>
        <v/>
      </c>
      <c r="G75">
        <f>IF(_xlfn.MAXIFS(Sets!$H$2:$H$2000,Sets!$A$2:$A$2000,$A75,Sets!$D$2:$D$2000,G$1,Sets!$J$2:$J$2000,"N")=0,"",_xlfn.MAXIFS(Sets!$H$2:$H$2000,Sets!$A$2:$A$2000,$A75,Sets!$D$2:$D$2000,G$1,Sets!$J$2:$J$2000,"N"))</f>
        <v/>
      </c>
      <c r="H75">
        <f>IF(_xlfn.MAXIFS(Sets!$H$2:$H$2000,Sets!$A$2:$A$2000,$A75,Sets!$D$2:$D$2000,H$1,Sets!$J$2:$J$2000,"N")=0,"",_xlfn.MAXIFS(Sets!$H$2:$H$2000,Sets!$A$2:$A$2000,$A75,Sets!$D$2:$D$2000,H$1,Sets!$J$2:$J$2000,"N"))</f>
        <v/>
      </c>
      <c r="I75">
        <f>IF(_xlfn.MAXIFS(Sets!$H$2:$H$2000,Sets!$A$2:$A$2000,$A75,Sets!$D$2:$D$2000,I$1,Sets!$J$2:$J$2000,"N")=0,"",_xlfn.MAXIFS(Sets!$H$2:$H$2000,Sets!$A$2:$A$2000,$A75,Sets!$D$2:$D$2000,I$1,Sets!$J$2:$J$2000,"N"))</f>
        <v/>
      </c>
      <c r="J75">
        <f>IF(_xlfn.MAXIFS(Sets!$H$2:$H$2000,Sets!$A$2:$A$2000,$A75,Sets!$D$2:$D$2000,J$1,Sets!$J$2:$J$2000,"N")=0,"",_xlfn.MAXIFS(Sets!$H$2:$H$2000,Sets!$A$2:$A$2000,$A75,Sets!$D$2:$D$2000,J$1,Sets!$J$2:$J$2000,"N"))</f>
        <v/>
      </c>
      <c r="K75">
        <f>IF(_xlfn.MAXIFS(Sets!$H$2:$H$2000,Sets!$A$2:$A$2000,$A75,Sets!$D$2:$D$2000,K$1,Sets!$J$2:$J$2000,"N")=0,"",_xlfn.MAXIFS(Sets!$H$2:$H$2000,Sets!$A$2:$A$2000,$A75,Sets!$D$2:$D$2000,K$1,Sets!$J$2:$J$2000,"N"))</f>
        <v/>
      </c>
      <c r="L75">
        <f>IF(_xlfn.MAXIFS(Sets!$H$2:$H$2000,Sets!$A$2:$A$2000,$A75,Sets!$D$2:$D$2000,L$1,Sets!$J$2:$J$2000,"N")=0,"",_xlfn.MAXIFS(Sets!$H$2:$H$2000,Sets!$A$2:$A$2000,$A75,Sets!$D$2:$D$2000,L$1,Sets!$J$2:$J$2000,"N"))</f>
        <v/>
      </c>
      <c r="M75">
        <f>IF(_xlfn.MAXIFS(Sets!$H$2:$H$2000,Sets!$A$2:$A$2000,$A75,Sets!$D$2:$D$2000,M$1,Sets!$J$2:$J$2000,"N")=0,"",_xlfn.MAXIFS(Sets!$H$2:$H$2000,Sets!$A$2:$A$2000,$A75,Sets!$D$2:$D$2000,M$1,Sets!$J$2:$J$2000,"N"))</f>
        <v/>
      </c>
      <c r="N75">
        <f>IF(_xlfn.MAXIFS(Sets!$H$2:$H$2000,Sets!$A$2:$A$2000,$A75,Sets!$D$2:$D$2000,N$1,Sets!$J$2:$J$2000,"N")=0,"",_xlfn.MAXIFS(Sets!$H$2:$H$2000,Sets!$A$2:$A$2000,$A75,Sets!$D$2:$D$2000,N$1,Sets!$J$2:$J$2000,"N"))</f>
        <v/>
      </c>
      <c r="O75">
        <f>IF(_xlfn.MAXIFS(Sets!$H$2:$H$2000,Sets!$A$2:$A$2000,$A75,Sets!$D$2:$D$2000,O$1,Sets!$J$2:$J$2000,"N")=0,"",_xlfn.MAXIFS(Sets!$H$2:$H$2000,Sets!$A$2:$A$2000,$A75,Sets!$D$2:$D$2000,O$1,Sets!$J$2:$J$2000,"N"))</f>
        <v/>
      </c>
      <c r="P75">
        <f>IF(_xlfn.MAXIFS(Sets!$H$2:$H$2000,Sets!$A$2:$A$2000,$A75,Sets!$D$2:$D$2000,P$1,Sets!$J$2:$J$2000,"N")=0,"",_xlfn.MAXIFS(Sets!$H$2:$H$2000,Sets!$A$2:$A$2000,$A75,Sets!$D$2:$D$2000,P$1,Sets!$J$2:$J$2000,"N"))</f>
        <v/>
      </c>
      <c r="Q75">
        <f>IF(_xlfn.MAXIFS(Sets!$H$2:$H$2000,Sets!$A$2:$A$2000,$A75,Sets!$D$2:$D$2000,Q$1,Sets!$J$2:$J$2000,"N")=0,"",_xlfn.MAXIFS(Sets!$H$2:$H$2000,Sets!$A$2:$A$2000,$A75,Sets!$D$2:$D$2000,Q$1,Sets!$J$2:$J$2000,"N"))</f>
        <v/>
      </c>
      <c r="R75">
        <f>IF(_xlfn.MAXIFS(Sets!$H$2:$H$2000,Sets!$A$2:$A$2000,$A75,Sets!$D$2:$D$2000,R$1,Sets!$J$2:$J$2000,"N")=0,"",_xlfn.MAXIFS(Sets!$H$2:$H$2000,Sets!$A$2:$A$2000,$A75,Sets!$D$2:$D$2000,R$1,Sets!$J$2:$J$2000,"N"))</f>
        <v/>
      </c>
      <c r="S75">
        <f>IF(_xlfn.MAXIFS(Sets!$H$2:$H$2000,Sets!$A$2:$A$2000,$A75,Sets!$D$2:$D$2000,S$1,Sets!$J$2:$J$2000,"N")=0,"",_xlfn.MAXIFS(Sets!$H$2:$H$2000,Sets!$A$2:$A$2000,$A75,Sets!$D$2:$D$2000,S$1,Sets!$J$2:$J$2000,"N"))</f>
        <v/>
      </c>
      <c r="T75">
        <f>IF(_xlfn.MAXIFS(Sets!$H$2:$H$2000,Sets!$A$2:$A$2000,$A75,Sets!$D$2:$D$2000,T$1,Sets!$J$2:$J$2000,"N")=0,"",_xlfn.MAXIFS(Sets!$H$2:$H$2000,Sets!$A$2:$A$2000,$A75,Sets!$D$2:$D$2000,T$1,Sets!$J$2:$J$2000,"N"))</f>
        <v/>
      </c>
      <c r="U75">
        <f>IF(_xlfn.MAXIFS(Sets!$H$2:$H$2000,Sets!$A$2:$A$2000,$A75,Sets!$D$2:$D$2000,U$1,Sets!$J$2:$J$2000,"N")=0,"",_xlfn.MAXIFS(Sets!$H$2:$H$2000,Sets!$A$2:$A$2000,$A75,Sets!$D$2:$D$2000,U$1,Sets!$J$2:$J$2000,"N"))</f>
        <v/>
      </c>
      <c r="V75">
        <f>IF(_xlfn.MAXIFS(Sets!$H$2:$H$2000,Sets!$A$2:$A$2000,$A75,Sets!$D$2:$D$2000,V$1,Sets!$J$2:$J$2000,"N")=0,"",_xlfn.MAXIFS(Sets!$H$2:$H$2000,Sets!$A$2:$A$2000,$A75,Sets!$D$2:$D$2000,V$1,Sets!$J$2:$J$2000,"N"))</f>
        <v/>
      </c>
      <c r="W75">
        <f>IF(_xlfn.MAXIFS(Sets!$H$2:$H$2000,Sets!$A$2:$A$2000,$A75,Sets!$D$2:$D$2000,W$1,Sets!$J$2:$J$2000,"N")=0,"",_xlfn.MAXIFS(Sets!$H$2:$H$2000,Sets!$A$2:$A$2000,$A75,Sets!$D$2:$D$2000,W$1,Sets!$J$2:$J$2000,"N"))</f>
        <v/>
      </c>
      <c r="X75">
        <f>IF(_xlfn.MAXIFS(Sets!$H$2:$H$2000,Sets!$A$2:$A$2000,$A75,Sets!$D$2:$D$2000,X$1,Sets!$J$2:$J$2000,"N")=0,"",_xlfn.MAXIFS(Sets!$H$2:$H$2000,Sets!$A$2:$A$2000,$A75,Sets!$D$2:$D$2000,X$1,Sets!$J$2:$J$2000,"N"))</f>
        <v/>
      </c>
      <c r="Y75">
        <f>IF(_xlfn.MAXIFS(Sets!$H$2:$H$2000,Sets!$A$2:$A$2000,$A75,Sets!$D$2:$D$2000,Y$1,Sets!$J$2:$J$2000,"N")=0,"",_xlfn.MAXIFS(Sets!$H$2:$H$2000,Sets!$A$2:$A$2000,$A75,Sets!$D$2:$D$2000,Y$1,Sets!$J$2:$J$2000,"N"))</f>
        <v/>
      </c>
      <c r="Z75">
        <f>IF(_xlfn.MAXIFS(Sets!$H$2:$H$2000,Sets!$A$2:$A$2000,$A75,Sets!$D$2:$D$2000,Z$1,Sets!$J$2:$J$2000,"N")=0,"",_xlfn.MAXIFS(Sets!$H$2:$H$2000,Sets!$A$2:$A$2000,$A75,Sets!$D$2:$D$2000,Z$1,Sets!$J$2:$J$2000,"N"))</f>
        <v/>
      </c>
      <c r="AA75">
        <f>IF(_xlfn.MAXIFS(Sets!$H$2:$H$2000,Sets!$A$2:$A$2000,$A75,Sets!$D$2:$D$2000,AA$1,Sets!$J$2:$J$2000,"N")=0,"",_xlfn.MAXIFS(Sets!$H$2:$H$2000,Sets!$A$2:$A$2000,$A75,Sets!$D$2:$D$2000,AA$1,Sets!$J$2:$J$2000,"N"))</f>
        <v/>
      </c>
      <c r="AB75">
        <f>IF(_xlfn.MAXIFS(Sets!$H$2:$H$2000,Sets!$A$2:$A$2000,$A75,Sets!$D$2:$D$2000,AB$1,Sets!$J$2:$J$2000,"N")=0,"",_xlfn.MAXIFS(Sets!$H$2:$H$2000,Sets!$A$2:$A$2000,$A75,Sets!$D$2:$D$2000,AB$1,Sets!$J$2:$J$2000,"N"))</f>
        <v/>
      </c>
      <c r="AC75">
        <f>IF(_xlfn.MAXIFS(Sets!$H$2:$H$2000,Sets!$A$2:$A$2000,$A75,Sets!$D$2:$D$2000,AC$1,Sets!$J$2:$J$2000,"N")=0,"",_xlfn.MAXIFS(Sets!$H$2:$H$2000,Sets!$A$2:$A$2000,$A75,Sets!$D$2:$D$2000,AC$1,Sets!$J$2:$J$2000,"N"))</f>
        <v/>
      </c>
      <c r="AD75">
        <f>IF(_xlfn.MAXIFS(Sets!$H$2:$H$2000,Sets!$A$2:$A$2000,$A75,Sets!$D$2:$D$2000,AD$1,Sets!$J$2:$J$2000,"N")=0,"",_xlfn.MAXIFS(Sets!$H$2:$H$2000,Sets!$A$2:$A$2000,$A75,Sets!$D$2:$D$2000,AD$1,Sets!$J$2:$J$2000,"N"))</f>
        <v/>
      </c>
      <c r="AE75">
        <f>IF(_xlfn.MAXIFS(Sets!$H$2:$H$2000,Sets!$A$2:$A$2000,$A75,Sets!$D$2:$D$2000,AE$1,Sets!$J$2:$J$2000,"N")=0,"",_xlfn.MAXIFS(Sets!$H$2:$H$2000,Sets!$A$2:$A$2000,$A75,Sets!$D$2:$D$2000,AE$1,Sets!$J$2:$J$2000,"N"))</f>
        <v/>
      </c>
      <c r="AF75">
        <f>IF(_xlfn.MAXIFS(Sets!$H$2:$H$2000,Sets!$A$2:$A$2000,$A75,Sets!$D$2:$D$2000,AF$1,Sets!$J$2:$J$2000,"N")=0,"",_xlfn.MAXIFS(Sets!$H$2:$H$2000,Sets!$A$2:$A$2000,$A75,Sets!$D$2:$D$2000,AF$1,Sets!$J$2:$J$2000,"N"))</f>
        <v/>
      </c>
      <c r="AG75">
        <f>IF(_xlfn.MAXIFS(Sets!$H$2:$H$2000,Sets!$A$2:$A$2000,$A75,Sets!$D$2:$D$2000,AG$1,Sets!$J$2:$J$2000,"N")=0,"",_xlfn.MAXIFS(Sets!$H$2:$H$2000,Sets!$A$2:$A$2000,$A75,Sets!$D$2:$D$2000,AG$1,Sets!$J$2:$J$2000,"N"))</f>
        <v/>
      </c>
      <c r="AH75">
        <f>IF(_xlfn.MAXIFS(Sets!$H$2:$H$2000,Sets!$A$2:$A$2000,$A75,Sets!$D$2:$D$2000,AH$1,Sets!$J$2:$J$2000,"N")=0,"",_xlfn.MAXIFS(Sets!$H$2:$H$2000,Sets!$A$2:$A$2000,$A75,Sets!$D$2:$D$2000,AH$1,Sets!$J$2:$J$2000,"N"))</f>
        <v/>
      </c>
      <c r="AI75">
        <f>IF(_xlfn.MAXIFS(Sets!$H$2:$H$2000,Sets!$A$2:$A$2000,$A75,Sets!$D$2:$D$2000,AI$1,Sets!$J$2:$J$2000,"N")=0,"",_xlfn.MAXIFS(Sets!$H$2:$H$2000,Sets!$A$2:$A$2000,$A75,Sets!$D$2:$D$2000,AI$1,Sets!$J$2:$J$2000,"N"))</f>
        <v/>
      </c>
      <c r="AJ75">
        <f>IF(_xlfn.MAXIFS(Sets!$H$2:$H$2000,Sets!$A$2:$A$2000,$A75,Sets!$D$2:$D$2000,AJ$1,Sets!$J$2:$J$2000,"N")=0,"",_xlfn.MAXIFS(Sets!$H$2:$H$2000,Sets!$A$2:$A$2000,$A75,Sets!$D$2:$D$2000,AJ$1,Sets!$J$2:$J$2000,"N"))</f>
        <v/>
      </c>
      <c r="AK75">
        <f>IF(_xlfn.MAXIFS(Sets!$H$2:$H$2000,Sets!$A$2:$A$2000,$A75,Sets!$D$2:$D$2000,AK$1,Sets!$J$2:$J$2000,"N")=0,"",_xlfn.MAXIFS(Sets!$H$2:$H$2000,Sets!$A$2:$A$2000,$A75,Sets!$D$2:$D$2000,AK$1,Sets!$J$2:$J$2000,"N"))</f>
        <v/>
      </c>
      <c r="AL75">
        <f>IF(_xlfn.MAXIFS(Sets!$H$2:$H$2000,Sets!$A$2:$A$2000,$A75,Sets!$D$2:$D$2000,AL$1,Sets!$J$2:$J$2000,"N")=0,"",_xlfn.MAXIFS(Sets!$H$2:$H$2000,Sets!$A$2:$A$2000,$A75,Sets!$D$2:$D$2000,AL$1,Sets!$J$2:$J$2000,"N"))</f>
        <v/>
      </c>
      <c r="AM75">
        <f>IF(_xlfn.MAXIFS(Sets!$H$2:$H$2000,Sets!$A$2:$A$2000,$A75,Sets!$D$2:$D$2000,AM$1,Sets!$J$2:$J$2000,"N")=0,"",_xlfn.MAXIFS(Sets!$H$2:$H$2000,Sets!$A$2:$A$2000,$A75,Sets!$D$2:$D$2000,AM$1,Sets!$J$2:$J$2000,"N"))</f>
        <v/>
      </c>
      <c r="AN75">
        <f>IF(_xlfn.MAXIFS(Sets!$H$2:$H$2000,Sets!$A$2:$A$2000,$A75,Sets!$D$2:$D$2000,AN$1,Sets!$J$2:$J$2000,"N")=0,"",_xlfn.MAXIFS(Sets!$H$2:$H$2000,Sets!$A$2:$A$2000,$A75,Sets!$D$2:$D$2000,AN$1,Sets!$J$2:$J$2000,"N"))</f>
        <v/>
      </c>
      <c r="AO75">
        <f>IF(_xlfn.MAXIFS(Sets!$H$2:$H$2000,Sets!$A$2:$A$2000,$A75,Sets!$D$2:$D$2000,AO$1,Sets!$J$2:$J$2000,"N")=0,"",_xlfn.MAXIFS(Sets!$H$2:$H$2000,Sets!$A$2:$A$2000,$A75,Sets!$D$2:$D$2000,AO$1,Sets!$J$2:$J$2000,"N"))</f>
        <v/>
      </c>
      <c r="AP75">
        <f>IF(_xlfn.MAXIFS(Sets!$H$2:$H$2000,Sets!$A$2:$A$2000,$A75,Sets!$D$2:$D$2000,AP$1,Sets!$J$2:$J$2000,"N")=0,"",_xlfn.MAXIFS(Sets!$H$2:$H$2000,Sets!$A$2:$A$2000,$A75,Sets!$D$2:$D$2000,AP$1,Sets!$J$2:$J$2000,"N"))</f>
        <v/>
      </c>
    </row>
    <row r="76">
      <c r="A76" s="36" t="n">
        <v>46290</v>
      </c>
      <c r="B76">
        <f>IF(_xlfn.MAXIFS(Sets!$H$2:$H$2000,Sets!$A$2:$A$2000,$A76,Sets!$D$2:$D$2000,B$1,Sets!$J$2:$J$2000,"N")=0,"",_xlfn.MAXIFS(Sets!$H$2:$H$2000,Sets!$A$2:$A$2000,$A76,Sets!$D$2:$D$2000,B$1,Sets!$J$2:$J$2000,"N"))</f>
        <v/>
      </c>
      <c r="C76">
        <f>IF(_xlfn.MAXIFS(Sets!$H$2:$H$2000,Sets!$A$2:$A$2000,$A76,Sets!$D$2:$D$2000,C$1,Sets!$J$2:$J$2000,"N")=0,"",_xlfn.MAXIFS(Sets!$H$2:$H$2000,Sets!$A$2:$A$2000,$A76,Sets!$D$2:$D$2000,C$1,Sets!$J$2:$J$2000,"N"))</f>
        <v/>
      </c>
      <c r="D76">
        <f>IF(_xlfn.MAXIFS(Sets!$H$2:$H$2000,Sets!$A$2:$A$2000,$A76,Sets!$D$2:$D$2000,D$1,Sets!$J$2:$J$2000,"N")=0,"",_xlfn.MAXIFS(Sets!$H$2:$H$2000,Sets!$A$2:$A$2000,$A76,Sets!$D$2:$D$2000,D$1,Sets!$J$2:$J$2000,"N"))</f>
        <v/>
      </c>
      <c r="E76">
        <f>IF(_xlfn.MAXIFS(Sets!$H$2:$H$2000,Sets!$A$2:$A$2000,$A76,Sets!$D$2:$D$2000,E$1,Sets!$J$2:$J$2000,"N")=0,"",_xlfn.MAXIFS(Sets!$H$2:$H$2000,Sets!$A$2:$A$2000,$A76,Sets!$D$2:$D$2000,E$1,Sets!$J$2:$J$2000,"N"))</f>
        <v/>
      </c>
      <c r="F76">
        <f>IF(_xlfn.MAXIFS(Sets!$H$2:$H$2000,Sets!$A$2:$A$2000,$A76,Sets!$D$2:$D$2000,F$1,Sets!$J$2:$J$2000,"N")=0,"",_xlfn.MAXIFS(Sets!$H$2:$H$2000,Sets!$A$2:$A$2000,$A76,Sets!$D$2:$D$2000,F$1,Sets!$J$2:$J$2000,"N"))</f>
        <v/>
      </c>
      <c r="G76">
        <f>IF(_xlfn.MAXIFS(Sets!$H$2:$H$2000,Sets!$A$2:$A$2000,$A76,Sets!$D$2:$D$2000,G$1,Sets!$J$2:$J$2000,"N")=0,"",_xlfn.MAXIFS(Sets!$H$2:$H$2000,Sets!$A$2:$A$2000,$A76,Sets!$D$2:$D$2000,G$1,Sets!$J$2:$J$2000,"N"))</f>
        <v/>
      </c>
      <c r="H76">
        <f>IF(_xlfn.MAXIFS(Sets!$H$2:$H$2000,Sets!$A$2:$A$2000,$A76,Sets!$D$2:$D$2000,H$1,Sets!$J$2:$J$2000,"N")=0,"",_xlfn.MAXIFS(Sets!$H$2:$H$2000,Sets!$A$2:$A$2000,$A76,Sets!$D$2:$D$2000,H$1,Sets!$J$2:$J$2000,"N"))</f>
        <v/>
      </c>
      <c r="I76">
        <f>IF(_xlfn.MAXIFS(Sets!$H$2:$H$2000,Sets!$A$2:$A$2000,$A76,Sets!$D$2:$D$2000,I$1,Sets!$J$2:$J$2000,"N")=0,"",_xlfn.MAXIFS(Sets!$H$2:$H$2000,Sets!$A$2:$A$2000,$A76,Sets!$D$2:$D$2000,I$1,Sets!$J$2:$J$2000,"N"))</f>
        <v/>
      </c>
      <c r="J76">
        <f>IF(_xlfn.MAXIFS(Sets!$H$2:$H$2000,Sets!$A$2:$A$2000,$A76,Sets!$D$2:$D$2000,J$1,Sets!$J$2:$J$2000,"N")=0,"",_xlfn.MAXIFS(Sets!$H$2:$H$2000,Sets!$A$2:$A$2000,$A76,Sets!$D$2:$D$2000,J$1,Sets!$J$2:$J$2000,"N"))</f>
        <v/>
      </c>
      <c r="K76">
        <f>IF(_xlfn.MAXIFS(Sets!$H$2:$H$2000,Sets!$A$2:$A$2000,$A76,Sets!$D$2:$D$2000,K$1,Sets!$J$2:$J$2000,"N")=0,"",_xlfn.MAXIFS(Sets!$H$2:$H$2000,Sets!$A$2:$A$2000,$A76,Sets!$D$2:$D$2000,K$1,Sets!$J$2:$J$2000,"N"))</f>
        <v/>
      </c>
      <c r="L76">
        <f>IF(_xlfn.MAXIFS(Sets!$H$2:$H$2000,Sets!$A$2:$A$2000,$A76,Sets!$D$2:$D$2000,L$1,Sets!$J$2:$J$2000,"N")=0,"",_xlfn.MAXIFS(Sets!$H$2:$H$2000,Sets!$A$2:$A$2000,$A76,Sets!$D$2:$D$2000,L$1,Sets!$J$2:$J$2000,"N"))</f>
        <v/>
      </c>
      <c r="M76">
        <f>IF(_xlfn.MAXIFS(Sets!$H$2:$H$2000,Sets!$A$2:$A$2000,$A76,Sets!$D$2:$D$2000,M$1,Sets!$J$2:$J$2000,"N")=0,"",_xlfn.MAXIFS(Sets!$H$2:$H$2000,Sets!$A$2:$A$2000,$A76,Sets!$D$2:$D$2000,M$1,Sets!$J$2:$J$2000,"N"))</f>
        <v/>
      </c>
      <c r="N76">
        <f>IF(_xlfn.MAXIFS(Sets!$H$2:$H$2000,Sets!$A$2:$A$2000,$A76,Sets!$D$2:$D$2000,N$1,Sets!$J$2:$J$2000,"N")=0,"",_xlfn.MAXIFS(Sets!$H$2:$H$2000,Sets!$A$2:$A$2000,$A76,Sets!$D$2:$D$2000,N$1,Sets!$J$2:$J$2000,"N"))</f>
        <v/>
      </c>
      <c r="O76">
        <f>IF(_xlfn.MAXIFS(Sets!$H$2:$H$2000,Sets!$A$2:$A$2000,$A76,Sets!$D$2:$D$2000,O$1,Sets!$J$2:$J$2000,"N")=0,"",_xlfn.MAXIFS(Sets!$H$2:$H$2000,Sets!$A$2:$A$2000,$A76,Sets!$D$2:$D$2000,O$1,Sets!$J$2:$J$2000,"N"))</f>
        <v/>
      </c>
      <c r="P76">
        <f>IF(_xlfn.MAXIFS(Sets!$H$2:$H$2000,Sets!$A$2:$A$2000,$A76,Sets!$D$2:$D$2000,P$1,Sets!$J$2:$J$2000,"N")=0,"",_xlfn.MAXIFS(Sets!$H$2:$H$2000,Sets!$A$2:$A$2000,$A76,Sets!$D$2:$D$2000,P$1,Sets!$J$2:$J$2000,"N"))</f>
        <v/>
      </c>
      <c r="Q76">
        <f>IF(_xlfn.MAXIFS(Sets!$H$2:$H$2000,Sets!$A$2:$A$2000,$A76,Sets!$D$2:$D$2000,Q$1,Sets!$J$2:$J$2000,"N")=0,"",_xlfn.MAXIFS(Sets!$H$2:$H$2000,Sets!$A$2:$A$2000,$A76,Sets!$D$2:$D$2000,Q$1,Sets!$J$2:$J$2000,"N"))</f>
        <v/>
      </c>
      <c r="R76">
        <f>IF(_xlfn.MAXIFS(Sets!$H$2:$H$2000,Sets!$A$2:$A$2000,$A76,Sets!$D$2:$D$2000,R$1,Sets!$J$2:$J$2000,"N")=0,"",_xlfn.MAXIFS(Sets!$H$2:$H$2000,Sets!$A$2:$A$2000,$A76,Sets!$D$2:$D$2000,R$1,Sets!$J$2:$J$2000,"N"))</f>
        <v/>
      </c>
      <c r="S76">
        <f>IF(_xlfn.MAXIFS(Sets!$H$2:$H$2000,Sets!$A$2:$A$2000,$A76,Sets!$D$2:$D$2000,S$1,Sets!$J$2:$J$2000,"N")=0,"",_xlfn.MAXIFS(Sets!$H$2:$H$2000,Sets!$A$2:$A$2000,$A76,Sets!$D$2:$D$2000,S$1,Sets!$J$2:$J$2000,"N"))</f>
        <v/>
      </c>
      <c r="T76">
        <f>IF(_xlfn.MAXIFS(Sets!$H$2:$H$2000,Sets!$A$2:$A$2000,$A76,Sets!$D$2:$D$2000,T$1,Sets!$J$2:$J$2000,"N")=0,"",_xlfn.MAXIFS(Sets!$H$2:$H$2000,Sets!$A$2:$A$2000,$A76,Sets!$D$2:$D$2000,T$1,Sets!$J$2:$J$2000,"N"))</f>
        <v/>
      </c>
      <c r="U76">
        <f>IF(_xlfn.MAXIFS(Sets!$H$2:$H$2000,Sets!$A$2:$A$2000,$A76,Sets!$D$2:$D$2000,U$1,Sets!$J$2:$J$2000,"N")=0,"",_xlfn.MAXIFS(Sets!$H$2:$H$2000,Sets!$A$2:$A$2000,$A76,Sets!$D$2:$D$2000,U$1,Sets!$J$2:$J$2000,"N"))</f>
        <v/>
      </c>
      <c r="V76">
        <f>IF(_xlfn.MAXIFS(Sets!$H$2:$H$2000,Sets!$A$2:$A$2000,$A76,Sets!$D$2:$D$2000,V$1,Sets!$J$2:$J$2000,"N")=0,"",_xlfn.MAXIFS(Sets!$H$2:$H$2000,Sets!$A$2:$A$2000,$A76,Sets!$D$2:$D$2000,V$1,Sets!$J$2:$J$2000,"N"))</f>
        <v/>
      </c>
      <c r="W76">
        <f>IF(_xlfn.MAXIFS(Sets!$H$2:$H$2000,Sets!$A$2:$A$2000,$A76,Sets!$D$2:$D$2000,W$1,Sets!$J$2:$J$2000,"N")=0,"",_xlfn.MAXIFS(Sets!$H$2:$H$2000,Sets!$A$2:$A$2000,$A76,Sets!$D$2:$D$2000,W$1,Sets!$J$2:$J$2000,"N"))</f>
        <v/>
      </c>
      <c r="X76">
        <f>IF(_xlfn.MAXIFS(Sets!$H$2:$H$2000,Sets!$A$2:$A$2000,$A76,Sets!$D$2:$D$2000,X$1,Sets!$J$2:$J$2000,"N")=0,"",_xlfn.MAXIFS(Sets!$H$2:$H$2000,Sets!$A$2:$A$2000,$A76,Sets!$D$2:$D$2000,X$1,Sets!$J$2:$J$2000,"N"))</f>
        <v/>
      </c>
      <c r="Y76">
        <f>IF(_xlfn.MAXIFS(Sets!$H$2:$H$2000,Sets!$A$2:$A$2000,$A76,Sets!$D$2:$D$2000,Y$1,Sets!$J$2:$J$2000,"N")=0,"",_xlfn.MAXIFS(Sets!$H$2:$H$2000,Sets!$A$2:$A$2000,$A76,Sets!$D$2:$D$2000,Y$1,Sets!$J$2:$J$2000,"N"))</f>
        <v/>
      </c>
      <c r="Z76">
        <f>IF(_xlfn.MAXIFS(Sets!$H$2:$H$2000,Sets!$A$2:$A$2000,$A76,Sets!$D$2:$D$2000,Z$1,Sets!$J$2:$J$2000,"N")=0,"",_xlfn.MAXIFS(Sets!$H$2:$H$2000,Sets!$A$2:$A$2000,$A76,Sets!$D$2:$D$2000,Z$1,Sets!$J$2:$J$2000,"N"))</f>
        <v/>
      </c>
      <c r="AA76">
        <f>IF(_xlfn.MAXIFS(Sets!$H$2:$H$2000,Sets!$A$2:$A$2000,$A76,Sets!$D$2:$D$2000,AA$1,Sets!$J$2:$J$2000,"N")=0,"",_xlfn.MAXIFS(Sets!$H$2:$H$2000,Sets!$A$2:$A$2000,$A76,Sets!$D$2:$D$2000,AA$1,Sets!$J$2:$J$2000,"N"))</f>
        <v/>
      </c>
      <c r="AB76">
        <f>IF(_xlfn.MAXIFS(Sets!$H$2:$H$2000,Sets!$A$2:$A$2000,$A76,Sets!$D$2:$D$2000,AB$1,Sets!$J$2:$J$2000,"N")=0,"",_xlfn.MAXIFS(Sets!$H$2:$H$2000,Sets!$A$2:$A$2000,$A76,Sets!$D$2:$D$2000,AB$1,Sets!$J$2:$J$2000,"N"))</f>
        <v/>
      </c>
      <c r="AC76">
        <f>IF(_xlfn.MAXIFS(Sets!$H$2:$H$2000,Sets!$A$2:$A$2000,$A76,Sets!$D$2:$D$2000,AC$1,Sets!$J$2:$J$2000,"N")=0,"",_xlfn.MAXIFS(Sets!$H$2:$H$2000,Sets!$A$2:$A$2000,$A76,Sets!$D$2:$D$2000,AC$1,Sets!$J$2:$J$2000,"N"))</f>
        <v/>
      </c>
      <c r="AD76">
        <f>IF(_xlfn.MAXIFS(Sets!$H$2:$H$2000,Sets!$A$2:$A$2000,$A76,Sets!$D$2:$D$2000,AD$1,Sets!$J$2:$J$2000,"N")=0,"",_xlfn.MAXIFS(Sets!$H$2:$H$2000,Sets!$A$2:$A$2000,$A76,Sets!$D$2:$D$2000,AD$1,Sets!$J$2:$J$2000,"N"))</f>
        <v/>
      </c>
      <c r="AE76">
        <f>IF(_xlfn.MAXIFS(Sets!$H$2:$H$2000,Sets!$A$2:$A$2000,$A76,Sets!$D$2:$D$2000,AE$1,Sets!$J$2:$J$2000,"N")=0,"",_xlfn.MAXIFS(Sets!$H$2:$H$2000,Sets!$A$2:$A$2000,$A76,Sets!$D$2:$D$2000,AE$1,Sets!$J$2:$J$2000,"N"))</f>
        <v/>
      </c>
      <c r="AF76">
        <f>IF(_xlfn.MAXIFS(Sets!$H$2:$H$2000,Sets!$A$2:$A$2000,$A76,Sets!$D$2:$D$2000,AF$1,Sets!$J$2:$J$2000,"N")=0,"",_xlfn.MAXIFS(Sets!$H$2:$H$2000,Sets!$A$2:$A$2000,$A76,Sets!$D$2:$D$2000,AF$1,Sets!$J$2:$J$2000,"N"))</f>
        <v/>
      </c>
      <c r="AG76">
        <f>IF(_xlfn.MAXIFS(Sets!$H$2:$H$2000,Sets!$A$2:$A$2000,$A76,Sets!$D$2:$D$2000,AG$1,Sets!$J$2:$J$2000,"N")=0,"",_xlfn.MAXIFS(Sets!$H$2:$H$2000,Sets!$A$2:$A$2000,$A76,Sets!$D$2:$D$2000,AG$1,Sets!$J$2:$J$2000,"N"))</f>
        <v/>
      </c>
      <c r="AH76">
        <f>IF(_xlfn.MAXIFS(Sets!$H$2:$H$2000,Sets!$A$2:$A$2000,$A76,Sets!$D$2:$D$2000,AH$1,Sets!$J$2:$J$2000,"N")=0,"",_xlfn.MAXIFS(Sets!$H$2:$H$2000,Sets!$A$2:$A$2000,$A76,Sets!$D$2:$D$2000,AH$1,Sets!$J$2:$J$2000,"N"))</f>
        <v/>
      </c>
      <c r="AI76">
        <f>IF(_xlfn.MAXIFS(Sets!$H$2:$H$2000,Sets!$A$2:$A$2000,$A76,Sets!$D$2:$D$2000,AI$1,Sets!$J$2:$J$2000,"N")=0,"",_xlfn.MAXIFS(Sets!$H$2:$H$2000,Sets!$A$2:$A$2000,$A76,Sets!$D$2:$D$2000,AI$1,Sets!$J$2:$J$2000,"N"))</f>
        <v/>
      </c>
      <c r="AJ76">
        <f>IF(_xlfn.MAXIFS(Sets!$H$2:$H$2000,Sets!$A$2:$A$2000,$A76,Sets!$D$2:$D$2000,AJ$1,Sets!$J$2:$J$2000,"N")=0,"",_xlfn.MAXIFS(Sets!$H$2:$H$2000,Sets!$A$2:$A$2000,$A76,Sets!$D$2:$D$2000,AJ$1,Sets!$J$2:$J$2000,"N"))</f>
        <v/>
      </c>
      <c r="AK76">
        <f>IF(_xlfn.MAXIFS(Sets!$H$2:$H$2000,Sets!$A$2:$A$2000,$A76,Sets!$D$2:$D$2000,AK$1,Sets!$J$2:$J$2000,"N")=0,"",_xlfn.MAXIFS(Sets!$H$2:$H$2000,Sets!$A$2:$A$2000,$A76,Sets!$D$2:$D$2000,AK$1,Sets!$J$2:$J$2000,"N"))</f>
        <v/>
      </c>
      <c r="AL76">
        <f>IF(_xlfn.MAXIFS(Sets!$H$2:$H$2000,Sets!$A$2:$A$2000,$A76,Sets!$D$2:$D$2000,AL$1,Sets!$J$2:$J$2000,"N")=0,"",_xlfn.MAXIFS(Sets!$H$2:$H$2000,Sets!$A$2:$A$2000,$A76,Sets!$D$2:$D$2000,AL$1,Sets!$J$2:$J$2000,"N"))</f>
        <v/>
      </c>
      <c r="AM76">
        <f>IF(_xlfn.MAXIFS(Sets!$H$2:$H$2000,Sets!$A$2:$A$2000,$A76,Sets!$D$2:$D$2000,AM$1,Sets!$J$2:$J$2000,"N")=0,"",_xlfn.MAXIFS(Sets!$H$2:$H$2000,Sets!$A$2:$A$2000,$A76,Sets!$D$2:$D$2000,AM$1,Sets!$J$2:$J$2000,"N"))</f>
        <v/>
      </c>
      <c r="AN76">
        <f>IF(_xlfn.MAXIFS(Sets!$H$2:$H$2000,Sets!$A$2:$A$2000,$A76,Sets!$D$2:$D$2000,AN$1,Sets!$J$2:$J$2000,"N")=0,"",_xlfn.MAXIFS(Sets!$H$2:$H$2000,Sets!$A$2:$A$2000,$A76,Sets!$D$2:$D$2000,AN$1,Sets!$J$2:$J$2000,"N"))</f>
        <v/>
      </c>
      <c r="AO76">
        <f>IF(_xlfn.MAXIFS(Sets!$H$2:$H$2000,Sets!$A$2:$A$2000,$A76,Sets!$D$2:$D$2000,AO$1,Sets!$J$2:$J$2000,"N")=0,"",_xlfn.MAXIFS(Sets!$H$2:$H$2000,Sets!$A$2:$A$2000,$A76,Sets!$D$2:$D$2000,AO$1,Sets!$J$2:$J$2000,"N"))</f>
        <v/>
      </c>
      <c r="AP76">
        <f>IF(_xlfn.MAXIFS(Sets!$H$2:$H$2000,Sets!$A$2:$A$2000,$A76,Sets!$D$2:$D$2000,AP$1,Sets!$J$2:$J$2000,"N")=0,"",_xlfn.MAXIFS(Sets!$H$2:$H$2000,Sets!$A$2:$A$2000,$A76,Sets!$D$2:$D$2000,AP$1,Sets!$J$2:$J$2000,"N"))</f>
        <v/>
      </c>
    </row>
    <row r="77">
      <c r="A77" s="36" t="n">
        <v>46291</v>
      </c>
      <c r="B77">
        <f>IF(_xlfn.MAXIFS(Sets!$H$2:$H$2000,Sets!$A$2:$A$2000,$A77,Sets!$D$2:$D$2000,B$1,Sets!$J$2:$J$2000,"N")=0,"",_xlfn.MAXIFS(Sets!$H$2:$H$2000,Sets!$A$2:$A$2000,$A77,Sets!$D$2:$D$2000,B$1,Sets!$J$2:$J$2000,"N"))</f>
        <v/>
      </c>
      <c r="C77">
        <f>IF(_xlfn.MAXIFS(Sets!$H$2:$H$2000,Sets!$A$2:$A$2000,$A77,Sets!$D$2:$D$2000,C$1,Sets!$J$2:$J$2000,"N")=0,"",_xlfn.MAXIFS(Sets!$H$2:$H$2000,Sets!$A$2:$A$2000,$A77,Sets!$D$2:$D$2000,C$1,Sets!$J$2:$J$2000,"N"))</f>
        <v/>
      </c>
      <c r="D77">
        <f>IF(_xlfn.MAXIFS(Sets!$H$2:$H$2000,Sets!$A$2:$A$2000,$A77,Sets!$D$2:$D$2000,D$1,Sets!$J$2:$J$2000,"N")=0,"",_xlfn.MAXIFS(Sets!$H$2:$H$2000,Sets!$A$2:$A$2000,$A77,Sets!$D$2:$D$2000,D$1,Sets!$J$2:$J$2000,"N"))</f>
        <v/>
      </c>
      <c r="E77">
        <f>IF(_xlfn.MAXIFS(Sets!$H$2:$H$2000,Sets!$A$2:$A$2000,$A77,Sets!$D$2:$D$2000,E$1,Sets!$J$2:$J$2000,"N")=0,"",_xlfn.MAXIFS(Sets!$H$2:$H$2000,Sets!$A$2:$A$2000,$A77,Sets!$D$2:$D$2000,E$1,Sets!$J$2:$J$2000,"N"))</f>
        <v/>
      </c>
      <c r="F77">
        <f>IF(_xlfn.MAXIFS(Sets!$H$2:$H$2000,Sets!$A$2:$A$2000,$A77,Sets!$D$2:$D$2000,F$1,Sets!$J$2:$J$2000,"N")=0,"",_xlfn.MAXIFS(Sets!$H$2:$H$2000,Sets!$A$2:$A$2000,$A77,Sets!$D$2:$D$2000,F$1,Sets!$J$2:$J$2000,"N"))</f>
        <v/>
      </c>
      <c r="G77">
        <f>IF(_xlfn.MAXIFS(Sets!$H$2:$H$2000,Sets!$A$2:$A$2000,$A77,Sets!$D$2:$D$2000,G$1,Sets!$J$2:$J$2000,"N")=0,"",_xlfn.MAXIFS(Sets!$H$2:$H$2000,Sets!$A$2:$A$2000,$A77,Sets!$D$2:$D$2000,G$1,Sets!$J$2:$J$2000,"N"))</f>
        <v/>
      </c>
      <c r="H77">
        <f>IF(_xlfn.MAXIFS(Sets!$H$2:$H$2000,Sets!$A$2:$A$2000,$A77,Sets!$D$2:$D$2000,H$1,Sets!$J$2:$J$2000,"N")=0,"",_xlfn.MAXIFS(Sets!$H$2:$H$2000,Sets!$A$2:$A$2000,$A77,Sets!$D$2:$D$2000,H$1,Sets!$J$2:$J$2000,"N"))</f>
        <v/>
      </c>
      <c r="I77">
        <f>IF(_xlfn.MAXIFS(Sets!$H$2:$H$2000,Sets!$A$2:$A$2000,$A77,Sets!$D$2:$D$2000,I$1,Sets!$J$2:$J$2000,"N")=0,"",_xlfn.MAXIFS(Sets!$H$2:$H$2000,Sets!$A$2:$A$2000,$A77,Sets!$D$2:$D$2000,I$1,Sets!$J$2:$J$2000,"N"))</f>
        <v/>
      </c>
      <c r="J77">
        <f>IF(_xlfn.MAXIFS(Sets!$H$2:$H$2000,Sets!$A$2:$A$2000,$A77,Sets!$D$2:$D$2000,J$1,Sets!$J$2:$J$2000,"N")=0,"",_xlfn.MAXIFS(Sets!$H$2:$H$2000,Sets!$A$2:$A$2000,$A77,Sets!$D$2:$D$2000,J$1,Sets!$J$2:$J$2000,"N"))</f>
        <v/>
      </c>
      <c r="K77">
        <f>IF(_xlfn.MAXIFS(Sets!$H$2:$H$2000,Sets!$A$2:$A$2000,$A77,Sets!$D$2:$D$2000,K$1,Sets!$J$2:$J$2000,"N")=0,"",_xlfn.MAXIFS(Sets!$H$2:$H$2000,Sets!$A$2:$A$2000,$A77,Sets!$D$2:$D$2000,K$1,Sets!$J$2:$J$2000,"N"))</f>
        <v/>
      </c>
      <c r="L77">
        <f>IF(_xlfn.MAXIFS(Sets!$H$2:$H$2000,Sets!$A$2:$A$2000,$A77,Sets!$D$2:$D$2000,L$1,Sets!$J$2:$J$2000,"N")=0,"",_xlfn.MAXIFS(Sets!$H$2:$H$2000,Sets!$A$2:$A$2000,$A77,Sets!$D$2:$D$2000,L$1,Sets!$J$2:$J$2000,"N"))</f>
        <v/>
      </c>
      <c r="M77">
        <f>IF(_xlfn.MAXIFS(Sets!$H$2:$H$2000,Sets!$A$2:$A$2000,$A77,Sets!$D$2:$D$2000,M$1,Sets!$J$2:$J$2000,"N")=0,"",_xlfn.MAXIFS(Sets!$H$2:$H$2000,Sets!$A$2:$A$2000,$A77,Sets!$D$2:$D$2000,M$1,Sets!$J$2:$J$2000,"N"))</f>
        <v/>
      </c>
      <c r="N77">
        <f>IF(_xlfn.MAXIFS(Sets!$H$2:$H$2000,Sets!$A$2:$A$2000,$A77,Sets!$D$2:$D$2000,N$1,Sets!$J$2:$J$2000,"N")=0,"",_xlfn.MAXIFS(Sets!$H$2:$H$2000,Sets!$A$2:$A$2000,$A77,Sets!$D$2:$D$2000,N$1,Sets!$J$2:$J$2000,"N"))</f>
        <v/>
      </c>
      <c r="O77">
        <f>IF(_xlfn.MAXIFS(Sets!$H$2:$H$2000,Sets!$A$2:$A$2000,$A77,Sets!$D$2:$D$2000,O$1,Sets!$J$2:$J$2000,"N")=0,"",_xlfn.MAXIFS(Sets!$H$2:$H$2000,Sets!$A$2:$A$2000,$A77,Sets!$D$2:$D$2000,O$1,Sets!$J$2:$J$2000,"N"))</f>
        <v/>
      </c>
      <c r="P77">
        <f>IF(_xlfn.MAXIFS(Sets!$H$2:$H$2000,Sets!$A$2:$A$2000,$A77,Sets!$D$2:$D$2000,P$1,Sets!$J$2:$J$2000,"N")=0,"",_xlfn.MAXIFS(Sets!$H$2:$H$2000,Sets!$A$2:$A$2000,$A77,Sets!$D$2:$D$2000,P$1,Sets!$J$2:$J$2000,"N"))</f>
        <v/>
      </c>
      <c r="Q77">
        <f>IF(_xlfn.MAXIFS(Sets!$H$2:$H$2000,Sets!$A$2:$A$2000,$A77,Sets!$D$2:$D$2000,Q$1,Sets!$J$2:$J$2000,"N")=0,"",_xlfn.MAXIFS(Sets!$H$2:$H$2000,Sets!$A$2:$A$2000,$A77,Sets!$D$2:$D$2000,Q$1,Sets!$J$2:$J$2000,"N"))</f>
        <v/>
      </c>
      <c r="R77">
        <f>IF(_xlfn.MAXIFS(Sets!$H$2:$H$2000,Sets!$A$2:$A$2000,$A77,Sets!$D$2:$D$2000,R$1,Sets!$J$2:$J$2000,"N")=0,"",_xlfn.MAXIFS(Sets!$H$2:$H$2000,Sets!$A$2:$A$2000,$A77,Sets!$D$2:$D$2000,R$1,Sets!$J$2:$J$2000,"N"))</f>
        <v/>
      </c>
      <c r="S77">
        <f>IF(_xlfn.MAXIFS(Sets!$H$2:$H$2000,Sets!$A$2:$A$2000,$A77,Sets!$D$2:$D$2000,S$1,Sets!$J$2:$J$2000,"N")=0,"",_xlfn.MAXIFS(Sets!$H$2:$H$2000,Sets!$A$2:$A$2000,$A77,Sets!$D$2:$D$2000,S$1,Sets!$J$2:$J$2000,"N"))</f>
        <v/>
      </c>
      <c r="T77">
        <f>IF(_xlfn.MAXIFS(Sets!$H$2:$H$2000,Sets!$A$2:$A$2000,$A77,Sets!$D$2:$D$2000,T$1,Sets!$J$2:$J$2000,"N")=0,"",_xlfn.MAXIFS(Sets!$H$2:$H$2000,Sets!$A$2:$A$2000,$A77,Sets!$D$2:$D$2000,T$1,Sets!$J$2:$J$2000,"N"))</f>
        <v/>
      </c>
      <c r="U77">
        <f>IF(_xlfn.MAXIFS(Sets!$H$2:$H$2000,Sets!$A$2:$A$2000,$A77,Sets!$D$2:$D$2000,U$1,Sets!$J$2:$J$2000,"N")=0,"",_xlfn.MAXIFS(Sets!$H$2:$H$2000,Sets!$A$2:$A$2000,$A77,Sets!$D$2:$D$2000,U$1,Sets!$J$2:$J$2000,"N"))</f>
        <v/>
      </c>
      <c r="V77">
        <f>IF(_xlfn.MAXIFS(Sets!$H$2:$H$2000,Sets!$A$2:$A$2000,$A77,Sets!$D$2:$D$2000,V$1,Sets!$J$2:$J$2000,"N")=0,"",_xlfn.MAXIFS(Sets!$H$2:$H$2000,Sets!$A$2:$A$2000,$A77,Sets!$D$2:$D$2000,V$1,Sets!$J$2:$J$2000,"N"))</f>
        <v/>
      </c>
      <c r="W77">
        <f>IF(_xlfn.MAXIFS(Sets!$H$2:$H$2000,Sets!$A$2:$A$2000,$A77,Sets!$D$2:$D$2000,W$1,Sets!$J$2:$J$2000,"N")=0,"",_xlfn.MAXIFS(Sets!$H$2:$H$2000,Sets!$A$2:$A$2000,$A77,Sets!$D$2:$D$2000,W$1,Sets!$J$2:$J$2000,"N"))</f>
        <v/>
      </c>
      <c r="X77">
        <f>IF(_xlfn.MAXIFS(Sets!$H$2:$H$2000,Sets!$A$2:$A$2000,$A77,Sets!$D$2:$D$2000,X$1,Sets!$J$2:$J$2000,"N")=0,"",_xlfn.MAXIFS(Sets!$H$2:$H$2000,Sets!$A$2:$A$2000,$A77,Sets!$D$2:$D$2000,X$1,Sets!$J$2:$J$2000,"N"))</f>
        <v/>
      </c>
      <c r="Y77">
        <f>IF(_xlfn.MAXIFS(Sets!$H$2:$H$2000,Sets!$A$2:$A$2000,$A77,Sets!$D$2:$D$2000,Y$1,Sets!$J$2:$J$2000,"N")=0,"",_xlfn.MAXIFS(Sets!$H$2:$H$2000,Sets!$A$2:$A$2000,$A77,Sets!$D$2:$D$2000,Y$1,Sets!$J$2:$J$2000,"N"))</f>
        <v/>
      </c>
      <c r="Z77">
        <f>IF(_xlfn.MAXIFS(Sets!$H$2:$H$2000,Sets!$A$2:$A$2000,$A77,Sets!$D$2:$D$2000,Z$1,Sets!$J$2:$J$2000,"N")=0,"",_xlfn.MAXIFS(Sets!$H$2:$H$2000,Sets!$A$2:$A$2000,$A77,Sets!$D$2:$D$2000,Z$1,Sets!$J$2:$J$2000,"N"))</f>
        <v/>
      </c>
      <c r="AA77">
        <f>IF(_xlfn.MAXIFS(Sets!$H$2:$H$2000,Sets!$A$2:$A$2000,$A77,Sets!$D$2:$D$2000,AA$1,Sets!$J$2:$J$2000,"N")=0,"",_xlfn.MAXIFS(Sets!$H$2:$H$2000,Sets!$A$2:$A$2000,$A77,Sets!$D$2:$D$2000,AA$1,Sets!$J$2:$J$2000,"N"))</f>
        <v/>
      </c>
      <c r="AB77">
        <f>IF(_xlfn.MAXIFS(Sets!$H$2:$H$2000,Sets!$A$2:$A$2000,$A77,Sets!$D$2:$D$2000,AB$1,Sets!$J$2:$J$2000,"N")=0,"",_xlfn.MAXIFS(Sets!$H$2:$H$2000,Sets!$A$2:$A$2000,$A77,Sets!$D$2:$D$2000,AB$1,Sets!$J$2:$J$2000,"N"))</f>
        <v/>
      </c>
      <c r="AC77">
        <f>IF(_xlfn.MAXIFS(Sets!$H$2:$H$2000,Sets!$A$2:$A$2000,$A77,Sets!$D$2:$D$2000,AC$1,Sets!$J$2:$J$2000,"N")=0,"",_xlfn.MAXIFS(Sets!$H$2:$H$2000,Sets!$A$2:$A$2000,$A77,Sets!$D$2:$D$2000,AC$1,Sets!$J$2:$J$2000,"N"))</f>
        <v/>
      </c>
      <c r="AD77">
        <f>IF(_xlfn.MAXIFS(Sets!$H$2:$H$2000,Sets!$A$2:$A$2000,$A77,Sets!$D$2:$D$2000,AD$1,Sets!$J$2:$J$2000,"N")=0,"",_xlfn.MAXIFS(Sets!$H$2:$H$2000,Sets!$A$2:$A$2000,$A77,Sets!$D$2:$D$2000,AD$1,Sets!$J$2:$J$2000,"N"))</f>
        <v/>
      </c>
      <c r="AE77">
        <f>IF(_xlfn.MAXIFS(Sets!$H$2:$H$2000,Sets!$A$2:$A$2000,$A77,Sets!$D$2:$D$2000,AE$1,Sets!$J$2:$J$2000,"N")=0,"",_xlfn.MAXIFS(Sets!$H$2:$H$2000,Sets!$A$2:$A$2000,$A77,Sets!$D$2:$D$2000,AE$1,Sets!$J$2:$J$2000,"N"))</f>
        <v/>
      </c>
      <c r="AF77">
        <f>IF(_xlfn.MAXIFS(Sets!$H$2:$H$2000,Sets!$A$2:$A$2000,$A77,Sets!$D$2:$D$2000,AF$1,Sets!$J$2:$J$2000,"N")=0,"",_xlfn.MAXIFS(Sets!$H$2:$H$2000,Sets!$A$2:$A$2000,$A77,Sets!$D$2:$D$2000,AF$1,Sets!$J$2:$J$2000,"N"))</f>
        <v/>
      </c>
      <c r="AG77">
        <f>IF(_xlfn.MAXIFS(Sets!$H$2:$H$2000,Sets!$A$2:$A$2000,$A77,Sets!$D$2:$D$2000,AG$1,Sets!$J$2:$J$2000,"N")=0,"",_xlfn.MAXIFS(Sets!$H$2:$H$2000,Sets!$A$2:$A$2000,$A77,Sets!$D$2:$D$2000,AG$1,Sets!$J$2:$J$2000,"N"))</f>
        <v/>
      </c>
      <c r="AH77">
        <f>IF(_xlfn.MAXIFS(Sets!$H$2:$H$2000,Sets!$A$2:$A$2000,$A77,Sets!$D$2:$D$2000,AH$1,Sets!$J$2:$J$2000,"N")=0,"",_xlfn.MAXIFS(Sets!$H$2:$H$2000,Sets!$A$2:$A$2000,$A77,Sets!$D$2:$D$2000,AH$1,Sets!$J$2:$J$2000,"N"))</f>
        <v/>
      </c>
      <c r="AI77">
        <f>IF(_xlfn.MAXIFS(Sets!$H$2:$H$2000,Sets!$A$2:$A$2000,$A77,Sets!$D$2:$D$2000,AI$1,Sets!$J$2:$J$2000,"N")=0,"",_xlfn.MAXIFS(Sets!$H$2:$H$2000,Sets!$A$2:$A$2000,$A77,Sets!$D$2:$D$2000,AI$1,Sets!$J$2:$J$2000,"N"))</f>
        <v/>
      </c>
      <c r="AJ77">
        <f>IF(_xlfn.MAXIFS(Sets!$H$2:$H$2000,Sets!$A$2:$A$2000,$A77,Sets!$D$2:$D$2000,AJ$1,Sets!$J$2:$J$2000,"N")=0,"",_xlfn.MAXIFS(Sets!$H$2:$H$2000,Sets!$A$2:$A$2000,$A77,Sets!$D$2:$D$2000,AJ$1,Sets!$J$2:$J$2000,"N"))</f>
        <v/>
      </c>
      <c r="AK77">
        <f>IF(_xlfn.MAXIFS(Sets!$H$2:$H$2000,Sets!$A$2:$A$2000,$A77,Sets!$D$2:$D$2000,AK$1,Sets!$J$2:$J$2000,"N")=0,"",_xlfn.MAXIFS(Sets!$H$2:$H$2000,Sets!$A$2:$A$2000,$A77,Sets!$D$2:$D$2000,AK$1,Sets!$J$2:$J$2000,"N"))</f>
        <v/>
      </c>
      <c r="AL77">
        <f>IF(_xlfn.MAXIFS(Sets!$H$2:$H$2000,Sets!$A$2:$A$2000,$A77,Sets!$D$2:$D$2000,AL$1,Sets!$J$2:$J$2000,"N")=0,"",_xlfn.MAXIFS(Sets!$H$2:$H$2000,Sets!$A$2:$A$2000,$A77,Sets!$D$2:$D$2000,AL$1,Sets!$J$2:$J$2000,"N"))</f>
        <v/>
      </c>
      <c r="AM77">
        <f>IF(_xlfn.MAXIFS(Sets!$H$2:$H$2000,Sets!$A$2:$A$2000,$A77,Sets!$D$2:$D$2000,AM$1,Sets!$J$2:$J$2000,"N")=0,"",_xlfn.MAXIFS(Sets!$H$2:$H$2000,Sets!$A$2:$A$2000,$A77,Sets!$D$2:$D$2000,AM$1,Sets!$J$2:$J$2000,"N"))</f>
        <v/>
      </c>
      <c r="AN77">
        <f>IF(_xlfn.MAXIFS(Sets!$H$2:$H$2000,Sets!$A$2:$A$2000,$A77,Sets!$D$2:$D$2000,AN$1,Sets!$J$2:$J$2000,"N")=0,"",_xlfn.MAXIFS(Sets!$H$2:$H$2000,Sets!$A$2:$A$2000,$A77,Sets!$D$2:$D$2000,AN$1,Sets!$J$2:$J$2000,"N"))</f>
        <v/>
      </c>
      <c r="AO77">
        <f>IF(_xlfn.MAXIFS(Sets!$H$2:$H$2000,Sets!$A$2:$A$2000,$A77,Sets!$D$2:$D$2000,AO$1,Sets!$J$2:$J$2000,"N")=0,"",_xlfn.MAXIFS(Sets!$H$2:$H$2000,Sets!$A$2:$A$2000,$A77,Sets!$D$2:$D$2000,AO$1,Sets!$J$2:$J$2000,"N"))</f>
        <v/>
      </c>
      <c r="AP77">
        <f>IF(_xlfn.MAXIFS(Sets!$H$2:$H$2000,Sets!$A$2:$A$2000,$A77,Sets!$D$2:$D$2000,AP$1,Sets!$J$2:$J$2000,"N")=0,"",_xlfn.MAXIFS(Sets!$H$2:$H$2000,Sets!$A$2:$A$2000,$A77,Sets!$D$2:$D$2000,AP$1,Sets!$J$2:$J$2000,"N"))</f>
        <v/>
      </c>
    </row>
    <row r="78">
      <c r="A78" s="36" t="n">
        <v>46292</v>
      </c>
      <c r="B78">
        <f>IF(_xlfn.MAXIFS(Sets!$H$2:$H$2000,Sets!$A$2:$A$2000,$A78,Sets!$D$2:$D$2000,B$1,Sets!$J$2:$J$2000,"N")=0,"",_xlfn.MAXIFS(Sets!$H$2:$H$2000,Sets!$A$2:$A$2000,$A78,Sets!$D$2:$D$2000,B$1,Sets!$J$2:$J$2000,"N"))</f>
        <v/>
      </c>
      <c r="C78">
        <f>IF(_xlfn.MAXIFS(Sets!$H$2:$H$2000,Sets!$A$2:$A$2000,$A78,Sets!$D$2:$D$2000,C$1,Sets!$J$2:$J$2000,"N")=0,"",_xlfn.MAXIFS(Sets!$H$2:$H$2000,Sets!$A$2:$A$2000,$A78,Sets!$D$2:$D$2000,C$1,Sets!$J$2:$J$2000,"N"))</f>
        <v/>
      </c>
      <c r="D78">
        <f>IF(_xlfn.MAXIFS(Sets!$H$2:$H$2000,Sets!$A$2:$A$2000,$A78,Sets!$D$2:$D$2000,D$1,Sets!$J$2:$J$2000,"N")=0,"",_xlfn.MAXIFS(Sets!$H$2:$H$2000,Sets!$A$2:$A$2000,$A78,Sets!$D$2:$D$2000,D$1,Sets!$J$2:$J$2000,"N"))</f>
        <v/>
      </c>
      <c r="E78">
        <f>IF(_xlfn.MAXIFS(Sets!$H$2:$H$2000,Sets!$A$2:$A$2000,$A78,Sets!$D$2:$D$2000,E$1,Sets!$J$2:$J$2000,"N")=0,"",_xlfn.MAXIFS(Sets!$H$2:$H$2000,Sets!$A$2:$A$2000,$A78,Sets!$D$2:$D$2000,E$1,Sets!$J$2:$J$2000,"N"))</f>
        <v/>
      </c>
      <c r="F78">
        <f>IF(_xlfn.MAXIFS(Sets!$H$2:$H$2000,Sets!$A$2:$A$2000,$A78,Sets!$D$2:$D$2000,F$1,Sets!$J$2:$J$2000,"N")=0,"",_xlfn.MAXIFS(Sets!$H$2:$H$2000,Sets!$A$2:$A$2000,$A78,Sets!$D$2:$D$2000,F$1,Sets!$J$2:$J$2000,"N"))</f>
        <v/>
      </c>
      <c r="G78">
        <f>IF(_xlfn.MAXIFS(Sets!$H$2:$H$2000,Sets!$A$2:$A$2000,$A78,Sets!$D$2:$D$2000,G$1,Sets!$J$2:$J$2000,"N")=0,"",_xlfn.MAXIFS(Sets!$H$2:$H$2000,Sets!$A$2:$A$2000,$A78,Sets!$D$2:$D$2000,G$1,Sets!$J$2:$J$2000,"N"))</f>
        <v/>
      </c>
      <c r="H78">
        <f>IF(_xlfn.MAXIFS(Sets!$H$2:$H$2000,Sets!$A$2:$A$2000,$A78,Sets!$D$2:$D$2000,H$1,Sets!$J$2:$J$2000,"N")=0,"",_xlfn.MAXIFS(Sets!$H$2:$H$2000,Sets!$A$2:$A$2000,$A78,Sets!$D$2:$D$2000,H$1,Sets!$J$2:$J$2000,"N"))</f>
        <v/>
      </c>
      <c r="I78">
        <f>IF(_xlfn.MAXIFS(Sets!$H$2:$H$2000,Sets!$A$2:$A$2000,$A78,Sets!$D$2:$D$2000,I$1,Sets!$J$2:$J$2000,"N")=0,"",_xlfn.MAXIFS(Sets!$H$2:$H$2000,Sets!$A$2:$A$2000,$A78,Sets!$D$2:$D$2000,I$1,Sets!$J$2:$J$2000,"N"))</f>
        <v/>
      </c>
      <c r="J78">
        <f>IF(_xlfn.MAXIFS(Sets!$H$2:$H$2000,Sets!$A$2:$A$2000,$A78,Sets!$D$2:$D$2000,J$1,Sets!$J$2:$J$2000,"N")=0,"",_xlfn.MAXIFS(Sets!$H$2:$H$2000,Sets!$A$2:$A$2000,$A78,Sets!$D$2:$D$2000,J$1,Sets!$J$2:$J$2000,"N"))</f>
        <v/>
      </c>
      <c r="K78">
        <f>IF(_xlfn.MAXIFS(Sets!$H$2:$H$2000,Sets!$A$2:$A$2000,$A78,Sets!$D$2:$D$2000,K$1,Sets!$J$2:$J$2000,"N")=0,"",_xlfn.MAXIFS(Sets!$H$2:$H$2000,Sets!$A$2:$A$2000,$A78,Sets!$D$2:$D$2000,K$1,Sets!$J$2:$J$2000,"N"))</f>
        <v/>
      </c>
      <c r="L78">
        <f>IF(_xlfn.MAXIFS(Sets!$H$2:$H$2000,Sets!$A$2:$A$2000,$A78,Sets!$D$2:$D$2000,L$1,Sets!$J$2:$J$2000,"N")=0,"",_xlfn.MAXIFS(Sets!$H$2:$H$2000,Sets!$A$2:$A$2000,$A78,Sets!$D$2:$D$2000,L$1,Sets!$J$2:$J$2000,"N"))</f>
        <v/>
      </c>
      <c r="M78">
        <f>IF(_xlfn.MAXIFS(Sets!$H$2:$H$2000,Sets!$A$2:$A$2000,$A78,Sets!$D$2:$D$2000,M$1,Sets!$J$2:$J$2000,"N")=0,"",_xlfn.MAXIFS(Sets!$H$2:$H$2000,Sets!$A$2:$A$2000,$A78,Sets!$D$2:$D$2000,M$1,Sets!$J$2:$J$2000,"N"))</f>
        <v/>
      </c>
      <c r="N78">
        <f>IF(_xlfn.MAXIFS(Sets!$H$2:$H$2000,Sets!$A$2:$A$2000,$A78,Sets!$D$2:$D$2000,N$1,Sets!$J$2:$J$2000,"N")=0,"",_xlfn.MAXIFS(Sets!$H$2:$H$2000,Sets!$A$2:$A$2000,$A78,Sets!$D$2:$D$2000,N$1,Sets!$J$2:$J$2000,"N"))</f>
        <v/>
      </c>
      <c r="O78">
        <f>IF(_xlfn.MAXIFS(Sets!$H$2:$H$2000,Sets!$A$2:$A$2000,$A78,Sets!$D$2:$D$2000,O$1,Sets!$J$2:$J$2000,"N")=0,"",_xlfn.MAXIFS(Sets!$H$2:$H$2000,Sets!$A$2:$A$2000,$A78,Sets!$D$2:$D$2000,O$1,Sets!$J$2:$J$2000,"N"))</f>
        <v/>
      </c>
      <c r="P78">
        <f>IF(_xlfn.MAXIFS(Sets!$H$2:$H$2000,Sets!$A$2:$A$2000,$A78,Sets!$D$2:$D$2000,P$1,Sets!$J$2:$J$2000,"N")=0,"",_xlfn.MAXIFS(Sets!$H$2:$H$2000,Sets!$A$2:$A$2000,$A78,Sets!$D$2:$D$2000,P$1,Sets!$J$2:$J$2000,"N"))</f>
        <v/>
      </c>
      <c r="Q78">
        <f>IF(_xlfn.MAXIFS(Sets!$H$2:$H$2000,Sets!$A$2:$A$2000,$A78,Sets!$D$2:$D$2000,Q$1,Sets!$J$2:$J$2000,"N")=0,"",_xlfn.MAXIFS(Sets!$H$2:$H$2000,Sets!$A$2:$A$2000,$A78,Sets!$D$2:$D$2000,Q$1,Sets!$J$2:$J$2000,"N"))</f>
        <v/>
      </c>
      <c r="R78">
        <f>IF(_xlfn.MAXIFS(Sets!$H$2:$H$2000,Sets!$A$2:$A$2000,$A78,Sets!$D$2:$D$2000,R$1,Sets!$J$2:$J$2000,"N")=0,"",_xlfn.MAXIFS(Sets!$H$2:$H$2000,Sets!$A$2:$A$2000,$A78,Sets!$D$2:$D$2000,R$1,Sets!$J$2:$J$2000,"N"))</f>
        <v/>
      </c>
      <c r="S78">
        <f>IF(_xlfn.MAXIFS(Sets!$H$2:$H$2000,Sets!$A$2:$A$2000,$A78,Sets!$D$2:$D$2000,S$1,Sets!$J$2:$J$2000,"N")=0,"",_xlfn.MAXIFS(Sets!$H$2:$H$2000,Sets!$A$2:$A$2000,$A78,Sets!$D$2:$D$2000,S$1,Sets!$J$2:$J$2000,"N"))</f>
        <v/>
      </c>
      <c r="T78">
        <f>IF(_xlfn.MAXIFS(Sets!$H$2:$H$2000,Sets!$A$2:$A$2000,$A78,Sets!$D$2:$D$2000,T$1,Sets!$J$2:$J$2000,"N")=0,"",_xlfn.MAXIFS(Sets!$H$2:$H$2000,Sets!$A$2:$A$2000,$A78,Sets!$D$2:$D$2000,T$1,Sets!$J$2:$J$2000,"N"))</f>
        <v/>
      </c>
      <c r="U78">
        <f>IF(_xlfn.MAXIFS(Sets!$H$2:$H$2000,Sets!$A$2:$A$2000,$A78,Sets!$D$2:$D$2000,U$1,Sets!$J$2:$J$2000,"N")=0,"",_xlfn.MAXIFS(Sets!$H$2:$H$2000,Sets!$A$2:$A$2000,$A78,Sets!$D$2:$D$2000,U$1,Sets!$J$2:$J$2000,"N"))</f>
        <v/>
      </c>
      <c r="V78">
        <f>IF(_xlfn.MAXIFS(Sets!$H$2:$H$2000,Sets!$A$2:$A$2000,$A78,Sets!$D$2:$D$2000,V$1,Sets!$J$2:$J$2000,"N")=0,"",_xlfn.MAXIFS(Sets!$H$2:$H$2000,Sets!$A$2:$A$2000,$A78,Sets!$D$2:$D$2000,V$1,Sets!$J$2:$J$2000,"N"))</f>
        <v/>
      </c>
      <c r="W78">
        <f>IF(_xlfn.MAXIFS(Sets!$H$2:$H$2000,Sets!$A$2:$A$2000,$A78,Sets!$D$2:$D$2000,W$1,Sets!$J$2:$J$2000,"N")=0,"",_xlfn.MAXIFS(Sets!$H$2:$H$2000,Sets!$A$2:$A$2000,$A78,Sets!$D$2:$D$2000,W$1,Sets!$J$2:$J$2000,"N"))</f>
        <v/>
      </c>
      <c r="X78">
        <f>IF(_xlfn.MAXIFS(Sets!$H$2:$H$2000,Sets!$A$2:$A$2000,$A78,Sets!$D$2:$D$2000,X$1,Sets!$J$2:$J$2000,"N")=0,"",_xlfn.MAXIFS(Sets!$H$2:$H$2000,Sets!$A$2:$A$2000,$A78,Sets!$D$2:$D$2000,X$1,Sets!$J$2:$J$2000,"N"))</f>
        <v/>
      </c>
      <c r="Y78">
        <f>IF(_xlfn.MAXIFS(Sets!$H$2:$H$2000,Sets!$A$2:$A$2000,$A78,Sets!$D$2:$D$2000,Y$1,Sets!$J$2:$J$2000,"N")=0,"",_xlfn.MAXIFS(Sets!$H$2:$H$2000,Sets!$A$2:$A$2000,$A78,Sets!$D$2:$D$2000,Y$1,Sets!$J$2:$J$2000,"N"))</f>
        <v/>
      </c>
      <c r="Z78">
        <f>IF(_xlfn.MAXIFS(Sets!$H$2:$H$2000,Sets!$A$2:$A$2000,$A78,Sets!$D$2:$D$2000,Z$1,Sets!$J$2:$J$2000,"N")=0,"",_xlfn.MAXIFS(Sets!$H$2:$H$2000,Sets!$A$2:$A$2000,$A78,Sets!$D$2:$D$2000,Z$1,Sets!$J$2:$J$2000,"N"))</f>
        <v/>
      </c>
      <c r="AA78">
        <f>IF(_xlfn.MAXIFS(Sets!$H$2:$H$2000,Sets!$A$2:$A$2000,$A78,Sets!$D$2:$D$2000,AA$1,Sets!$J$2:$J$2000,"N")=0,"",_xlfn.MAXIFS(Sets!$H$2:$H$2000,Sets!$A$2:$A$2000,$A78,Sets!$D$2:$D$2000,AA$1,Sets!$J$2:$J$2000,"N"))</f>
        <v/>
      </c>
      <c r="AB78">
        <f>IF(_xlfn.MAXIFS(Sets!$H$2:$H$2000,Sets!$A$2:$A$2000,$A78,Sets!$D$2:$D$2000,AB$1,Sets!$J$2:$J$2000,"N")=0,"",_xlfn.MAXIFS(Sets!$H$2:$H$2000,Sets!$A$2:$A$2000,$A78,Sets!$D$2:$D$2000,AB$1,Sets!$J$2:$J$2000,"N"))</f>
        <v/>
      </c>
      <c r="AC78">
        <f>IF(_xlfn.MAXIFS(Sets!$H$2:$H$2000,Sets!$A$2:$A$2000,$A78,Sets!$D$2:$D$2000,AC$1,Sets!$J$2:$J$2000,"N")=0,"",_xlfn.MAXIFS(Sets!$H$2:$H$2000,Sets!$A$2:$A$2000,$A78,Sets!$D$2:$D$2000,AC$1,Sets!$J$2:$J$2000,"N"))</f>
        <v/>
      </c>
      <c r="AD78">
        <f>IF(_xlfn.MAXIFS(Sets!$H$2:$H$2000,Sets!$A$2:$A$2000,$A78,Sets!$D$2:$D$2000,AD$1,Sets!$J$2:$J$2000,"N")=0,"",_xlfn.MAXIFS(Sets!$H$2:$H$2000,Sets!$A$2:$A$2000,$A78,Sets!$D$2:$D$2000,AD$1,Sets!$J$2:$J$2000,"N"))</f>
        <v/>
      </c>
      <c r="AE78">
        <f>IF(_xlfn.MAXIFS(Sets!$H$2:$H$2000,Sets!$A$2:$A$2000,$A78,Sets!$D$2:$D$2000,AE$1,Sets!$J$2:$J$2000,"N")=0,"",_xlfn.MAXIFS(Sets!$H$2:$H$2000,Sets!$A$2:$A$2000,$A78,Sets!$D$2:$D$2000,AE$1,Sets!$J$2:$J$2000,"N"))</f>
        <v/>
      </c>
      <c r="AF78">
        <f>IF(_xlfn.MAXIFS(Sets!$H$2:$H$2000,Sets!$A$2:$A$2000,$A78,Sets!$D$2:$D$2000,AF$1,Sets!$J$2:$J$2000,"N")=0,"",_xlfn.MAXIFS(Sets!$H$2:$H$2000,Sets!$A$2:$A$2000,$A78,Sets!$D$2:$D$2000,AF$1,Sets!$J$2:$J$2000,"N"))</f>
        <v/>
      </c>
      <c r="AG78">
        <f>IF(_xlfn.MAXIFS(Sets!$H$2:$H$2000,Sets!$A$2:$A$2000,$A78,Sets!$D$2:$D$2000,AG$1,Sets!$J$2:$J$2000,"N")=0,"",_xlfn.MAXIFS(Sets!$H$2:$H$2000,Sets!$A$2:$A$2000,$A78,Sets!$D$2:$D$2000,AG$1,Sets!$J$2:$J$2000,"N"))</f>
        <v/>
      </c>
      <c r="AH78">
        <f>IF(_xlfn.MAXIFS(Sets!$H$2:$H$2000,Sets!$A$2:$A$2000,$A78,Sets!$D$2:$D$2000,AH$1,Sets!$J$2:$J$2000,"N")=0,"",_xlfn.MAXIFS(Sets!$H$2:$H$2000,Sets!$A$2:$A$2000,$A78,Sets!$D$2:$D$2000,AH$1,Sets!$J$2:$J$2000,"N"))</f>
        <v/>
      </c>
      <c r="AI78">
        <f>IF(_xlfn.MAXIFS(Sets!$H$2:$H$2000,Sets!$A$2:$A$2000,$A78,Sets!$D$2:$D$2000,AI$1,Sets!$J$2:$J$2000,"N")=0,"",_xlfn.MAXIFS(Sets!$H$2:$H$2000,Sets!$A$2:$A$2000,$A78,Sets!$D$2:$D$2000,AI$1,Sets!$J$2:$J$2000,"N"))</f>
        <v/>
      </c>
      <c r="AJ78">
        <f>IF(_xlfn.MAXIFS(Sets!$H$2:$H$2000,Sets!$A$2:$A$2000,$A78,Sets!$D$2:$D$2000,AJ$1,Sets!$J$2:$J$2000,"N")=0,"",_xlfn.MAXIFS(Sets!$H$2:$H$2000,Sets!$A$2:$A$2000,$A78,Sets!$D$2:$D$2000,AJ$1,Sets!$J$2:$J$2000,"N"))</f>
        <v/>
      </c>
      <c r="AK78">
        <f>IF(_xlfn.MAXIFS(Sets!$H$2:$H$2000,Sets!$A$2:$A$2000,$A78,Sets!$D$2:$D$2000,AK$1,Sets!$J$2:$J$2000,"N")=0,"",_xlfn.MAXIFS(Sets!$H$2:$H$2000,Sets!$A$2:$A$2000,$A78,Sets!$D$2:$D$2000,AK$1,Sets!$J$2:$J$2000,"N"))</f>
        <v/>
      </c>
      <c r="AL78">
        <f>IF(_xlfn.MAXIFS(Sets!$H$2:$H$2000,Sets!$A$2:$A$2000,$A78,Sets!$D$2:$D$2000,AL$1,Sets!$J$2:$J$2000,"N")=0,"",_xlfn.MAXIFS(Sets!$H$2:$H$2000,Sets!$A$2:$A$2000,$A78,Sets!$D$2:$D$2000,AL$1,Sets!$J$2:$J$2000,"N"))</f>
        <v/>
      </c>
      <c r="AM78">
        <f>IF(_xlfn.MAXIFS(Sets!$H$2:$H$2000,Sets!$A$2:$A$2000,$A78,Sets!$D$2:$D$2000,AM$1,Sets!$J$2:$J$2000,"N")=0,"",_xlfn.MAXIFS(Sets!$H$2:$H$2000,Sets!$A$2:$A$2000,$A78,Sets!$D$2:$D$2000,AM$1,Sets!$J$2:$J$2000,"N"))</f>
        <v/>
      </c>
      <c r="AN78">
        <f>IF(_xlfn.MAXIFS(Sets!$H$2:$H$2000,Sets!$A$2:$A$2000,$A78,Sets!$D$2:$D$2000,AN$1,Sets!$J$2:$J$2000,"N")=0,"",_xlfn.MAXIFS(Sets!$H$2:$H$2000,Sets!$A$2:$A$2000,$A78,Sets!$D$2:$D$2000,AN$1,Sets!$J$2:$J$2000,"N"))</f>
        <v/>
      </c>
      <c r="AO78">
        <f>IF(_xlfn.MAXIFS(Sets!$H$2:$H$2000,Sets!$A$2:$A$2000,$A78,Sets!$D$2:$D$2000,AO$1,Sets!$J$2:$J$2000,"N")=0,"",_xlfn.MAXIFS(Sets!$H$2:$H$2000,Sets!$A$2:$A$2000,$A78,Sets!$D$2:$D$2000,AO$1,Sets!$J$2:$J$2000,"N"))</f>
        <v/>
      </c>
      <c r="AP78">
        <f>IF(_xlfn.MAXIFS(Sets!$H$2:$H$2000,Sets!$A$2:$A$2000,$A78,Sets!$D$2:$D$2000,AP$1,Sets!$J$2:$J$2000,"N")=0,"",_xlfn.MAXIFS(Sets!$H$2:$H$2000,Sets!$A$2:$A$2000,$A78,Sets!$D$2:$D$2000,AP$1,Sets!$J$2:$J$2000,"N"))</f>
        <v/>
      </c>
    </row>
    <row r="79">
      <c r="A79" s="36" t="n">
        <v>46294</v>
      </c>
      <c r="B79">
        <f>IF(_xlfn.MAXIFS(Sets!$H$2:$H$2000,Sets!$A$2:$A$2000,$A79,Sets!$D$2:$D$2000,B$1,Sets!$J$2:$J$2000,"N")=0,"",_xlfn.MAXIFS(Sets!$H$2:$H$2000,Sets!$A$2:$A$2000,$A79,Sets!$D$2:$D$2000,B$1,Sets!$J$2:$J$2000,"N"))</f>
        <v/>
      </c>
      <c r="C79">
        <f>IF(_xlfn.MAXIFS(Sets!$H$2:$H$2000,Sets!$A$2:$A$2000,$A79,Sets!$D$2:$D$2000,C$1,Sets!$J$2:$J$2000,"N")=0,"",_xlfn.MAXIFS(Sets!$H$2:$H$2000,Sets!$A$2:$A$2000,$A79,Sets!$D$2:$D$2000,C$1,Sets!$J$2:$J$2000,"N"))</f>
        <v/>
      </c>
      <c r="D79">
        <f>IF(_xlfn.MAXIFS(Sets!$H$2:$H$2000,Sets!$A$2:$A$2000,$A79,Sets!$D$2:$D$2000,D$1,Sets!$J$2:$J$2000,"N")=0,"",_xlfn.MAXIFS(Sets!$H$2:$H$2000,Sets!$A$2:$A$2000,$A79,Sets!$D$2:$D$2000,D$1,Sets!$J$2:$J$2000,"N"))</f>
        <v/>
      </c>
      <c r="E79">
        <f>IF(_xlfn.MAXIFS(Sets!$H$2:$H$2000,Sets!$A$2:$A$2000,$A79,Sets!$D$2:$D$2000,E$1,Sets!$J$2:$J$2000,"N")=0,"",_xlfn.MAXIFS(Sets!$H$2:$H$2000,Sets!$A$2:$A$2000,$A79,Sets!$D$2:$D$2000,E$1,Sets!$J$2:$J$2000,"N"))</f>
        <v/>
      </c>
      <c r="F79">
        <f>IF(_xlfn.MAXIFS(Sets!$H$2:$H$2000,Sets!$A$2:$A$2000,$A79,Sets!$D$2:$D$2000,F$1,Sets!$J$2:$J$2000,"N")=0,"",_xlfn.MAXIFS(Sets!$H$2:$H$2000,Sets!$A$2:$A$2000,$A79,Sets!$D$2:$D$2000,F$1,Sets!$J$2:$J$2000,"N"))</f>
        <v/>
      </c>
      <c r="G79">
        <f>IF(_xlfn.MAXIFS(Sets!$H$2:$H$2000,Sets!$A$2:$A$2000,$A79,Sets!$D$2:$D$2000,G$1,Sets!$J$2:$J$2000,"N")=0,"",_xlfn.MAXIFS(Sets!$H$2:$H$2000,Sets!$A$2:$A$2000,$A79,Sets!$D$2:$D$2000,G$1,Sets!$J$2:$J$2000,"N"))</f>
        <v/>
      </c>
      <c r="H79">
        <f>IF(_xlfn.MAXIFS(Sets!$H$2:$H$2000,Sets!$A$2:$A$2000,$A79,Sets!$D$2:$D$2000,H$1,Sets!$J$2:$J$2000,"N")=0,"",_xlfn.MAXIFS(Sets!$H$2:$H$2000,Sets!$A$2:$A$2000,$A79,Sets!$D$2:$D$2000,H$1,Sets!$J$2:$J$2000,"N"))</f>
        <v/>
      </c>
      <c r="I79">
        <f>IF(_xlfn.MAXIFS(Sets!$H$2:$H$2000,Sets!$A$2:$A$2000,$A79,Sets!$D$2:$D$2000,I$1,Sets!$J$2:$J$2000,"N")=0,"",_xlfn.MAXIFS(Sets!$H$2:$H$2000,Sets!$A$2:$A$2000,$A79,Sets!$D$2:$D$2000,I$1,Sets!$J$2:$J$2000,"N"))</f>
        <v/>
      </c>
      <c r="J79">
        <f>IF(_xlfn.MAXIFS(Sets!$H$2:$H$2000,Sets!$A$2:$A$2000,$A79,Sets!$D$2:$D$2000,J$1,Sets!$J$2:$J$2000,"N")=0,"",_xlfn.MAXIFS(Sets!$H$2:$H$2000,Sets!$A$2:$A$2000,$A79,Sets!$D$2:$D$2000,J$1,Sets!$J$2:$J$2000,"N"))</f>
        <v/>
      </c>
      <c r="K79">
        <f>IF(_xlfn.MAXIFS(Sets!$H$2:$H$2000,Sets!$A$2:$A$2000,$A79,Sets!$D$2:$D$2000,K$1,Sets!$J$2:$J$2000,"N")=0,"",_xlfn.MAXIFS(Sets!$H$2:$H$2000,Sets!$A$2:$A$2000,$A79,Sets!$D$2:$D$2000,K$1,Sets!$J$2:$J$2000,"N"))</f>
        <v/>
      </c>
      <c r="L79">
        <f>IF(_xlfn.MAXIFS(Sets!$H$2:$H$2000,Sets!$A$2:$A$2000,$A79,Sets!$D$2:$D$2000,L$1,Sets!$J$2:$J$2000,"N")=0,"",_xlfn.MAXIFS(Sets!$H$2:$H$2000,Sets!$A$2:$A$2000,$A79,Sets!$D$2:$D$2000,L$1,Sets!$J$2:$J$2000,"N"))</f>
        <v/>
      </c>
      <c r="M79">
        <f>IF(_xlfn.MAXIFS(Sets!$H$2:$H$2000,Sets!$A$2:$A$2000,$A79,Sets!$D$2:$D$2000,M$1,Sets!$J$2:$J$2000,"N")=0,"",_xlfn.MAXIFS(Sets!$H$2:$H$2000,Sets!$A$2:$A$2000,$A79,Sets!$D$2:$D$2000,M$1,Sets!$J$2:$J$2000,"N"))</f>
        <v/>
      </c>
      <c r="N79">
        <f>IF(_xlfn.MAXIFS(Sets!$H$2:$H$2000,Sets!$A$2:$A$2000,$A79,Sets!$D$2:$D$2000,N$1,Sets!$J$2:$J$2000,"N")=0,"",_xlfn.MAXIFS(Sets!$H$2:$H$2000,Sets!$A$2:$A$2000,$A79,Sets!$D$2:$D$2000,N$1,Sets!$J$2:$J$2000,"N"))</f>
        <v/>
      </c>
      <c r="O79">
        <f>IF(_xlfn.MAXIFS(Sets!$H$2:$H$2000,Sets!$A$2:$A$2000,$A79,Sets!$D$2:$D$2000,O$1,Sets!$J$2:$J$2000,"N")=0,"",_xlfn.MAXIFS(Sets!$H$2:$H$2000,Sets!$A$2:$A$2000,$A79,Sets!$D$2:$D$2000,O$1,Sets!$J$2:$J$2000,"N"))</f>
        <v/>
      </c>
      <c r="P79">
        <f>IF(_xlfn.MAXIFS(Sets!$H$2:$H$2000,Sets!$A$2:$A$2000,$A79,Sets!$D$2:$D$2000,P$1,Sets!$J$2:$J$2000,"N")=0,"",_xlfn.MAXIFS(Sets!$H$2:$H$2000,Sets!$A$2:$A$2000,$A79,Sets!$D$2:$D$2000,P$1,Sets!$J$2:$J$2000,"N"))</f>
        <v/>
      </c>
      <c r="Q79">
        <f>IF(_xlfn.MAXIFS(Sets!$H$2:$H$2000,Sets!$A$2:$A$2000,$A79,Sets!$D$2:$D$2000,Q$1,Sets!$J$2:$J$2000,"N")=0,"",_xlfn.MAXIFS(Sets!$H$2:$H$2000,Sets!$A$2:$A$2000,$A79,Sets!$D$2:$D$2000,Q$1,Sets!$J$2:$J$2000,"N"))</f>
        <v/>
      </c>
      <c r="R79">
        <f>IF(_xlfn.MAXIFS(Sets!$H$2:$H$2000,Sets!$A$2:$A$2000,$A79,Sets!$D$2:$D$2000,R$1,Sets!$J$2:$J$2000,"N")=0,"",_xlfn.MAXIFS(Sets!$H$2:$H$2000,Sets!$A$2:$A$2000,$A79,Sets!$D$2:$D$2000,R$1,Sets!$J$2:$J$2000,"N"))</f>
        <v/>
      </c>
      <c r="S79">
        <f>IF(_xlfn.MAXIFS(Sets!$H$2:$H$2000,Sets!$A$2:$A$2000,$A79,Sets!$D$2:$D$2000,S$1,Sets!$J$2:$J$2000,"N")=0,"",_xlfn.MAXIFS(Sets!$H$2:$H$2000,Sets!$A$2:$A$2000,$A79,Sets!$D$2:$D$2000,S$1,Sets!$J$2:$J$2000,"N"))</f>
        <v/>
      </c>
      <c r="T79">
        <f>IF(_xlfn.MAXIFS(Sets!$H$2:$H$2000,Sets!$A$2:$A$2000,$A79,Sets!$D$2:$D$2000,T$1,Sets!$J$2:$J$2000,"N")=0,"",_xlfn.MAXIFS(Sets!$H$2:$H$2000,Sets!$A$2:$A$2000,$A79,Sets!$D$2:$D$2000,T$1,Sets!$J$2:$J$2000,"N"))</f>
        <v/>
      </c>
      <c r="U79">
        <f>IF(_xlfn.MAXIFS(Sets!$H$2:$H$2000,Sets!$A$2:$A$2000,$A79,Sets!$D$2:$D$2000,U$1,Sets!$J$2:$J$2000,"N")=0,"",_xlfn.MAXIFS(Sets!$H$2:$H$2000,Sets!$A$2:$A$2000,$A79,Sets!$D$2:$D$2000,U$1,Sets!$J$2:$J$2000,"N"))</f>
        <v/>
      </c>
      <c r="V79">
        <f>IF(_xlfn.MAXIFS(Sets!$H$2:$H$2000,Sets!$A$2:$A$2000,$A79,Sets!$D$2:$D$2000,V$1,Sets!$J$2:$J$2000,"N")=0,"",_xlfn.MAXIFS(Sets!$H$2:$H$2000,Sets!$A$2:$A$2000,$A79,Sets!$D$2:$D$2000,V$1,Sets!$J$2:$J$2000,"N"))</f>
        <v/>
      </c>
      <c r="W79">
        <f>IF(_xlfn.MAXIFS(Sets!$H$2:$H$2000,Sets!$A$2:$A$2000,$A79,Sets!$D$2:$D$2000,W$1,Sets!$J$2:$J$2000,"N")=0,"",_xlfn.MAXIFS(Sets!$H$2:$H$2000,Sets!$A$2:$A$2000,$A79,Sets!$D$2:$D$2000,W$1,Sets!$J$2:$J$2000,"N"))</f>
        <v/>
      </c>
      <c r="X79">
        <f>IF(_xlfn.MAXIFS(Sets!$H$2:$H$2000,Sets!$A$2:$A$2000,$A79,Sets!$D$2:$D$2000,X$1,Sets!$J$2:$J$2000,"N")=0,"",_xlfn.MAXIFS(Sets!$H$2:$H$2000,Sets!$A$2:$A$2000,$A79,Sets!$D$2:$D$2000,X$1,Sets!$J$2:$J$2000,"N"))</f>
        <v/>
      </c>
      <c r="Y79">
        <f>IF(_xlfn.MAXIFS(Sets!$H$2:$H$2000,Sets!$A$2:$A$2000,$A79,Sets!$D$2:$D$2000,Y$1,Sets!$J$2:$J$2000,"N")=0,"",_xlfn.MAXIFS(Sets!$H$2:$H$2000,Sets!$A$2:$A$2000,$A79,Sets!$D$2:$D$2000,Y$1,Sets!$J$2:$J$2000,"N"))</f>
        <v/>
      </c>
      <c r="Z79">
        <f>IF(_xlfn.MAXIFS(Sets!$H$2:$H$2000,Sets!$A$2:$A$2000,$A79,Sets!$D$2:$D$2000,Z$1,Sets!$J$2:$J$2000,"N")=0,"",_xlfn.MAXIFS(Sets!$H$2:$H$2000,Sets!$A$2:$A$2000,$A79,Sets!$D$2:$D$2000,Z$1,Sets!$J$2:$J$2000,"N"))</f>
        <v/>
      </c>
      <c r="AA79">
        <f>IF(_xlfn.MAXIFS(Sets!$H$2:$H$2000,Sets!$A$2:$A$2000,$A79,Sets!$D$2:$D$2000,AA$1,Sets!$J$2:$J$2000,"N")=0,"",_xlfn.MAXIFS(Sets!$H$2:$H$2000,Sets!$A$2:$A$2000,$A79,Sets!$D$2:$D$2000,AA$1,Sets!$J$2:$J$2000,"N"))</f>
        <v/>
      </c>
      <c r="AB79">
        <f>IF(_xlfn.MAXIFS(Sets!$H$2:$H$2000,Sets!$A$2:$A$2000,$A79,Sets!$D$2:$D$2000,AB$1,Sets!$J$2:$J$2000,"N")=0,"",_xlfn.MAXIFS(Sets!$H$2:$H$2000,Sets!$A$2:$A$2000,$A79,Sets!$D$2:$D$2000,AB$1,Sets!$J$2:$J$2000,"N"))</f>
        <v/>
      </c>
      <c r="AC79">
        <f>IF(_xlfn.MAXIFS(Sets!$H$2:$H$2000,Sets!$A$2:$A$2000,$A79,Sets!$D$2:$D$2000,AC$1,Sets!$J$2:$J$2000,"N")=0,"",_xlfn.MAXIFS(Sets!$H$2:$H$2000,Sets!$A$2:$A$2000,$A79,Sets!$D$2:$D$2000,AC$1,Sets!$J$2:$J$2000,"N"))</f>
        <v/>
      </c>
      <c r="AD79">
        <f>IF(_xlfn.MAXIFS(Sets!$H$2:$H$2000,Sets!$A$2:$A$2000,$A79,Sets!$D$2:$D$2000,AD$1,Sets!$J$2:$J$2000,"N")=0,"",_xlfn.MAXIFS(Sets!$H$2:$H$2000,Sets!$A$2:$A$2000,$A79,Sets!$D$2:$D$2000,AD$1,Sets!$J$2:$J$2000,"N"))</f>
        <v/>
      </c>
      <c r="AE79">
        <f>IF(_xlfn.MAXIFS(Sets!$H$2:$H$2000,Sets!$A$2:$A$2000,$A79,Sets!$D$2:$D$2000,AE$1,Sets!$J$2:$J$2000,"N")=0,"",_xlfn.MAXIFS(Sets!$H$2:$H$2000,Sets!$A$2:$A$2000,$A79,Sets!$D$2:$D$2000,AE$1,Sets!$J$2:$J$2000,"N"))</f>
        <v/>
      </c>
      <c r="AF79">
        <f>IF(_xlfn.MAXIFS(Sets!$H$2:$H$2000,Sets!$A$2:$A$2000,$A79,Sets!$D$2:$D$2000,AF$1,Sets!$J$2:$J$2000,"N")=0,"",_xlfn.MAXIFS(Sets!$H$2:$H$2000,Sets!$A$2:$A$2000,$A79,Sets!$D$2:$D$2000,AF$1,Sets!$J$2:$J$2000,"N"))</f>
        <v/>
      </c>
      <c r="AG79">
        <f>IF(_xlfn.MAXIFS(Sets!$H$2:$H$2000,Sets!$A$2:$A$2000,$A79,Sets!$D$2:$D$2000,AG$1,Sets!$J$2:$J$2000,"N")=0,"",_xlfn.MAXIFS(Sets!$H$2:$H$2000,Sets!$A$2:$A$2000,$A79,Sets!$D$2:$D$2000,AG$1,Sets!$J$2:$J$2000,"N"))</f>
        <v/>
      </c>
      <c r="AH79">
        <f>IF(_xlfn.MAXIFS(Sets!$H$2:$H$2000,Sets!$A$2:$A$2000,$A79,Sets!$D$2:$D$2000,AH$1,Sets!$J$2:$J$2000,"N")=0,"",_xlfn.MAXIFS(Sets!$H$2:$H$2000,Sets!$A$2:$A$2000,$A79,Sets!$D$2:$D$2000,AH$1,Sets!$J$2:$J$2000,"N"))</f>
        <v/>
      </c>
      <c r="AI79">
        <f>IF(_xlfn.MAXIFS(Sets!$H$2:$H$2000,Sets!$A$2:$A$2000,$A79,Sets!$D$2:$D$2000,AI$1,Sets!$J$2:$J$2000,"N")=0,"",_xlfn.MAXIFS(Sets!$H$2:$H$2000,Sets!$A$2:$A$2000,$A79,Sets!$D$2:$D$2000,AI$1,Sets!$J$2:$J$2000,"N"))</f>
        <v/>
      </c>
      <c r="AJ79">
        <f>IF(_xlfn.MAXIFS(Sets!$H$2:$H$2000,Sets!$A$2:$A$2000,$A79,Sets!$D$2:$D$2000,AJ$1,Sets!$J$2:$J$2000,"N")=0,"",_xlfn.MAXIFS(Sets!$H$2:$H$2000,Sets!$A$2:$A$2000,$A79,Sets!$D$2:$D$2000,AJ$1,Sets!$J$2:$J$2000,"N"))</f>
        <v/>
      </c>
      <c r="AK79">
        <f>IF(_xlfn.MAXIFS(Sets!$H$2:$H$2000,Sets!$A$2:$A$2000,$A79,Sets!$D$2:$D$2000,AK$1,Sets!$J$2:$J$2000,"N")=0,"",_xlfn.MAXIFS(Sets!$H$2:$H$2000,Sets!$A$2:$A$2000,$A79,Sets!$D$2:$D$2000,AK$1,Sets!$J$2:$J$2000,"N"))</f>
        <v/>
      </c>
      <c r="AL79">
        <f>IF(_xlfn.MAXIFS(Sets!$H$2:$H$2000,Sets!$A$2:$A$2000,$A79,Sets!$D$2:$D$2000,AL$1,Sets!$J$2:$J$2000,"N")=0,"",_xlfn.MAXIFS(Sets!$H$2:$H$2000,Sets!$A$2:$A$2000,$A79,Sets!$D$2:$D$2000,AL$1,Sets!$J$2:$J$2000,"N"))</f>
        <v/>
      </c>
      <c r="AM79">
        <f>IF(_xlfn.MAXIFS(Sets!$H$2:$H$2000,Sets!$A$2:$A$2000,$A79,Sets!$D$2:$D$2000,AM$1,Sets!$J$2:$J$2000,"N")=0,"",_xlfn.MAXIFS(Sets!$H$2:$H$2000,Sets!$A$2:$A$2000,$A79,Sets!$D$2:$D$2000,AM$1,Sets!$J$2:$J$2000,"N"))</f>
        <v/>
      </c>
      <c r="AN79">
        <f>IF(_xlfn.MAXIFS(Sets!$H$2:$H$2000,Sets!$A$2:$A$2000,$A79,Sets!$D$2:$D$2000,AN$1,Sets!$J$2:$J$2000,"N")=0,"",_xlfn.MAXIFS(Sets!$H$2:$H$2000,Sets!$A$2:$A$2000,$A79,Sets!$D$2:$D$2000,AN$1,Sets!$J$2:$J$2000,"N"))</f>
        <v/>
      </c>
      <c r="AO79">
        <f>IF(_xlfn.MAXIFS(Sets!$H$2:$H$2000,Sets!$A$2:$A$2000,$A79,Sets!$D$2:$D$2000,AO$1,Sets!$J$2:$J$2000,"N")=0,"",_xlfn.MAXIFS(Sets!$H$2:$H$2000,Sets!$A$2:$A$2000,$A79,Sets!$D$2:$D$2000,AO$1,Sets!$J$2:$J$2000,"N"))</f>
        <v/>
      </c>
      <c r="AP79">
        <f>IF(_xlfn.MAXIFS(Sets!$H$2:$H$2000,Sets!$A$2:$A$2000,$A79,Sets!$D$2:$D$2000,AP$1,Sets!$J$2:$J$2000,"N")=0,"",_xlfn.MAXIFS(Sets!$H$2:$H$2000,Sets!$A$2:$A$2000,$A79,Sets!$D$2:$D$2000,AP$1,Sets!$J$2:$J$2000,"N"))</f>
        <v/>
      </c>
    </row>
    <row r="80">
      <c r="A80" s="36" t="n">
        <v>46297</v>
      </c>
      <c r="B80">
        <f>IF(_xlfn.MAXIFS(Sets!$H$2:$H$2000,Sets!$A$2:$A$2000,$A80,Sets!$D$2:$D$2000,B$1,Sets!$J$2:$J$2000,"N")=0,"",_xlfn.MAXIFS(Sets!$H$2:$H$2000,Sets!$A$2:$A$2000,$A80,Sets!$D$2:$D$2000,B$1,Sets!$J$2:$J$2000,"N"))</f>
        <v/>
      </c>
      <c r="C80">
        <f>IF(_xlfn.MAXIFS(Sets!$H$2:$H$2000,Sets!$A$2:$A$2000,$A80,Sets!$D$2:$D$2000,C$1,Sets!$J$2:$J$2000,"N")=0,"",_xlfn.MAXIFS(Sets!$H$2:$H$2000,Sets!$A$2:$A$2000,$A80,Sets!$D$2:$D$2000,C$1,Sets!$J$2:$J$2000,"N"))</f>
        <v/>
      </c>
      <c r="D80">
        <f>IF(_xlfn.MAXIFS(Sets!$H$2:$H$2000,Sets!$A$2:$A$2000,$A80,Sets!$D$2:$D$2000,D$1,Sets!$J$2:$J$2000,"N")=0,"",_xlfn.MAXIFS(Sets!$H$2:$H$2000,Sets!$A$2:$A$2000,$A80,Sets!$D$2:$D$2000,D$1,Sets!$J$2:$J$2000,"N"))</f>
        <v/>
      </c>
      <c r="E80">
        <f>IF(_xlfn.MAXIFS(Sets!$H$2:$H$2000,Sets!$A$2:$A$2000,$A80,Sets!$D$2:$D$2000,E$1,Sets!$J$2:$J$2000,"N")=0,"",_xlfn.MAXIFS(Sets!$H$2:$H$2000,Sets!$A$2:$A$2000,$A80,Sets!$D$2:$D$2000,E$1,Sets!$J$2:$J$2000,"N"))</f>
        <v/>
      </c>
      <c r="F80">
        <f>IF(_xlfn.MAXIFS(Sets!$H$2:$H$2000,Sets!$A$2:$A$2000,$A80,Sets!$D$2:$D$2000,F$1,Sets!$J$2:$J$2000,"N")=0,"",_xlfn.MAXIFS(Sets!$H$2:$H$2000,Sets!$A$2:$A$2000,$A80,Sets!$D$2:$D$2000,F$1,Sets!$J$2:$J$2000,"N"))</f>
        <v/>
      </c>
      <c r="G80">
        <f>IF(_xlfn.MAXIFS(Sets!$H$2:$H$2000,Sets!$A$2:$A$2000,$A80,Sets!$D$2:$D$2000,G$1,Sets!$J$2:$J$2000,"N")=0,"",_xlfn.MAXIFS(Sets!$H$2:$H$2000,Sets!$A$2:$A$2000,$A80,Sets!$D$2:$D$2000,G$1,Sets!$J$2:$J$2000,"N"))</f>
        <v/>
      </c>
      <c r="H80">
        <f>IF(_xlfn.MAXIFS(Sets!$H$2:$H$2000,Sets!$A$2:$A$2000,$A80,Sets!$D$2:$D$2000,H$1,Sets!$J$2:$J$2000,"N")=0,"",_xlfn.MAXIFS(Sets!$H$2:$H$2000,Sets!$A$2:$A$2000,$A80,Sets!$D$2:$D$2000,H$1,Sets!$J$2:$J$2000,"N"))</f>
        <v/>
      </c>
      <c r="I80">
        <f>IF(_xlfn.MAXIFS(Sets!$H$2:$H$2000,Sets!$A$2:$A$2000,$A80,Sets!$D$2:$D$2000,I$1,Sets!$J$2:$J$2000,"N")=0,"",_xlfn.MAXIFS(Sets!$H$2:$H$2000,Sets!$A$2:$A$2000,$A80,Sets!$D$2:$D$2000,I$1,Sets!$J$2:$J$2000,"N"))</f>
        <v/>
      </c>
      <c r="J80">
        <f>IF(_xlfn.MAXIFS(Sets!$H$2:$H$2000,Sets!$A$2:$A$2000,$A80,Sets!$D$2:$D$2000,J$1,Sets!$J$2:$J$2000,"N")=0,"",_xlfn.MAXIFS(Sets!$H$2:$H$2000,Sets!$A$2:$A$2000,$A80,Sets!$D$2:$D$2000,J$1,Sets!$J$2:$J$2000,"N"))</f>
        <v/>
      </c>
      <c r="K80">
        <f>IF(_xlfn.MAXIFS(Sets!$H$2:$H$2000,Sets!$A$2:$A$2000,$A80,Sets!$D$2:$D$2000,K$1,Sets!$J$2:$J$2000,"N")=0,"",_xlfn.MAXIFS(Sets!$H$2:$H$2000,Sets!$A$2:$A$2000,$A80,Sets!$D$2:$D$2000,K$1,Sets!$J$2:$J$2000,"N"))</f>
        <v/>
      </c>
      <c r="L80">
        <f>IF(_xlfn.MAXIFS(Sets!$H$2:$H$2000,Sets!$A$2:$A$2000,$A80,Sets!$D$2:$D$2000,L$1,Sets!$J$2:$J$2000,"N")=0,"",_xlfn.MAXIFS(Sets!$H$2:$H$2000,Sets!$A$2:$A$2000,$A80,Sets!$D$2:$D$2000,L$1,Sets!$J$2:$J$2000,"N"))</f>
        <v/>
      </c>
      <c r="M80">
        <f>IF(_xlfn.MAXIFS(Sets!$H$2:$H$2000,Sets!$A$2:$A$2000,$A80,Sets!$D$2:$D$2000,M$1,Sets!$J$2:$J$2000,"N")=0,"",_xlfn.MAXIFS(Sets!$H$2:$H$2000,Sets!$A$2:$A$2000,$A80,Sets!$D$2:$D$2000,M$1,Sets!$J$2:$J$2000,"N"))</f>
        <v/>
      </c>
      <c r="N80">
        <f>IF(_xlfn.MAXIFS(Sets!$H$2:$H$2000,Sets!$A$2:$A$2000,$A80,Sets!$D$2:$D$2000,N$1,Sets!$J$2:$J$2000,"N")=0,"",_xlfn.MAXIFS(Sets!$H$2:$H$2000,Sets!$A$2:$A$2000,$A80,Sets!$D$2:$D$2000,N$1,Sets!$J$2:$J$2000,"N"))</f>
        <v/>
      </c>
      <c r="O80">
        <f>IF(_xlfn.MAXIFS(Sets!$H$2:$H$2000,Sets!$A$2:$A$2000,$A80,Sets!$D$2:$D$2000,O$1,Sets!$J$2:$J$2000,"N")=0,"",_xlfn.MAXIFS(Sets!$H$2:$H$2000,Sets!$A$2:$A$2000,$A80,Sets!$D$2:$D$2000,O$1,Sets!$J$2:$J$2000,"N"))</f>
        <v/>
      </c>
      <c r="P80">
        <f>IF(_xlfn.MAXIFS(Sets!$H$2:$H$2000,Sets!$A$2:$A$2000,$A80,Sets!$D$2:$D$2000,P$1,Sets!$J$2:$J$2000,"N")=0,"",_xlfn.MAXIFS(Sets!$H$2:$H$2000,Sets!$A$2:$A$2000,$A80,Sets!$D$2:$D$2000,P$1,Sets!$J$2:$J$2000,"N"))</f>
        <v/>
      </c>
      <c r="Q80">
        <f>IF(_xlfn.MAXIFS(Sets!$H$2:$H$2000,Sets!$A$2:$A$2000,$A80,Sets!$D$2:$D$2000,Q$1,Sets!$J$2:$J$2000,"N")=0,"",_xlfn.MAXIFS(Sets!$H$2:$H$2000,Sets!$A$2:$A$2000,$A80,Sets!$D$2:$D$2000,Q$1,Sets!$J$2:$J$2000,"N"))</f>
        <v/>
      </c>
      <c r="R80">
        <f>IF(_xlfn.MAXIFS(Sets!$H$2:$H$2000,Sets!$A$2:$A$2000,$A80,Sets!$D$2:$D$2000,R$1,Sets!$J$2:$J$2000,"N")=0,"",_xlfn.MAXIFS(Sets!$H$2:$H$2000,Sets!$A$2:$A$2000,$A80,Sets!$D$2:$D$2000,R$1,Sets!$J$2:$J$2000,"N"))</f>
        <v/>
      </c>
      <c r="S80">
        <f>IF(_xlfn.MAXIFS(Sets!$H$2:$H$2000,Sets!$A$2:$A$2000,$A80,Sets!$D$2:$D$2000,S$1,Sets!$J$2:$J$2000,"N")=0,"",_xlfn.MAXIFS(Sets!$H$2:$H$2000,Sets!$A$2:$A$2000,$A80,Sets!$D$2:$D$2000,S$1,Sets!$J$2:$J$2000,"N"))</f>
        <v/>
      </c>
      <c r="T80">
        <f>IF(_xlfn.MAXIFS(Sets!$H$2:$H$2000,Sets!$A$2:$A$2000,$A80,Sets!$D$2:$D$2000,T$1,Sets!$J$2:$J$2000,"N")=0,"",_xlfn.MAXIFS(Sets!$H$2:$H$2000,Sets!$A$2:$A$2000,$A80,Sets!$D$2:$D$2000,T$1,Sets!$J$2:$J$2000,"N"))</f>
        <v/>
      </c>
      <c r="U80">
        <f>IF(_xlfn.MAXIFS(Sets!$H$2:$H$2000,Sets!$A$2:$A$2000,$A80,Sets!$D$2:$D$2000,U$1,Sets!$J$2:$J$2000,"N")=0,"",_xlfn.MAXIFS(Sets!$H$2:$H$2000,Sets!$A$2:$A$2000,$A80,Sets!$D$2:$D$2000,U$1,Sets!$J$2:$J$2000,"N"))</f>
        <v/>
      </c>
      <c r="V80">
        <f>IF(_xlfn.MAXIFS(Sets!$H$2:$H$2000,Sets!$A$2:$A$2000,$A80,Sets!$D$2:$D$2000,V$1,Sets!$J$2:$J$2000,"N")=0,"",_xlfn.MAXIFS(Sets!$H$2:$H$2000,Sets!$A$2:$A$2000,$A80,Sets!$D$2:$D$2000,V$1,Sets!$J$2:$J$2000,"N"))</f>
        <v/>
      </c>
      <c r="W80">
        <f>IF(_xlfn.MAXIFS(Sets!$H$2:$H$2000,Sets!$A$2:$A$2000,$A80,Sets!$D$2:$D$2000,W$1,Sets!$J$2:$J$2000,"N")=0,"",_xlfn.MAXIFS(Sets!$H$2:$H$2000,Sets!$A$2:$A$2000,$A80,Sets!$D$2:$D$2000,W$1,Sets!$J$2:$J$2000,"N"))</f>
        <v/>
      </c>
      <c r="X80">
        <f>IF(_xlfn.MAXIFS(Sets!$H$2:$H$2000,Sets!$A$2:$A$2000,$A80,Sets!$D$2:$D$2000,X$1,Sets!$J$2:$J$2000,"N")=0,"",_xlfn.MAXIFS(Sets!$H$2:$H$2000,Sets!$A$2:$A$2000,$A80,Sets!$D$2:$D$2000,X$1,Sets!$J$2:$J$2000,"N"))</f>
        <v/>
      </c>
      <c r="Y80">
        <f>IF(_xlfn.MAXIFS(Sets!$H$2:$H$2000,Sets!$A$2:$A$2000,$A80,Sets!$D$2:$D$2000,Y$1,Sets!$J$2:$J$2000,"N")=0,"",_xlfn.MAXIFS(Sets!$H$2:$H$2000,Sets!$A$2:$A$2000,$A80,Sets!$D$2:$D$2000,Y$1,Sets!$J$2:$J$2000,"N"))</f>
        <v/>
      </c>
      <c r="Z80">
        <f>IF(_xlfn.MAXIFS(Sets!$H$2:$H$2000,Sets!$A$2:$A$2000,$A80,Sets!$D$2:$D$2000,Z$1,Sets!$J$2:$J$2000,"N")=0,"",_xlfn.MAXIFS(Sets!$H$2:$H$2000,Sets!$A$2:$A$2000,$A80,Sets!$D$2:$D$2000,Z$1,Sets!$J$2:$J$2000,"N"))</f>
        <v/>
      </c>
      <c r="AA80">
        <f>IF(_xlfn.MAXIFS(Sets!$H$2:$H$2000,Sets!$A$2:$A$2000,$A80,Sets!$D$2:$D$2000,AA$1,Sets!$J$2:$J$2000,"N")=0,"",_xlfn.MAXIFS(Sets!$H$2:$H$2000,Sets!$A$2:$A$2000,$A80,Sets!$D$2:$D$2000,AA$1,Sets!$J$2:$J$2000,"N"))</f>
        <v/>
      </c>
      <c r="AB80">
        <f>IF(_xlfn.MAXIFS(Sets!$H$2:$H$2000,Sets!$A$2:$A$2000,$A80,Sets!$D$2:$D$2000,AB$1,Sets!$J$2:$J$2000,"N")=0,"",_xlfn.MAXIFS(Sets!$H$2:$H$2000,Sets!$A$2:$A$2000,$A80,Sets!$D$2:$D$2000,AB$1,Sets!$J$2:$J$2000,"N"))</f>
        <v/>
      </c>
      <c r="AC80">
        <f>IF(_xlfn.MAXIFS(Sets!$H$2:$H$2000,Sets!$A$2:$A$2000,$A80,Sets!$D$2:$D$2000,AC$1,Sets!$J$2:$J$2000,"N")=0,"",_xlfn.MAXIFS(Sets!$H$2:$H$2000,Sets!$A$2:$A$2000,$A80,Sets!$D$2:$D$2000,AC$1,Sets!$J$2:$J$2000,"N"))</f>
        <v/>
      </c>
      <c r="AD80">
        <f>IF(_xlfn.MAXIFS(Sets!$H$2:$H$2000,Sets!$A$2:$A$2000,$A80,Sets!$D$2:$D$2000,AD$1,Sets!$J$2:$J$2000,"N")=0,"",_xlfn.MAXIFS(Sets!$H$2:$H$2000,Sets!$A$2:$A$2000,$A80,Sets!$D$2:$D$2000,AD$1,Sets!$J$2:$J$2000,"N"))</f>
        <v/>
      </c>
      <c r="AE80">
        <f>IF(_xlfn.MAXIFS(Sets!$H$2:$H$2000,Sets!$A$2:$A$2000,$A80,Sets!$D$2:$D$2000,AE$1,Sets!$J$2:$J$2000,"N")=0,"",_xlfn.MAXIFS(Sets!$H$2:$H$2000,Sets!$A$2:$A$2000,$A80,Sets!$D$2:$D$2000,AE$1,Sets!$J$2:$J$2000,"N"))</f>
        <v/>
      </c>
      <c r="AF80">
        <f>IF(_xlfn.MAXIFS(Sets!$H$2:$H$2000,Sets!$A$2:$A$2000,$A80,Sets!$D$2:$D$2000,AF$1,Sets!$J$2:$J$2000,"N")=0,"",_xlfn.MAXIFS(Sets!$H$2:$H$2000,Sets!$A$2:$A$2000,$A80,Sets!$D$2:$D$2000,AF$1,Sets!$J$2:$J$2000,"N"))</f>
        <v/>
      </c>
      <c r="AG80">
        <f>IF(_xlfn.MAXIFS(Sets!$H$2:$H$2000,Sets!$A$2:$A$2000,$A80,Sets!$D$2:$D$2000,AG$1,Sets!$J$2:$J$2000,"N")=0,"",_xlfn.MAXIFS(Sets!$H$2:$H$2000,Sets!$A$2:$A$2000,$A80,Sets!$D$2:$D$2000,AG$1,Sets!$J$2:$J$2000,"N"))</f>
        <v/>
      </c>
      <c r="AH80">
        <f>IF(_xlfn.MAXIFS(Sets!$H$2:$H$2000,Sets!$A$2:$A$2000,$A80,Sets!$D$2:$D$2000,AH$1,Sets!$J$2:$J$2000,"N")=0,"",_xlfn.MAXIFS(Sets!$H$2:$H$2000,Sets!$A$2:$A$2000,$A80,Sets!$D$2:$D$2000,AH$1,Sets!$J$2:$J$2000,"N"))</f>
        <v/>
      </c>
      <c r="AI80">
        <f>IF(_xlfn.MAXIFS(Sets!$H$2:$H$2000,Sets!$A$2:$A$2000,$A80,Sets!$D$2:$D$2000,AI$1,Sets!$J$2:$J$2000,"N")=0,"",_xlfn.MAXIFS(Sets!$H$2:$H$2000,Sets!$A$2:$A$2000,$A80,Sets!$D$2:$D$2000,AI$1,Sets!$J$2:$J$2000,"N"))</f>
        <v/>
      </c>
      <c r="AJ80">
        <f>IF(_xlfn.MAXIFS(Sets!$H$2:$H$2000,Sets!$A$2:$A$2000,$A80,Sets!$D$2:$D$2000,AJ$1,Sets!$J$2:$J$2000,"N")=0,"",_xlfn.MAXIFS(Sets!$H$2:$H$2000,Sets!$A$2:$A$2000,$A80,Sets!$D$2:$D$2000,AJ$1,Sets!$J$2:$J$2000,"N"))</f>
        <v/>
      </c>
      <c r="AK80">
        <f>IF(_xlfn.MAXIFS(Sets!$H$2:$H$2000,Sets!$A$2:$A$2000,$A80,Sets!$D$2:$D$2000,AK$1,Sets!$J$2:$J$2000,"N")=0,"",_xlfn.MAXIFS(Sets!$H$2:$H$2000,Sets!$A$2:$A$2000,$A80,Sets!$D$2:$D$2000,AK$1,Sets!$J$2:$J$2000,"N"))</f>
        <v/>
      </c>
      <c r="AL80">
        <f>IF(_xlfn.MAXIFS(Sets!$H$2:$H$2000,Sets!$A$2:$A$2000,$A80,Sets!$D$2:$D$2000,AL$1,Sets!$J$2:$J$2000,"N")=0,"",_xlfn.MAXIFS(Sets!$H$2:$H$2000,Sets!$A$2:$A$2000,$A80,Sets!$D$2:$D$2000,AL$1,Sets!$J$2:$J$2000,"N"))</f>
        <v/>
      </c>
      <c r="AM80">
        <f>IF(_xlfn.MAXIFS(Sets!$H$2:$H$2000,Sets!$A$2:$A$2000,$A80,Sets!$D$2:$D$2000,AM$1,Sets!$J$2:$J$2000,"N")=0,"",_xlfn.MAXIFS(Sets!$H$2:$H$2000,Sets!$A$2:$A$2000,$A80,Sets!$D$2:$D$2000,AM$1,Sets!$J$2:$J$2000,"N"))</f>
        <v/>
      </c>
      <c r="AN80">
        <f>IF(_xlfn.MAXIFS(Sets!$H$2:$H$2000,Sets!$A$2:$A$2000,$A80,Sets!$D$2:$D$2000,AN$1,Sets!$J$2:$J$2000,"N")=0,"",_xlfn.MAXIFS(Sets!$H$2:$H$2000,Sets!$A$2:$A$2000,$A80,Sets!$D$2:$D$2000,AN$1,Sets!$J$2:$J$2000,"N"))</f>
        <v/>
      </c>
      <c r="AO80">
        <f>IF(_xlfn.MAXIFS(Sets!$H$2:$H$2000,Sets!$A$2:$A$2000,$A80,Sets!$D$2:$D$2000,AO$1,Sets!$J$2:$J$2000,"N")=0,"",_xlfn.MAXIFS(Sets!$H$2:$H$2000,Sets!$A$2:$A$2000,$A80,Sets!$D$2:$D$2000,AO$1,Sets!$J$2:$J$2000,"N"))</f>
        <v/>
      </c>
      <c r="AP80">
        <f>IF(_xlfn.MAXIFS(Sets!$H$2:$H$2000,Sets!$A$2:$A$2000,$A80,Sets!$D$2:$D$2000,AP$1,Sets!$J$2:$J$2000,"N")=0,"",_xlfn.MAXIFS(Sets!$H$2:$H$2000,Sets!$A$2:$A$2000,$A80,Sets!$D$2:$D$2000,AP$1,Sets!$J$2:$J$2000,"N"))</f>
        <v/>
      </c>
    </row>
    <row r="81">
      <c r="A81" s="36" t="n">
        <v>46301</v>
      </c>
      <c r="B81">
        <f>IF(_xlfn.MAXIFS(Sets!$H$2:$H$2000,Sets!$A$2:$A$2000,$A81,Sets!$D$2:$D$2000,B$1,Sets!$J$2:$J$2000,"N")=0,"",_xlfn.MAXIFS(Sets!$H$2:$H$2000,Sets!$A$2:$A$2000,$A81,Sets!$D$2:$D$2000,B$1,Sets!$J$2:$J$2000,"N"))</f>
        <v/>
      </c>
      <c r="C81">
        <f>IF(_xlfn.MAXIFS(Sets!$H$2:$H$2000,Sets!$A$2:$A$2000,$A81,Sets!$D$2:$D$2000,C$1,Sets!$J$2:$J$2000,"N")=0,"",_xlfn.MAXIFS(Sets!$H$2:$H$2000,Sets!$A$2:$A$2000,$A81,Sets!$D$2:$D$2000,C$1,Sets!$J$2:$J$2000,"N"))</f>
        <v/>
      </c>
      <c r="D81">
        <f>IF(_xlfn.MAXIFS(Sets!$H$2:$H$2000,Sets!$A$2:$A$2000,$A81,Sets!$D$2:$D$2000,D$1,Sets!$J$2:$J$2000,"N")=0,"",_xlfn.MAXIFS(Sets!$H$2:$H$2000,Sets!$A$2:$A$2000,$A81,Sets!$D$2:$D$2000,D$1,Sets!$J$2:$J$2000,"N"))</f>
        <v/>
      </c>
      <c r="E81">
        <f>IF(_xlfn.MAXIFS(Sets!$H$2:$H$2000,Sets!$A$2:$A$2000,$A81,Sets!$D$2:$D$2000,E$1,Sets!$J$2:$J$2000,"N")=0,"",_xlfn.MAXIFS(Sets!$H$2:$H$2000,Sets!$A$2:$A$2000,$A81,Sets!$D$2:$D$2000,E$1,Sets!$J$2:$J$2000,"N"))</f>
        <v/>
      </c>
      <c r="F81">
        <f>IF(_xlfn.MAXIFS(Sets!$H$2:$H$2000,Sets!$A$2:$A$2000,$A81,Sets!$D$2:$D$2000,F$1,Sets!$J$2:$J$2000,"N")=0,"",_xlfn.MAXIFS(Sets!$H$2:$H$2000,Sets!$A$2:$A$2000,$A81,Sets!$D$2:$D$2000,F$1,Sets!$J$2:$J$2000,"N"))</f>
        <v/>
      </c>
      <c r="G81">
        <f>IF(_xlfn.MAXIFS(Sets!$H$2:$H$2000,Sets!$A$2:$A$2000,$A81,Sets!$D$2:$D$2000,G$1,Sets!$J$2:$J$2000,"N")=0,"",_xlfn.MAXIFS(Sets!$H$2:$H$2000,Sets!$A$2:$A$2000,$A81,Sets!$D$2:$D$2000,G$1,Sets!$J$2:$J$2000,"N"))</f>
        <v/>
      </c>
      <c r="H81">
        <f>IF(_xlfn.MAXIFS(Sets!$H$2:$H$2000,Sets!$A$2:$A$2000,$A81,Sets!$D$2:$D$2000,H$1,Sets!$J$2:$J$2000,"N")=0,"",_xlfn.MAXIFS(Sets!$H$2:$H$2000,Sets!$A$2:$A$2000,$A81,Sets!$D$2:$D$2000,H$1,Sets!$J$2:$J$2000,"N"))</f>
        <v/>
      </c>
      <c r="I81">
        <f>IF(_xlfn.MAXIFS(Sets!$H$2:$H$2000,Sets!$A$2:$A$2000,$A81,Sets!$D$2:$D$2000,I$1,Sets!$J$2:$J$2000,"N")=0,"",_xlfn.MAXIFS(Sets!$H$2:$H$2000,Sets!$A$2:$A$2000,$A81,Sets!$D$2:$D$2000,I$1,Sets!$J$2:$J$2000,"N"))</f>
        <v/>
      </c>
      <c r="J81">
        <f>IF(_xlfn.MAXIFS(Sets!$H$2:$H$2000,Sets!$A$2:$A$2000,$A81,Sets!$D$2:$D$2000,J$1,Sets!$J$2:$J$2000,"N")=0,"",_xlfn.MAXIFS(Sets!$H$2:$H$2000,Sets!$A$2:$A$2000,$A81,Sets!$D$2:$D$2000,J$1,Sets!$J$2:$J$2000,"N"))</f>
        <v/>
      </c>
      <c r="K81">
        <f>IF(_xlfn.MAXIFS(Sets!$H$2:$H$2000,Sets!$A$2:$A$2000,$A81,Sets!$D$2:$D$2000,K$1,Sets!$J$2:$J$2000,"N")=0,"",_xlfn.MAXIFS(Sets!$H$2:$H$2000,Sets!$A$2:$A$2000,$A81,Sets!$D$2:$D$2000,K$1,Sets!$J$2:$J$2000,"N"))</f>
        <v/>
      </c>
      <c r="L81">
        <f>IF(_xlfn.MAXIFS(Sets!$H$2:$H$2000,Sets!$A$2:$A$2000,$A81,Sets!$D$2:$D$2000,L$1,Sets!$J$2:$J$2000,"N")=0,"",_xlfn.MAXIFS(Sets!$H$2:$H$2000,Sets!$A$2:$A$2000,$A81,Sets!$D$2:$D$2000,L$1,Sets!$J$2:$J$2000,"N"))</f>
        <v/>
      </c>
      <c r="M81">
        <f>IF(_xlfn.MAXIFS(Sets!$H$2:$H$2000,Sets!$A$2:$A$2000,$A81,Sets!$D$2:$D$2000,M$1,Sets!$J$2:$J$2000,"N")=0,"",_xlfn.MAXIFS(Sets!$H$2:$H$2000,Sets!$A$2:$A$2000,$A81,Sets!$D$2:$D$2000,M$1,Sets!$J$2:$J$2000,"N"))</f>
        <v/>
      </c>
      <c r="N81">
        <f>IF(_xlfn.MAXIFS(Sets!$H$2:$H$2000,Sets!$A$2:$A$2000,$A81,Sets!$D$2:$D$2000,N$1,Sets!$J$2:$J$2000,"N")=0,"",_xlfn.MAXIFS(Sets!$H$2:$H$2000,Sets!$A$2:$A$2000,$A81,Sets!$D$2:$D$2000,N$1,Sets!$J$2:$J$2000,"N"))</f>
        <v/>
      </c>
      <c r="O81">
        <f>IF(_xlfn.MAXIFS(Sets!$H$2:$H$2000,Sets!$A$2:$A$2000,$A81,Sets!$D$2:$D$2000,O$1,Sets!$J$2:$J$2000,"N")=0,"",_xlfn.MAXIFS(Sets!$H$2:$H$2000,Sets!$A$2:$A$2000,$A81,Sets!$D$2:$D$2000,O$1,Sets!$J$2:$J$2000,"N"))</f>
        <v/>
      </c>
      <c r="P81">
        <f>IF(_xlfn.MAXIFS(Sets!$H$2:$H$2000,Sets!$A$2:$A$2000,$A81,Sets!$D$2:$D$2000,P$1,Sets!$J$2:$J$2000,"N")=0,"",_xlfn.MAXIFS(Sets!$H$2:$H$2000,Sets!$A$2:$A$2000,$A81,Sets!$D$2:$D$2000,P$1,Sets!$J$2:$J$2000,"N"))</f>
        <v/>
      </c>
      <c r="Q81">
        <f>IF(_xlfn.MAXIFS(Sets!$H$2:$H$2000,Sets!$A$2:$A$2000,$A81,Sets!$D$2:$D$2000,Q$1,Sets!$J$2:$J$2000,"N")=0,"",_xlfn.MAXIFS(Sets!$H$2:$H$2000,Sets!$A$2:$A$2000,$A81,Sets!$D$2:$D$2000,Q$1,Sets!$J$2:$J$2000,"N"))</f>
        <v/>
      </c>
      <c r="R81">
        <f>IF(_xlfn.MAXIFS(Sets!$H$2:$H$2000,Sets!$A$2:$A$2000,$A81,Sets!$D$2:$D$2000,R$1,Sets!$J$2:$J$2000,"N")=0,"",_xlfn.MAXIFS(Sets!$H$2:$H$2000,Sets!$A$2:$A$2000,$A81,Sets!$D$2:$D$2000,R$1,Sets!$J$2:$J$2000,"N"))</f>
        <v/>
      </c>
      <c r="S81">
        <f>IF(_xlfn.MAXIFS(Sets!$H$2:$H$2000,Sets!$A$2:$A$2000,$A81,Sets!$D$2:$D$2000,S$1,Sets!$J$2:$J$2000,"N")=0,"",_xlfn.MAXIFS(Sets!$H$2:$H$2000,Sets!$A$2:$A$2000,$A81,Sets!$D$2:$D$2000,S$1,Sets!$J$2:$J$2000,"N"))</f>
        <v/>
      </c>
      <c r="T81">
        <f>IF(_xlfn.MAXIFS(Sets!$H$2:$H$2000,Sets!$A$2:$A$2000,$A81,Sets!$D$2:$D$2000,T$1,Sets!$J$2:$J$2000,"N")=0,"",_xlfn.MAXIFS(Sets!$H$2:$H$2000,Sets!$A$2:$A$2000,$A81,Sets!$D$2:$D$2000,T$1,Sets!$J$2:$J$2000,"N"))</f>
        <v/>
      </c>
      <c r="U81">
        <f>IF(_xlfn.MAXIFS(Sets!$H$2:$H$2000,Sets!$A$2:$A$2000,$A81,Sets!$D$2:$D$2000,U$1,Sets!$J$2:$J$2000,"N")=0,"",_xlfn.MAXIFS(Sets!$H$2:$H$2000,Sets!$A$2:$A$2000,$A81,Sets!$D$2:$D$2000,U$1,Sets!$J$2:$J$2000,"N"))</f>
        <v/>
      </c>
      <c r="V81">
        <f>IF(_xlfn.MAXIFS(Sets!$H$2:$H$2000,Sets!$A$2:$A$2000,$A81,Sets!$D$2:$D$2000,V$1,Sets!$J$2:$J$2000,"N")=0,"",_xlfn.MAXIFS(Sets!$H$2:$H$2000,Sets!$A$2:$A$2000,$A81,Sets!$D$2:$D$2000,V$1,Sets!$J$2:$J$2000,"N"))</f>
        <v/>
      </c>
      <c r="W81">
        <f>IF(_xlfn.MAXIFS(Sets!$H$2:$H$2000,Sets!$A$2:$A$2000,$A81,Sets!$D$2:$D$2000,W$1,Sets!$J$2:$J$2000,"N")=0,"",_xlfn.MAXIFS(Sets!$H$2:$H$2000,Sets!$A$2:$A$2000,$A81,Sets!$D$2:$D$2000,W$1,Sets!$J$2:$J$2000,"N"))</f>
        <v/>
      </c>
      <c r="X81">
        <f>IF(_xlfn.MAXIFS(Sets!$H$2:$H$2000,Sets!$A$2:$A$2000,$A81,Sets!$D$2:$D$2000,X$1,Sets!$J$2:$J$2000,"N")=0,"",_xlfn.MAXIFS(Sets!$H$2:$H$2000,Sets!$A$2:$A$2000,$A81,Sets!$D$2:$D$2000,X$1,Sets!$J$2:$J$2000,"N"))</f>
        <v/>
      </c>
      <c r="Y81">
        <f>IF(_xlfn.MAXIFS(Sets!$H$2:$H$2000,Sets!$A$2:$A$2000,$A81,Sets!$D$2:$D$2000,Y$1,Sets!$J$2:$J$2000,"N")=0,"",_xlfn.MAXIFS(Sets!$H$2:$H$2000,Sets!$A$2:$A$2000,$A81,Sets!$D$2:$D$2000,Y$1,Sets!$J$2:$J$2000,"N"))</f>
        <v/>
      </c>
      <c r="Z81">
        <f>IF(_xlfn.MAXIFS(Sets!$H$2:$H$2000,Sets!$A$2:$A$2000,$A81,Sets!$D$2:$D$2000,Z$1,Sets!$J$2:$J$2000,"N")=0,"",_xlfn.MAXIFS(Sets!$H$2:$H$2000,Sets!$A$2:$A$2000,$A81,Sets!$D$2:$D$2000,Z$1,Sets!$J$2:$J$2000,"N"))</f>
        <v/>
      </c>
      <c r="AA81">
        <f>IF(_xlfn.MAXIFS(Sets!$H$2:$H$2000,Sets!$A$2:$A$2000,$A81,Sets!$D$2:$D$2000,AA$1,Sets!$J$2:$J$2000,"N")=0,"",_xlfn.MAXIFS(Sets!$H$2:$H$2000,Sets!$A$2:$A$2000,$A81,Sets!$D$2:$D$2000,AA$1,Sets!$J$2:$J$2000,"N"))</f>
        <v/>
      </c>
      <c r="AB81">
        <f>IF(_xlfn.MAXIFS(Sets!$H$2:$H$2000,Sets!$A$2:$A$2000,$A81,Sets!$D$2:$D$2000,AB$1,Sets!$J$2:$J$2000,"N")=0,"",_xlfn.MAXIFS(Sets!$H$2:$H$2000,Sets!$A$2:$A$2000,$A81,Sets!$D$2:$D$2000,AB$1,Sets!$J$2:$J$2000,"N"))</f>
        <v/>
      </c>
      <c r="AC81">
        <f>IF(_xlfn.MAXIFS(Sets!$H$2:$H$2000,Sets!$A$2:$A$2000,$A81,Sets!$D$2:$D$2000,AC$1,Sets!$J$2:$J$2000,"N")=0,"",_xlfn.MAXIFS(Sets!$H$2:$H$2000,Sets!$A$2:$A$2000,$A81,Sets!$D$2:$D$2000,AC$1,Sets!$J$2:$J$2000,"N"))</f>
        <v/>
      </c>
      <c r="AD81">
        <f>IF(_xlfn.MAXIFS(Sets!$H$2:$H$2000,Sets!$A$2:$A$2000,$A81,Sets!$D$2:$D$2000,AD$1,Sets!$J$2:$J$2000,"N")=0,"",_xlfn.MAXIFS(Sets!$H$2:$H$2000,Sets!$A$2:$A$2000,$A81,Sets!$D$2:$D$2000,AD$1,Sets!$J$2:$J$2000,"N"))</f>
        <v/>
      </c>
      <c r="AE81">
        <f>IF(_xlfn.MAXIFS(Sets!$H$2:$H$2000,Sets!$A$2:$A$2000,$A81,Sets!$D$2:$D$2000,AE$1,Sets!$J$2:$J$2000,"N")=0,"",_xlfn.MAXIFS(Sets!$H$2:$H$2000,Sets!$A$2:$A$2000,$A81,Sets!$D$2:$D$2000,AE$1,Sets!$J$2:$J$2000,"N"))</f>
        <v/>
      </c>
      <c r="AF81">
        <f>IF(_xlfn.MAXIFS(Sets!$H$2:$H$2000,Sets!$A$2:$A$2000,$A81,Sets!$D$2:$D$2000,AF$1,Sets!$J$2:$J$2000,"N")=0,"",_xlfn.MAXIFS(Sets!$H$2:$H$2000,Sets!$A$2:$A$2000,$A81,Sets!$D$2:$D$2000,AF$1,Sets!$J$2:$J$2000,"N"))</f>
        <v/>
      </c>
      <c r="AG81">
        <f>IF(_xlfn.MAXIFS(Sets!$H$2:$H$2000,Sets!$A$2:$A$2000,$A81,Sets!$D$2:$D$2000,AG$1,Sets!$J$2:$J$2000,"N")=0,"",_xlfn.MAXIFS(Sets!$H$2:$H$2000,Sets!$A$2:$A$2000,$A81,Sets!$D$2:$D$2000,AG$1,Sets!$J$2:$J$2000,"N"))</f>
        <v/>
      </c>
      <c r="AH81">
        <f>IF(_xlfn.MAXIFS(Sets!$H$2:$H$2000,Sets!$A$2:$A$2000,$A81,Sets!$D$2:$D$2000,AH$1,Sets!$J$2:$J$2000,"N")=0,"",_xlfn.MAXIFS(Sets!$H$2:$H$2000,Sets!$A$2:$A$2000,$A81,Sets!$D$2:$D$2000,AH$1,Sets!$J$2:$J$2000,"N"))</f>
        <v/>
      </c>
      <c r="AI81">
        <f>IF(_xlfn.MAXIFS(Sets!$H$2:$H$2000,Sets!$A$2:$A$2000,$A81,Sets!$D$2:$D$2000,AI$1,Sets!$J$2:$J$2000,"N")=0,"",_xlfn.MAXIFS(Sets!$H$2:$H$2000,Sets!$A$2:$A$2000,$A81,Sets!$D$2:$D$2000,AI$1,Sets!$J$2:$J$2000,"N"))</f>
        <v/>
      </c>
      <c r="AJ81">
        <f>IF(_xlfn.MAXIFS(Sets!$H$2:$H$2000,Sets!$A$2:$A$2000,$A81,Sets!$D$2:$D$2000,AJ$1,Sets!$J$2:$J$2000,"N")=0,"",_xlfn.MAXIFS(Sets!$H$2:$H$2000,Sets!$A$2:$A$2000,$A81,Sets!$D$2:$D$2000,AJ$1,Sets!$J$2:$J$2000,"N"))</f>
        <v/>
      </c>
      <c r="AK81">
        <f>IF(_xlfn.MAXIFS(Sets!$H$2:$H$2000,Sets!$A$2:$A$2000,$A81,Sets!$D$2:$D$2000,AK$1,Sets!$J$2:$J$2000,"N")=0,"",_xlfn.MAXIFS(Sets!$H$2:$H$2000,Sets!$A$2:$A$2000,$A81,Sets!$D$2:$D$2000,AK$1,Sets!$J$2:$J$2000,"N"))</f>
        <v/>
      </c>
      <c r="AL81">
        <f>IF(_xlfn.MAXIFS(Sets!$H$2:$H$2000,Sets!$A$2:$A$2000,$A81,Sets!$D$2:$D$2000,AL$1,Sets!$J$2:$J$2000,"N")=0,"",_xlfn.MAXIFS(Sets!$H$2:$H$2000,Sets!$A$2:$A$2000,$A81,Sets!$D$2:$D$2000,AL$1,Sets!$J$2:$J$2000,"N"))</f>
        <v/>
      </c>
      <c r="AM81">
        <f>IF(_xlfn.MAXIFS(Sets!$H$2:$H$2000,Sets!$A$2:$A$2000,$A81,Sets!$D$2:$D$2000,AM$1,Sets!$J$2:$J$2000,"N")=0,"",_xlfn.MAXIFS(Sets!$H$2:$H$2000,Sets!$A$2:$A$2000,$A81,Sets!$D$2:$D$2000,AM$1,Sets!$J$2:$J$2000,"N"))</f>
        <v/>
      </c>
      <c r="AN81">
        <f>IF(_xlfn.MAXIFS(Sets!$H$2:$H$2000,Sets!$A$2:$A$2000,$A81,Sets!$D$2:$D$2000,AN$1,Sets!$J$2:$J$2000,"N")=0,"",_xlfn.MAXIFS(Sets!$H$2:$H$2000,Sets!$A$2:$A$2000,$A81,Sets!$D$2:$D$2000,AN$1,Sets!$J$2:$J$2000,"N"))</f>
        <v/>
      </c>
      <c r="AO81">
        <f>IF(_xlfn.MAXIFS(Sets!$H$2:$H$2000,Sets!$A$2:$A$2000,$A81,Sets!$D$2:$D$2000,AO$1,Sets!$J$2:$J$2000,"N")=0,"",_xlfn.MAXIFS(Sets!$H$2:$H$2000,Sets!$A$2:$A$2000,$A81,Sets!$D$2:$D$2000,AO$1,Sets!$J$2:$J$2000,"N"))</f>
        <v/>
      </c>
      <c r="AP81">
        <f>IF(_xlfn.MAXIFS(Sets!$H$2:$H$2000,Sets!$A$2:$A$2000,$A81,Sets!$D$2:$D$2000,AP$1,Sets!$J$2:$J$2000,"N")=0,"",_xlfn.MAXIFS(Sets!$H$2:$H$2000,Sets!$A$2:$A$2000,$A81,Sets!$D$2:$D$2000,AP$1,Sets!$J$2:$J$2000,"N"))</f>
        <v/>
      </c>
    </row>
    <row r="82">
      <c r="A82" s="36" t="n">
        <v>46303</v>
      </c>
      <c r="B82">
        <f>IF(_xlfn.MAXIFS(Sets!$H$2:$H$2000,Sets!$A$2:$A$2000,$A82,Sets!$D$2:$D$2000,B$1,Sets!$J$2:$J$2000,"N")=0,"",_xlfn.MAXIFS(Sets!$H$2:$H$2000,Sets!$A$2:$A$2000,$A82,Sets!$D$2:$D$2000,B$1,Sets!$J$2:$J$2000,"N"))</f>
        <v/>
      </c>
      <c r="C82">
        <f>IF(_xlfn.MAXIFS(Sets!$H$2:$H$2000,Sets!$A$2:$A$2000,$A82,Sets!$D$2:$D$2000,C$1,Sets!$J$2:$J$2000,"N")=0,"",_xlfn.MAXIFS(Sets!$H$2:$H$2000,Sets!$A$2:$A$2000,$A82,Sets!$D$2:$D$2000,C$1,Sets!$J$2:$J$2000,"N"))</f>
        <v/>
      </c>
      <c r="D82">
        <f>IF(_xlfn.MAXIFS(Sets!$H$2:$H$2000,Sets!$A$2:$A$2000,$A82,Sets!$D$2:$D$2000,D$1,Sets!$J$2:$J$2000,"N")=0,"",_xlfn.MAXIFS(Sets!$H$2:$H$2000,Sets!$A$2:$A$2000,$A82,Sets!$D$2:$D$2000,D$1,Sets!$J$2:$J$2000,"N"))</f>
        <v/>
      </c>
      <c r="E82">
        <f>IF(_xlfn.MAXIFS(Sets!$H$2:$H$2000,Sets!$A$2:$A$2000,$A82,Sets!$D$2:$D$2000,E$1,Sets!$J$2:$J$2000,"N")=0,"",_xlfn.MAXIFS(Sets!$H$2:$H$2000,Sets!$A$2:$A$2000,$A82,Sets!$D$2:$D$2000,E$1,Sets!$J$2:$J$2000,"N"))</f>
        <v/>
      </c>
      <c r="F82">
        <f>IF(_xlfn.MAXIFS(Sets!$H$2:$H$2000,Sets!$A$2:$A$2000,$A82,Sets!$D$2:$D$2000,F$1,Sets!$J$2:$J$2000,"N")=0,"",_xlfn.MAXIFS(Sets!$H$2:$H$2000,Sets!$A$2:$A$2000,$A82,Sets!$D$2:$D$2000,F$1,Sets!$J$2:$J$2000,"N"))</f>
        <v/>
      </c>
      <c r="G82">
        <f>IF(_xlfn.MAXIFS(Sets!$H$2:$H$2000,Sets!$A$2:$A$2000,$A82,Sets!$D$2:$D$2000,G$1,Sets!$J$2:$J$2000,"N")=0,"",_xlfn.MAXIFS(Sets!$H$2:$H$2000,Sets!$A$2:$A$2000,$A82,Sets!$D$2:$D$2000,G$1,Sets!$J$2:$J$2000,"N"))</f>
        <v/>
      </c>
      <c r="H82">
        <f>IF(_xlfn.MAXIFS(Sets!$H$2:$H$2000,Sets!$A$2:$A$2000,$A82,Sets!$D$2:$D$2000,H$1,Sets!$J$2:$J$2000,"N")=0,"",_xlfn.MAXIFS(Sets!$H$2:$H$2000,Sets!$A$2:$A$2000,$A82,Sets!$D$2:$D$2000,H$1,Sets!$J$2:$J$2000,"N"))</f>
        <v/>
      </c>
      <c r="I82">
        <f>IF(_xlfn.MAXIFS(Sets!$H$2:$H$2000,Sets!$A$2:$A$2000,$A82,Sets!$D$2:$D$2000,I$1,Sets!$J$2:$J$2000,"N")=0,"",_xlfn.MAXIFS(Sets!$H$2:$H$2000,Sets!$A$2:$A$2000,$A82,Sets!$D$2:$D$2000,I$1,Sets!$J$2:$J$2000,"N"))</f>
        <v/>
      </c>
      <c r="J82">
        <f>IF(_xlfn.MAXIFS(Sets!$H$2:$H$2000,Sets!$A$2:$A$2000,$A82,Sets!$D$2:$D$2000,J$1,Sets!$J$2:$J$2000,"N")=0,"",_xlfn.MAXIFS(Sets!$H$2:$H$2000,Sets!$A$2:$A$2000,$A82,Sets!$D$2:$D$2000,J$1,Sets!$J$2:$J$2000,"N"))</f>
        <v/>
      </c>
      <c r="K82">
        <f>IF(_xlfn.MAXIFS(Sets!$H$2:$H$2000,Sets!$A$2:$A$2000,$A82,Sets!$D$2:$D$2000,K$1,Sets!$J$2:$J$2000,"N")=0,"",_xlfn.MAXIFS(Sets!$H$2:$H$2000,Sets!$A$2:$A$2000,$A82,Sets!$D$2:$D$2000,K$1,Sets!$J$2:$J$2000,"N"))</f>
        <v/>
      </c>
      <c r="L82">
        <f>IF(_xlfn.MAXIFS(Sets!$H$2:$H$2000,Sets!$A$2:$A$2000,$A82,Sets!$D$2:$D$2000,L$1,Sets!$J$2:$J$2000,"N")=0,"",_xlfn.MAXIFS(Sets!$H$2:$H$2000,Sets!$A$2:$A$2000,$A82,Sets!$D$2:$D$2000,L$1,Sets!$J$2:$J$2000,"N"))</f>
        <v/>
      </c>
      <c r="M82">
        <f>IF(_xlfn.MAXIFS(Sets!$H$2:$H$2000,Sets!$A$2:$A$2000,$A82,Sets!$D$2:$D$2000,M$1,Sets!$J$2:$J$2000,"N")=0,"",_xlfn.MAXIFS(Sets!$H$2:$H$2000,Sets!$A$2:$A$2000,$A82,Sets!$D$2:$D$2000,M$1,Sets!$J$2:$J$2000,"N"))</f>
        <v/>
      </c>
      <c r="N82">
        <f>IF(_xlfn.MAXIFS(Sets!$H$2:$H$2000,Sets!$A$2:$A$2000,$A82,Sets!$D$2:$D$2000,N$1,Sets!$J$2:$J$2000,"N")=0,"",_xlfn.MAXIFS(Sets!$H$2:$H$2000,Sets!$A$2:$A$2000,$A82,Sets!$D$2:$D$2000,N$1,Sets!$J$2:$J$2000,"N"))</f>
        <v/>
      </c>
      <c r="O82">
        <f>IF(_xlfn.MAXIFS(Sets!$H$2:$H$2000,Sets!$A$2:$A$2000,$A82,Sets!$D$2:$D$2000,O$1,Sets!$J$2:$J$2000,"N")=0,"",_xlfn.MAXIFS(Sets!$H$2:$H$2000,Sets!$A$2:$A$2000,$A82,Sets!$D$2:$D$2000,O$1,Sets!$J$2:$J$2000,"N"))</f>
        <v/>
      </c>
      <c r="P82">
        <f>IF(_xlfn.MAXIFS(Sets!$H$2:$H$2000,Sets!$A$2:$A$2000,$A82,Sets!$D$2:$D$2000,P$1,Sets!$J$2:$J$2000,"N")=0,"",_xlfn.MAXIFS(Sets!$H$2:$H$2000,Sets!$A$2:$A$2000,$A82,Sets!$D$2:$D$2000,P$1,Sets!$J$2:$J$2000,"N"))</f>
        <v/>
      </c>
      <c r="Q82">
        <f>IF(_xlfn.MAXIFS(Sets!$H$2:$H$2000,Sets!$A$2:$A$2000,$A82,Sets!$D$2:$D$2000,Q$1,Sets!$J$2:$J$2000,"N")=0,"",_xlfn.MAXIFS(Sets!$H$2:$H$2000,Sets!$A$2:$A$2000,$A82,Sets!$D$2:$D$2000,Q$1,Sets!$J$2:$J$2000,"N"))</f>
        <v/>
      </c>
      <c r="R82">
        <f>IF(_xlfn.MAXIFS(Sets!$H$2:$H$2000,Sets!$A$2:$A$2000,$A82,Sets!$D$2:$D$2000,R$1,Sets!$J$2:$J$2000,"N")=0,"",_xlfn.MAXIFS(Sets!$H$2:$H$2000,Sets!$A$2:$A$2000,$A82,Sets!$D$2:$D$2000,R$1,Sets!$J$2:$J$2000,"N"))</f>
        <v/>
      </c>
      <c r="S82">
        <f>IF(_xlfn.MAXIFS(Sets!$H$2:$H$2000,Sets!$A$2:$A$2000,$A82,Sets!$D$2:$D$2000,S$1,Sets!$J$2:$J$2000,"N")=0,"",_xlfn.MAXIFS(Sets!$H$2:$H$2000,Sets!$A$2:$A$2000,$A82,Sets!$D$2:$D$2000,S$1,Sets!$J$2:$J$2000,"N"))</f>
        <v/>
      </c>
      <c r="T82">
        <f>IF(_xlfn.MAXIFS(Sets!$H$2:$H$2000,Sets!$A$2:$A$2000,$A82,Sets!$D$2:$D$2000,T$1,Sets!$J$2:$J$2000,"N")=0,"",_xlfn.MAXIFS(Sets!$H$2:$H$2000,Sets!$A$2:$A$2000,$A82,Sets!$D$2:$D$2000,T$1,Sets!$J$2:$J$2000,"N"))</f>
        <v/>
      </c>
      <c r="U82">
        <f>IF(_xlfn.MAXIFS(Sets!$H$2:$H$2000,Sets!$A$2:$A$2000,$A82,Sets!$D$2:$D$2000,U$1,Sets!$J$2:$J$2000,"N")=0,"",_xlfn.MAXIFS(Sets!$H$2:$H$2000,Sets!$A$2:$A$2000,$A82,Sets!$D$2:$D$2000,U$1,Sets!$J$2:$J$2000,"N"))</f>
        <v/>
      </c>
      <c r="V82">
        <f>IF(_xlfn.MAXIFS(Sets!$H$2:$H$2000,Sets!$A$2:$A$2000,$A82,Sets!$D$2:$D$2000,V$1,Sets!$J$2:$J$2000,"N")=0,"",_xlfn.MAXIFS(Sets!$H$2:$H$2000,Sets!$A$2:$A$2000,$A82,Sets!$D$2:$D$2000,V$1,Sets!$J$2:$J$2000,"N"))</f>
        <v/>
      </c>
      <c r="W82">
        <f>IF(_xlfn.MAXIFS(Sets!$H$2:$H$2000,Sets!$A$2:$A$2000,$A82,Sets!$D$2:$D$2000,W$1,Sets!$J$2:$J$2000,"N")=0,"",_xlfn.MAXIFS(Sets!$H$2:$H$2000,Sets!$A$2:$A$2000,$A82,Sets!$D$2:$D$2000,W$1,Sets!$J$2:$J$2000,"N"))</f>
        <v/>
      </c>
      <c r="X82">
        <f>IF(_xlfn.MAXIFS(Sets!$H$2:$H$2000,Sets!$A$2:$A$2000,$A82,Sets!$D$2:$D$2000,X$1,Sets!$J$2:$J$2000,"N")=0,"",_xlfn.MAXIFS(Sets!$H$2:$H$2000,Sets!$A$2:$A$2000,$A82,Sets!$D$2:$D$2000,X$1,Sets!$J$2:$J$2000,"N"))</f>
        <v/>
      </c>
      <c r="Y82">
        <f>IF(_xlfn.MAXIFS(Sets!$H$2:$H$2000,Sets!$A$2:$A$2000,$A82,Sets!$D$2:$D$2000,Y$1,Sets!$J$2:$J$2000,"N")=0,"",_xlfn.MAXIFS(Sets!$H$2:$H$2000,Sets!$A$2:$A$2000,$A82,Sets!$D$2:$D$2000,Y$1,Sets!$J$2:$J$2000,"N"))</f>
        <v/>
      </c>
      <c r="Z82">
        <f>IF(_xlfn.MAXIFS(Sets!$H$2:$H$2000,Sets!$A$2:$A$2000,$A82,Sets!$D$2:$D$2000,Z$1,Sets!$J$2:$J$2000,"N")=0,"",_xlfn.MAXIFS(Sets!$H$2:$H$2000,Sets!$A$2:$A$2000,$A82,Sets!$D$2:$D$2000,Z$1,Sets!$J$2:$J$2000,"N"))</f>
        <v/>
      </c>
      <c r="AA82">
        <f>IF(_xlfn.MAXIFS(Sets!$H$2:$H$2000,Sets!$A$2:$A$2000,$A82,Sets!$D$2:$D$2000,AA$1,Sets!$J$2:$J$2000,"N")=0,"",_xlfn.MAXIFS(Sets!$H$2:$H$2000,Sets!$A$2:$A$2000,$A82,Sets!$D$2:$D$2000,AA$1,Sets!$J$2:$J$2000,"N"))</f>
        <v/>
      </c>
      <c r="AB82">
        <f>IF(_xlfn.MAXIFS(Sets!$H$2:$H$2000,Sets!$A$2:$A$2000,$A82,Sets!$D$2:$D$2000,AB$1,Sets!$J$2:$J$2000,"N")=0,"",_xlfn.MAXIFS(Sets!$H$2:$H$2000,Sets!$A$2:$A$2000,$A82,Sets!$D$2:$D$2000,AB$1,Sets!$J$2:$J$2000,"N"))</f>
        <v/>
      </c>
      <c r="AC82">
        <f>IF(_xlfn.MAXIFS(Sets!$H$2:$H$2000,Sets!$A$2:$A$2000,$A82,Sets!$D$2:$D$2000,AC$1,Sets!$J$2:$J$2000,"N")=0,"",_xlfn.MAXIFS(Sets!$H$2:$H$2000,Sets!$A$2:$A$2000,$A82,Sets!$D$2:$D$2000,AC$1,Sets!$J$2:$J$2000,"N"))</f>
        <v/>
      </c>
      <c r="AD82">
        <f>IF(_xlfn.MAXIFS(Sets!$H$2:$H$2000,Sets!$A$2:$A$2000,$A82,Sets!$D$2:$D$2000,AD$1,Sets!$J$2:$J$2000,"N")=0,"",_xlfn.MAXIFS(Sets!$H$2:$H$2000,Sets!$A$2:$A$2000,$A82,Sets!$D$2:$D$2000,AD$1,Sets!$J$2:$J$2000,"N"))</f>
        <v/>
      </c>
      <c r="AE82">
        <f>IF(_xlfn.MAXIFS(Sets!$H$2:$H$2000,Sets!$A$2:$A$2000,$A82,Sets!$D$2:$D$2000,AE$1,Sets!$J$2:$J$2000,"N")=0,"",_xlfn.MAXIFS(Sets!$H$2:$H$2000,Sets!$A$2:$A$2000,$A82,Sets!$D$2:$D$2000,AE$1,Sets!$J$2:$J$2000,"N"))</f>
        <v/>
      </c>
      <c r="AF82">
        <f>IF(_xlfn.MAXIFS(Sets!$H$2:$H$2000,Sets!$A$2:$A$2000,$A82,Sets!$D$2:$D$2000,AF$1,Sets!$J$2:$J$2000,"N")=0,"",_xlfn.MAXIFS(Sets!$H$2:$H$2000,Sets!$A$2:$A$2000,$A82,Sets!$D$2:$D$2000,AF$1,Sets!$J$2:$J$2000,"N"))</f>
        <v/>
      </c>
      <c r="AG82">
        <f>IF(_xlfn.MAXIFS(Sets!$H$2:$H$2000,Sets!$A$2:$A$2000,$A82,Sets!$D$2:$D$2000,AG$1,Sets!$J$2:$J$2000,"N")=0,"",_xlfn.MAXIFS(Sets!$H$2:$H$2000,Sets!$A$2:$A$2000,$A82,Sets!$D$2:$D$2000,AG$1,Sets!$J$2:$J$2000,"N"))</f>
        <v/>
      </c>
      <c r="AH82">
        <f>IF(_xlfn.MAXIFS(Sets!$H$2:$H$2000,Sets!$A$2:$A$2000,$A82,Sets!$D$2:$D$2000,AH$1,Sets!$J$2:$J$2000,"N")=0,"",_xlfn.MAXIFS(Sets!$H$2:$H$2000,Sets!$A$2:$A$2000,$A82,Sets!$D$2:$D$2000,AH$1,Sets!$J$2:$J$2000,"N"))</f>
        <v/>
      </c>
      <c r="AI82">
        <f>IF(_xlfn.MAXIFS(Sets!$H$2:$H$2000,Sets!$A$2:$A$2000,$A82,Sets!$D$2:$D$2000,AI$1,Sets!$J$2:$J$2000,"N")=0,"",_xlfn.MAXIFS(Sets!$H$2:$H$2000,Sets!$A$2:$A$2000,$A82,Sets!$D$2:$D$2000,AI$1,Sets!$J$2:$J$2000,"N"))</f>
        <v/>
      </c>
      <c r="AJ82">
        <f>IF(_xlfn.MAXIFS(Sets!$H$2:$H$2000,Sets!$A$2:$A$2000,$A82,Sets!$D$2:$D$2000,AJ$1,Sets!$J$2:$J$2000,"N")=0,"",_xlfn.MAXIFS(Sets!$H$2:$H$2000,Sets!$A$2:$A$2000,$A82,Sets!$D$2:$D$2000,AJ$1,Sets!$J$2:$J$2000,"N"))</f>
        <v/>
      </c>
      <c r="AK82">
        <f>IF(_xlfn.MAXIFS(Sets!$H$2:$H$2000,Sets!$A$2:$A$2000,$A82,Sets!$D$2:$D$2000,AK$1,Sets!$J$2:$J$2000,"N")=0,"",_xlfn.MAXIFS(Sets!$H$2:$H$2000,Sets!$A$2:$A$2000,$A82,Sets!$D$2:$D$2000,AK$1,Sets!$J$2:$J$2000,"N"))</f>
        <v/>
      </c>
      <c r="AL82">
        <f>IF(_xlfn.MAXIFS(Sets!$H$2:$H$2000,Sets!$A$2:$A$2000,$A82,Sets!$D$2:$D$2000,AL$1,Sets!$J$2:$J$2000,"N")=0,"",_xlfn.MAXIFS(Sets!$H$2:$H$2000,Sets!$A$2:$A$2000,$A82,Sets!$D$2:$D$2000,AL$1,Sets!$J$2:$J$2000,"N"))</f>
        <v/>
      </c>
      <c r="AM82">
        <f>IF(_xlfn.MAXIFS(Sets!$H$2:$H$2000,Sets!$A$2:$A$2000,$A82,Sets!$D$2:$D$2000,AM$1,Sets!$J$2:$J$2000,"N")=0,"",_xlfn.MAXIFS(Sets!$H$2:$H$2000,Sets!$A$2:$A$2000,$A82,Sets!$D$2:$D$2000,AM$1,Sets!$J$2:$J$2000,"N"))</f>
        <v/>
      </c>
      <c r="AN82">
        <f>IF(_xlfn.MAXIFS(Sets!$H$2:$H$2000,Sets!$A$2:$A$2000,$A82,Sets!$D$2:$D$2000,AN$1,Sets!$J$2:$J$2000,"N")=0,"",_xlfn.MAXIFS(Sets!$H$2:$H$2000,Sets!$A$2:$A$2000,$A82,Sets!$D$2:$D$2000,AN$1,Sets!$J$2:$J$2000,"N"))</f>
        <v/>
      </c>
      <c r="AO82">
        <f>IF(_xlfn.MAXIFS(Sets!$H$2:$H$2000,Sets!$A$2:$A$2000,$A82,Sets!$D$2:$D$2000,AO$1,Sets!$J$2:$J$2000,"N")=0,"",_xlfn.MAXIFS(Sets!$H$2:$H$2000,Sets!$A$2:$A$2000,$A82,Sets!$D$2:$D$2000,AO$1,Sets!$J$2:$J$2000,"N"))</f>
        <v/>
      </c>
      <c r="AP82">
        <f>IF(_xlfn.MAXIFS(Sets!$H$2:$H$2000,Sets!$A$2:$A$2000,$A82,Sets!$D$2:$D$2000,AP$1,Sets!$J$2:$J$2000,"N")=0,"",_xlfn.MAXIFS(Sets!$H$2:$H$2000,Sets!$A$2:$A$2000,$A82,Sets!$D$2:$D$2000,AP$1,Sets!$J$2:$J$2000,"N"))</f>
        <v/>
      </c>
    </row>
    <row r="83">
      <c r="A83" s="36" t="n">
        <v>46304</v>
      </c>
      <c r="B83">
        <f>IF(_xlfn.MAXIFS(Sets!$H$2:$H$2000,Sets!$A$2:$A$2000,$A83,Sets!$D$2:$D$2000,B$1,Sets!$J$2:$J$2000,"N")=0,"",_xlfn.MAXIFS(Sets!$H$2:$H$2000,Sets!$A$2:$A$2000,$A83,Sets!$D$2:$D$2000,B$1,Sets!$J$2:$J$2000,"N"))</f>
        <v/>
      </c>
      <c r="C83">
        <f>IF(_xlfn.MAXIFS(Sets!$H$2:$H$2000,Sets!$A$2:$A$2000,$A83,Sets!$D$2:$D$2000,C$1,Sets!$J$2:$J$2000,"N")=0,"",_xlfn.MAXIFS(Sets!$H$2:$H$2000,Sets!$A$2:$A$2000,$A83,Sets!$D$2:$D$2000,C$1,Sets!$J$2:$J$2000,"N"))</f>
        <v/>
      </c>
      <c r="D83">
        <f>IF(_xlfn.MAXIFS(Sets!$H$2:$H$2000,Sets!$A$2:$A$2000,$A83,Sets!$D$2:$D$2000,D$1,Sets!$J$2:$J$2000,"N")=0,"",_xlfn.MAXIFS(Sets!$H$2:$H$2000,Sets!$A$2:$A$2000,$A83,Sets!$D$2:$D$2000,D$1,Sets!$J$2:$J$2000,"N"))</f>
        <v/>
      </c>
      <c r="E83">
        <f>IF(_xlfn.MAXIFS(Sets!$H$2:$H$2000,Sets!$A$2:$A$2000,$A83,Sets!$D$2:$D$2000,E$1,Sets!$J$2:$J$2000,"N")=0,"",_xlfn.MAXIFS(Sets!$H$2:$H$2000,Sets!$A$2:$A$2000,$A83,Sets!$D$2:$D$2000,E$1,Sets!$J$2:$J$2000,"N"))</f>
        <v/>
      </c>
      <c r="F83">
        <f>IF(_xlfn.MAXIFS(Sets!$H$2:$H$2000,Sets!$A$2:$A$2000,$A83,Sets!$D$2:$D$2000,F$1,Sets!$J$2:$J$2000,"N")=0,"",_xlfn.MAXIFS(Sets!$H$2:$H$2000,Sets!$A$2:$A$2000,$A83,Sets!$D$2:$D$2000,F$1,Sets!$J$2:$J$2000,"N"))</f>
        <v/>
      </c>
      <c r="G83">
        <f>IF(_xlfn.MAXIFS(Sets!$H$2:$H$2000,Sets!$A$2:$A$2000,$A83,Sets!$D$2:$D$2000,G$1,Sets!$J$2:$J$2000,"N")=0,"",_xlfn.MAXIFS(Sets!$H$2:$H$2000,Sets!$A$2:$A$2000,$A83,Sets!$D$2:$D$2000,G$1,Sets!$J$2:$J$2000,"N"))</f>
        <v/>
      </c>
      <c r="H83">
        <f>IF(_xlfn.MAXIFS(Sets!$H$2:$H$2000,Sets!$A$2:$A$2000,$A83,Sets!$D$2:$D$2000,H$1,Sets!$J$2:$J$2000,"N")=0,"",_xlfn.MAXIFS(Sets!$H$2:$H$2000,Sets!$A$2:$A$2000,$A83,Sets!$D$2:$D$2000,H$1,Sets!$J$2:$J$2000,"N"))</f>
        <v/>
      </c>
      <c r="I83">
        <f>IF(_xlfn.MAXIFS(Sets!$H$2:$H$2000,Sets!$A$2:$A$2000,$A83,Sets!$D$2:$D$2000,I$1,Sets!$J$2:$J$2000,"N")=0,"",_xlfn.MAXIFS(Sets!$H$2:$H$2000,Sets!$A$2:$A$2000,$A83,Sets!$D$2:$D$2000,I$1,Sets!$J$2:$J$2000,"N"))</f>
        <v/>
      </c>
      <c r="J83">
        <f>IF(_xlfn.MAXIFS(Sets!$H$2:$H$2000,Sets!$A$2:$A$2000,$A83,Sets!$D$2:$D$2000,J$1,Sets!$J$2:$J$2000,"N")=0,"",_xlfn.MAXIFS(Sets!$H$2:$H$2000,Sets!$A$2:$A$2000,$A83,Sets!$D$2:$D$2000,J$1,Sets!$J$2:$J$2000,"N"))</f>
        <v/>
      </c>
      <c r="K83">
        <f>IF(_xlfn.MAXIFS(Sets!$H$2:$H$2000,Sets!$A$2:$A$2000,$A83,Sets!$D$2:$D$2000,K$1,Sets!$J$2:$J$2000,"N")=0,"",_xlfn.MAXIFS(Sets!$H$2:$H$2000,Sets!$A$2:$A$2000,$A83,Sets!$D$2:$D$2000,K$1,Sets!$J$2:$J$2000,"N"))</f>
        <v/>
      </c>
      <c r="L83">
        <f>IF(_xlfn.MAXIFS(Sets!$H$2:$H$2000,Sets!$A$2:$A$2000,$A83,Sets!$D$2:$D$2000,L$1,Sets!$J$2:$J$2000,"N")=0,"",_xlfn.MAXIFS(Sets!$H$2:$H$2000,Sets!$A$2:$A$2000,$A83,Sets!$D$2:$D$2000,L$1,Sets!$J$2:$J$2000,"N"))</f>
        <v/>
      </c>
      <c r="M83">
        <f>IF(_xlfn.MAXIFS(Sets!$H$2:$H$2000,Sets!$A$2:$A$2000,$A83,Sets!$D$2:$D$2000,M$1,Sets!$J$2:$J$2000,"N")=0,"",_xlfn.MAXIFS(Sets!$H$2:$H$2000,Sets!$A$2:$A$2000,$A83,Sets!$D$2:$D$2000,M$1,Sets!$J$2:$J$2000,"N"))</f>
        <v/>
      </c>
      <c r="N83">
        <f>IF(_xlfn.MAXIFS(Sets!$H$2:$H$2000,Sets!$A$2:$A$2000,$A83,Sets!$D$2:$D$2000,N$1,Sets!$J$2:$J$2000,"N")=0,"",_xlfn.MAXIFS(Sets!$H$2:$H$2000,Sets!$A$2:$A$2000,$A83,Sets!$D$2:$D$2000,N$1,Sets!$J$2:$J$2000,"N"))</f>
        <v/>
      </c>
      <c r="O83">
        <f>IF(_xlfn.MAXIFS(Sets!$H$2:$H$2000,Sets!$A$2:$A$2000,$A83,Sets!$D$2:$D$2000,O$1,Sets!$J$2:$J$2000,"N")=0,"",_xlfn.MAXIFS(Sets!$H$2:$H$2000,Sets!$A$2:$A$2000,$A83,Sets!$D$2:$D$2000,O$1,Sets!$J$2:$J$2000,"N"))</f>
        <v/>
      </c>
      <c r="P83">
        <f>IF(_xlfn.MAXIFS(Sets!$H$2:$H$2000,Sets!$A$2:$A$2000,$A83,Sets!$D$2:$D$2000,P$1,Sets!$J$2:$J$2000,"N")=0,"",_xlfn.MAXIFS(Sets!$H$2:$H$2000,Sets!$A$2:$A$2000,$A83,Sets!$D$2:$D$2000,P$1,Sets!$J$2:$J$2000,"N"))</f>
        <v/>
      </c>
      <c r="Q83">
        <f>IF(_xlfn.MAXIFS(Sets!$H$2:$H$2000,Sets!$A$2:$A$2000,$A83,Sets!$D$2:$D$2000,Q$1,Sets!$J$2:$J$2000,"N")=0,"",_xlfn.MAXIFS(Sets!$H$2:$H$2000,Sets!$A$2:$A$2000,$A83,Sets!$D$2:$D$2000,Q$1,Sets!$J$2:$J$2000,"N"))</f>
        <v/>
      </c>
      <c r="R83">
        <f>IF(_xlfn.MAXIFS(Sets!$H$2:$H$2000,Sets!$A$2:$A$2000,$A83,Sets!$D$2:$D$2000,R$1,Sets!$J$2:$J$2000,"N")=0,"",_xlfn.MAXIFS(Sets!$H$2:$H$2000,Sets!$A$2:$A$2000,$A83,Sets!$D$2:$D$2000,R$1,Sets!$J$2:$J$2000,"N"))</f>
        <v/>
      </c>
      <c r="S83">
        <f>IF(_xlfn.MAXIFS(Sets!$H$2:$H$2000,Sets!$A$2:$A$2000,$A83,Sets!$D$2:$D$2000,S$1,Sets!$J$2:$J$2000,"N")=0,"",_xlfn.MAXIFS(Sets!$H$2:$H$2000,Sets!$A$2:$A$2000,$A83,Sets!$D$2:$D$2000,S$1,Sets!$J$2:$J$2000,"N"))</f>
        <v/>
      </c>
      <c r="T83">
        <f>IF(_xlfn.MAXIFS(Sets!$H$2:$H$2000,Sets!$A$2:$A$2000,$A83,Sets!$D$2:$D$2000,T$1,Sets!$J$2:$J$2000,"N")=0,"",_xlfn.MAXIFS(Sets!$H$2:$H$2000,Sets!$A$2:$A$2000,$A83,Sets!$D$2:$D$2000,T$1,Sets!$J$2:$J$2000,"N"))</f>
        <v/>
      </c>
      <c r="U83">
        <f>IF(_xlfn.MAXIFS(Sets!$H$2:$H$2000,Sets!$A$2:$A$2000,$A83,Sets!$D$2:$D$2000,U$1,Sets!$J$2:$J$2000,"N")=0,"",_xlfn.MAXIFS(Sets!$H$2:$H$2000,Sets!$A$2:$A$2000,$A83,Sets!$D$2:$D$2000,U$1,Sets!$J$2:$J$2000,"N"))</f>
        <v/>
      </c>
      <c r="V83">
        <f>IF(_xlfn.MAXIFS(Sets!$H$2:$H$2000,Sets!$A$2:$A$2000,$A83,Sets!$D$2:$D$2000,V$1,Sets!$J$2:$J$2000,"N")=0,"",_xlfn.MAXIFS(Sets!$H$2:$H$2000,Sets!$A$2:$A$2000,$A83,Sets!$D$2:$D$2000,V$1,Sets!$J$2:$J$2000,"N"))</f>
        <v/>
      </c>
      <c r="W83">
        <f>IF(_xlfn.MAXIFS(Sets!$H$2:$H$2000,Sets!$A$2:$A$2000,$A83,Sets!$D$2:$D$2000,W$1,Sets!$J$2:$J$2000,"N")=0,"",_xlfn.MAXIFS(Sets!$H$2:$H$2000,Sets!$A$2:$A$2000,$A83,Sets!$D$2:$D$2000,W$1,Sets!$J$2:$J$2000,"N"))</f>
        <v/>
      </c>
      <c r="X83">
        <f>IF(_xlfn.MAXIFS(Sets!$H$2:$H$2000,Sets!$A$2:$A$2000,$A83,Sets!$D$2:$D$2000,X$1,Sets!$J$2:$J$2000,"N")=0,"",_xlfn.MAXIFS(Sets!$H$2:$H$2000,Sets!$A$2:$A$2000,$A83,Sets!$D$2:$D$2000,X$1,Sets!$J$2:$J$2000,"N"))</f>
        <v/>
      </c>
      <c r="Y83">
        <f>IF(_xlfn.MAXIFS(Sets!$H$2:$H$2000,Sets!$A$2:$A$2000,$A83,Sets!$D$2:$D$2000,Y$1,Sets!$J$2:$J$2000,"N")=0,"",_xlfn.MAXIFS(Sets!$H$2:$H$2000,Sets!$A$2:$A$2000,$A83,Sets!$D$2:$D$2000,Y$1,Sets!$J$2:$J$2000,"N"))</f>
        <v/>
      </c>
      <c r="Z83">
        <f>IF(_xlfn.MAXIFS(Sets!$H$2:$H$2000,Sets!$A$2:$A$2000,$A83,Sets!$D$2:$D$2000,Z$1,Sets!$J$2:$J$2000,"N")=0,"",_xlfn.MAXIFS(Sets!$H$2:$H$2000,Sets!$A$2:$A$2000,$A83,Sets!$D$2:$D$2000,Z$1,Sets!$J$2:$J$2000,"N"))</f>
        <v/>
      </c>
      <c r="AA83">
        <f>IF(_xlfn.MAXIFS(Sets!$H$2:$H$2000,Sets!$A$2:$A$2000,$A83,Sets!$D$2:$D$2000,AA$1,Sets!$J$2:$J$2000,"N")=0,"",_xlfn.MAXIFS(Sets!$H$2:$H$2000,Sets!$A$2:$A$2000,$A83,Sets!$D$2:$D$2000,AA$1,Sets!$J$2:$J$2000,"N"))</f>
        <v/>
      </c>
      <c r="AB83">
        <f>IF(_xlfn.MAXIFS(Sets!$H$2:$H$2000,Sets!$A$2:$A$2000,$A83,Sets!$D$2:$D$2000,AB$1,Sets!$J$2:$J$2000,"N")=0,"",_xlfn.MAXIFS(Sets!$H$2:$H$2000,Sets!$A$2:$A$2000,$A83,Sets!$D$2:$D$2000,AB$1,Sets!$J$2:$J$2000,"N"))</f>
        <v/>
      </c>
      <c r="AC83">
        <f>IF(_xlfn.MAXIFS(Sets!$H$2:$H$2000,Sets!$A$2:$A$2000,$A83,Sets!$D$2:$D$2000,AC$1,Sets!$J$2:$J$2000,"N")=0,"",_xlfn.MAXIFS(Sets!$H$2:$H$2000,Sets!$A$2:$A$2000,$A83,Sets!$D$2:$D$2000,AC$1,Sets!$J$2:$J$2000,"N"))</f>
        <v/>
      </c>
      <c r="AD83">
        <f>IF(_xlfn.MAXIFS(Sets!$H$2:$H$2000,Sets!$A$2:$A$2000,$A83,Sets!$D$2:$D$2000,AD$1,Sets!$J$2:$J$2000,"N")=0,"",_xlfn.MAXIFS(Sets!$H$2:$H$2000,Sets!$A$2:$A$2000,$A83,Sets!$D$2:$D$2000,AD$1,Sets!$J$2:$J$2000,"N"))</f>
        <v/>
      </c>
      <c r="AE83">
        <f>IF(_xlfn.MAXIFS(Sets!$H$2:$H$2000,Sets!$A$2:$A$2000,$A83,Sets!$D$2:$D$2000,AE$1,Sets!$J$2:$J$2000,"N")=0,"",_xlfn.MAXIFS(Sets!$H$2:$H$2000,Sets!$A$2:$A$2000,$A83,Sets!$D$2:$D$2000,AE$1,Sets!$J$2:$J$2000,"N"))</f>
        <v/>
      </c>
      <c r="AF83">
        <f>IF(_xlfn.MAXIFS(Sets!$H$2:$H$2000,Sets!$A$2:$A$2000,$A83,Sets!$D$2:$D$2000,AF$1,Sets!$J$2:$J$2000,"N")=0,"",_xlfn.MAXIFS(Sets!$H$2:$H$2000,Sets!$A$2:$A$2000,$A83,Sets!$D$2:$D$2000,AF$1,Sets!$J$2:$J$2000,"N"))</f>
        <v/>
      </c>
      <c r="AG83">
        <f>IF(_xlfn.MAXIFS(Sets!$H$2:$H$2000,Sets!$A$2:$A$2000,$A83,Sets!$D$2:$D$2000,AG$1,Sets!$J$2:$J$2000,"N")=0,"",_xlfn.MAXIFS(Sets!$H$2:$H$2000,Sets!$A$2:$A$2000,$A83,Sets!$D$2:$D$2000,AG$1,Sets!$J$2:$J$2000,"N"))</f>
        <v/>
      </c>
      <c r="AH83">
        <f>IF(_xlfn.MAXIFS(Sets!$H$2:$H$2000,Sets!$A$2:$A$2000,$A83,Sets!$D$2:$D$2000,AH$1,Sets!$J$2:$J$2000,"N")=0,"",_xlfn.MAXIFS(Sets!$H$2:$H$2000,Sets!$A$2:$A$2000,$A83,Sets!$D$2:$D$2000,AH$1,Sets!$J$2:$J$2000,"N"))</f>
        <v/>
      </c>
      <c r="AI83">
        <f>IF(_xlfn.MAXIFS(Sets!$H$2:$H$2000,Sets!$A$2:$A$2000,$A83,Sets!$D$2:$D$2000,AI$1,Sets!$J$2:$J$2000,"N")=0,"",_xlfn.MAXIFS(Sets!$H$2:$H$2000,Sets!$A$2:$A$2000,$A83,Sets!$D$2:$D$2000,AI$1,Sets!$J$2:$J$2000,"N"))</f>
        <v/>
      </c>
      <c r="AJ83">
        <f>IF(_xlfn.MAXIFS(Sets!$H$2:$H$2000,Sets!$A$2:$A$2000,$A83,Sets!$D$2:$D$2000,AJ$1,Sets!$J$2:$J$2000,"N")=0,"",_xlfn.MAXIFS(Sets!$H$2:$H$2000,Sets!$A$2:$A$2000,$A83,Sets!$D$2:$D$2000,AJ$1,Sets!$J$2:$J$2000,"N"))</f>
        <v/>
      </c>
      <c r="AK83">
        <f>IF(_xlfn.MAXIFS(Sets!$H$2:$H$2000,Sets!$A$2:$A$2000,$A83,Sets!$D$2:$D$2000,AK$1,Sets!$J$2:$J$2000,"N")=0,"",_xlfn.MAXIFS(Sets!$H$2:$H$2000,Sets!$A$2:$A$2000,$A83,Sets!$D$2:$D$2000,AK$1,Sets!$J$2:$J$2000,"N"))</f>
        <v/>
      </c>
      <c r="AL83">
        <f>IF(_xlfn.MAXIFS(Sets!$H$2:$H$2000,Sets!$A$2:$A$2000,$A83,Sets!$D$2:$D$2000,AL$1,Sets!$J$2:$J$2000,"N")=0,"",_xlfn.MAXIFS(Sets!$H$2:$H$2000,Sets!$A$2:$A$2000,$A83,Sets!$D$2:$D$2000,AL$1,Sets!$J$2:$J$2000,"N"))</f>
        <v/>
      </c>
      <c r="AM83">
        <f>IF(_xlfn.MAXIFS(Sets!$H$2:$H$2000,Sets!$A$2:$A$2000,$A83,Sets!$D$2:$D$2000,AM$1,Sets!$J$2:$J$2000,"N")=0,"",_xlfn.MAXIFS(Sets!$H$2:$H$2000,Sets!$A$2:$A$2000,$A83,Sets!$D$2:$D$2000,AM$1,Sets!$J$2:$J$2000,"N"))</f>
        <v/>
      </c>
      <c r="AN83">
        <f>IF(_xlfn.MAXIFS(Sets!$H$2:$H$2000,Sets!$A$2:$A$2000,$A83,Sets!$D$2:$D$2000,AN$1,Sets!$J$2:$J$2000,"N")=0,"",_xlfn.MAXIFS(Sets!$H$2:$H$2000,Sets!$A$2:$A$2000,$A83,Sets!$D$2:$D$2000,AN$1,Sets!$J$2:$J$2000,"N"))</f>
        <v/>
      </c>
      <c r="AO83">
        <f>IF(_xlfn.MAXIFS(Sets!$H$2:$H$2000,Sets!$A$2:$A$2000,$A83,Sets!$D$2:$D$2000,AO$1,Sets!$J$2:$J$2000,"N")=0,"",_xlfn.MAXIFS(Sets!$H$2:$H$2000,Sets!$A$2:$A$2000,$A83,Sets!$D$2:$D$2000,AO$1,Sets!$J$2:$J$2000,"N"))</f>
        <v/>
      </c>
      <c r="AP83">
        <f>IF(_xlfn.MAXIFS(Sets!$H$2:$H$2000,Sets!$A$2:$A$2000,$A83,Sets!$D$2:$D$2000,AP$1,Sets!$J$2:$J$2000,"N")=0,"",_xlfn.MAXIFS(Sets!$H$2:$H$2000,Sets!$A$2:$A$2000,$A83,Sets!$D$2:$D$2000,AP$1,Sets!$J$2:$J$2000,"N"))</f>
        <v/>
      </c>
    </row>
    <row r="8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21" min="1" max="1"/>
    <col width="12" customWidth="1" style="21" min="2" max="2"/>
    <col width="7" customWidth="1" style="21" min="3" max="3"/>
    <col width="11" customWidth="1" style="21" min="4" max="5"/>
    <col width="13" customWidth="1" style="21" min="6" max="8"/>
    <col width="12" customWidth="1" style="21" min="9" max="10"/>
  </cols>
  <sheetData>
    <row r="1" ht="31.5" customHeight="1" s="22">
      <c r="A1" s="38" t="inlineStr">
        <is>
          <t>Exercise</t>
        </is>
      </c>
      <c r="B1" s="38" t="inlineStr">
        <is>
          <t>Equipment</t>
        </is>
      </c>
      <c r="C1" s="38" t="inlineStr">
        <is>
          <t>Unit</t>
        </is>
      </c>
      <c r="D1" s="38" t="inlineStr">
        <is>
          <t>Best Weight</t>
        </is>
      </c>
      <c r="E1" s="38" t="inlineStr">
        <is>
          <t>Reps @ Best</t>
        </is>
      </c>
      <c r="F1" s="38" t="inlineStr">
        <is>
          <t>Date First Hit</t>
        </is>
      </c>
      <c r="G1" s="38" t="inlineStr">
        <is>
          <t>Last Performed</t>
        </is>
      </c>
      <c r="H1" s="38" t="inlineStr">
        <is>
          <t>Top Weight Last Session</t>
        </is>
      </c>
      <c r="I1" s="38" t="inlineStr">
        <is>
          <t>Working Sets Logged</t>
        </is>
      </c>
      <c r="J1" s="38" t="inlineStr">
        <is>
          <t>Total Volume</t>
        </is>
      </c>
    </row>
    <row r="2" ht="15" customHeight="1" s="22">
      <c r="A2" s="40" t="inlineStr">
        <is>
          <t>Squats</t>
        </is>
      </c>
      <c r="B2" s="33" t="inlineStr">
        <is>
          <t>Smith</t>
        </is>
      </c>
      <c r="C2" s="33" t="inlineStr">
        <is>
          <t>lbs</t>
        </is>
      </c>
      <c r="D2" s="41">
        <f>_xlfn.MAXIFS(Sets!$H$2:$H$2000,Sets!$D$2:$D$2000,$A2,Sets!$J$2:$J$2000,"N")</f>
        <v/>
      </c>
      <c r="E2" s="33">
        <f>IFERROR(INDEX(Sets!$I$2:$I$2000,MATCH($A2&amp;"|"&amp;$D2,Sets!$L$2:$L$2000,0)),"")</f>
        <v/>
      </c>
      <c r="F2" s="32">
        <f>IFERROR(INDEX(Sets!$A$2:$A$2000,MATCH($A2&amp;"|"&amp;$D2,Sets!$L$2:$L$2000,0)),"")</f>
        <v/>
      </c>
      <c r="G2" s="32">
        <f>_xlfn.MAXIFS(Sets!$A$2:$A$2000,Sets!$D$2:$D$2000,$A2)</f>
        <v/>
      </c>
      <c r="H2" s="33">
        <f>_xlfn.MAXIFS(Sets!$H$2:$H$2000,Sets!$D$2:$D$2000,$A2,Sets!$A$2:$A$2000,$G2,Sets!$J$2:$J$2000,"N")</f>
        <v/>
      </c>
      <c r="I2" s="33">
        <f>COUNTIFS(Sets!$D$2:$D$2000,$A2,Sets!$J$2:$J$2000,"N")</f>
        <v/>
      </c>
      <c r="J2" s="42">
        <f>SUMIFS(Sets!$K$2:$K$2000,Sets!$D$2:$D$2000,$A2,Sets!$J$2:$J$2000,"N")</f>
        <v/>
      </c>
    </row>
    <row r="3" ht="15" customHeight="1" s="22">
      <c r="A3" s="40" t="inlineStr">
        <is>
          <t>RDLs</t>
        </is>
      </c>
      <c r="B3" s="33" t="inlineStr">
        <is>
          <t>Smith</t>
        </is>
      </c>
      <c r="C3" s="33" t="inlineStr">
        <is>
          <t>lbs</t>
        </is>
      </c>
      <c r="D3" s="41">
        <f>_xlfn.MAXIFS(Sets!$H$2:$H$2000,Sets!$D$2:$D$2000,$A3,Sets!$J$2:$J$2000,"N")</f>
        <v/>
      </c>
      <c r="E3" s="33">
        <f>IFERROR(INDEX(Sets!$I$2:$I$2000,MATCH($A3&amp;"|"&amp;$D3,Sets!$L$2:$L$2000,0)),"")</f>
        <v/>
      </c>
      <c r="F3" s="32">
        <f>IFERROR(INDEX(Sets!$A$2:$A$2000,MATCH($A3&amp;"|"&amp;$D3,Sets!$L$2:$L$2000,0)),"")</f>
        <v/>
      </c>
      <c r="G3" s="32">
        <f>_xlfn.MAXIFS(Sets!$A$2:$A$2000,Sets!$D$2:$D$2000,$A3)</f>
        <v/>
      </c>
      <c r="H3" s="33">
        <f>_xlfn.MAXIFS(Sets!$H$2:$H$2000,Sets!$D$2:$D$2000,$A3,Sets!$A$2:$A$2000,$G3,Sets!$J$2:$J$2000,"N")</f>
        <v/>
      </c>
      <c r="I3" s="33">
        <f>COUNTIFS(Sets!$D$2:$D$2000,$A3,Sets!$J$2:$J$2000,"N")</f>
        <v/>
      </c>
      <c r="J3" s="42">
        <f>SUMIFS(Sets!$K$2:$K$2000,Sets!$D$2:$D$2000,$A3,Sets!$J$2:$J$2000,"N")</f>
        <v/>
      </c>
    </row>
    <row r="4" ht="15" customHeight="1" s="22">
      <c r="A4" s="40" t="inlineStr">
        <is>
          <t>Calf Raises (Smith)</t>
        </is>
      </c>
      <c r="B4" s="33" t="inlineStr">
        <is>
          <t>Smith</t>
        </is>
      </c>
      <c r="C4" s="33" t="inlineStr">
        <is>
          <t>lbs</t>
        </is>
      </c>
      <c r="D4" s="41">
        <f>_xlfn.MAXIFS(Sets!$H$2:$H$2000,Sets!$D$2:$D$2000,$A4,Sets!$J$2:$J$2000,"N")</f>
        <v/>
      </c>
      <c r="E4" s="33">
        <f>IFERROR(INDEX(Sets!$I$2:$I$2000,MATCH($A4&amp;"|"&amp;$D4,Sets!$L$2:$L$2000,0)),"")</f>
        <v/>
      </c>
      <c r="F4" s="32">
        <f>IFERROR(INDEX(Sets!$A$2:$A$2000,MATCH($A4&amp;"|"&amp;$D4,Sets!$L$2:$L$2000,0)),"")</f>
        <v/>
      </c>
      <c r="G4" s="32">
        <f>_xlfn.MAXIFS(Sets!$A$2:$A$2000,Sets!$D$2:$D$2000,$A4)</f>
        <v/>
      </c>
      <c r="H4" s="33">
        <f>_xlfn.MAXIFS(Sets!$H$2:$H$2000,Sets!$D$2:$D$2000,$A4,Sets!$A$2:$A$2000,$G4,Sets!$J$2:$J$2000,"N")</f>
        <v/>
      </c>
      <c r="I4" s="33">
        <f>COUNTIFS(Sets!$D$2:$D$2000,$A4,Sets!$J$2:$J$2000,"N")</f>
        <v/>
      </c>
      <c r="J4" s="42">
        <f>SUMIFS(Sets!$K$2:$K$2000,Sets!$D$2:$D$2000,$A4,Sets!$J$2:$J$2000,"N")</f>
        <v/>
      </c>
    </row>
    <row r="5" ht="15" customHeight="1" s="22">
      <c r="A5" s="40" t="inlineStr">
        <is>
          <t>Lunges</t>
        </is>
      </c>
      <c r="B5" s="33" t="inlineStr">
        <is>
          <t>Bodyweight</t>
        </is>
      </c>
      <c r="C5" s="33" t="inlineStr">
        <is>
          <t>BW</t>
        </is>
      </c>
      <c r="D5" s="41">
        <f>_xlfn.MAXIFS(Sets!$H$2:$H$2000,Sets!$D$2:$D$2000,$A5,Sets!$J$2:$J$2000,"N")</f>
        <v/>
      </c>
      <c r="E5" s="33">
        <f>IFERROR(INDEX(Sets!$I$2:$I$2000,MATCH($A5&amp;"|"&amp;$D5,Sets!$L$2:$L$2000,0)),"")</f>
        <v/>
      </c>
      <c r="F5" s="32">
        <f>IFERROR(INDEX(Sets!$A$2:$A$2000,MATCH($A5&amp;"|"&amp;$D5,Sets!$L$2:$L$2000,0)),"")</f>
        <v/>
      </c>
      <c r="G5" s="32">
        <f>_xlfn.MAXIFS(Sets!$A$2:$A$2000,Sets!$D$2:$D$2000,$A5)</f>
        <v/>
      </c>
      <c r="H5" s="33">
        <f>_xlfn.MAXIFS(Sets!$H$2:$H$2000,Sets!$D$2:$D$2000,$A5,Sets!$A$2:$A$2000,$G5,Sets!$J$2:$J$2000,"N")</f>
        <v/>
      </c>
      <c r="I5" s="33">
        <f>COUNTIFS(Sets!$D$2:$D$2000,$A5,Sets!$J$2:$J$2000,"N")</f>
        <v/>
      </c>
      <c r="J5" s="42">
        <f>SUMIFS(Sets!$K$2:$K$2000,Sets!$D$2:$D$2000,$A5,Sets!$J$2:$J$2000,"N")</f>
        <v/>
      </c>
    </row>
    <row r="6" ht="15" customHeight="1" s="22">
      <c r="A6" s="40" t="inlineStr">
        <is>
          <t>Bench Press (DB)</t>
        </is>
      </c>
      <c r="B6" s="33" t="inlineStr">
        <is>
          <t>Dumbbell</t>
        </is>
      </c>
      <c r="C6" s="33" t="inlineStr">
        <is>
          <t>lbs</t>
        </is>
      </c>
      <c r="D6" s="41">
        <f>_xlfn.MAXIFS(Sets!$H$2:$H$2000,Sets!$D$2:$D$2000,$A6,Sets!$J$2:$J$2000,"N")</f>
        <v/>
      </c>
      <c r="E6" s="33">
        <f>IFERROR(INDEX(Sets!$I$2:$I$2000,MATCH($A6&amp;"|"&amp;$D6,Sets!$L$2:$L$2000,0)),"")</f>
        <v/>
      </c>
      <c r="F6" s="32">
        <f>IFERROR(INDEX(Sets!$A$2:$A$2000,MATCH($A6&amp;"|"&amp;$D6,Sets!$L$2:$L$2000,0)),"")</f>
        <v/>
      </c>
      <c r="G6" s="32">
        <f>_xlfn.MAXIFS(Sets!$A$2:$A$2000,Sets!$D$2:$D$2000,$A6)</f>
        <v/>
      </c>
      <c r="H6" s="33">
        <f>_xlfn.MAXIFS(Sets!$H$2:$H$2000,Sets!$D$2:$D$2000,$A6,Sets!$A$2:$A$2000,$G6,Sets!$J$2:$J$2000,"N")</f>
        <v/>
      </c>
      <c r="I6" s="33">
        <f>COUNTIFS(Sets!$D$2:$D$2000,$A6,Sets!$J$2:$J$2000,"N")</f>
        <v/>
      </c>
      <c r="J6" s="42">
        <f>SUMIFS(Sets!$K$2:$K$2000,Sets!$D$2:$D$2000,$A6,Sets!$J$2:$J$2000,"N")</f>
        <v/>
      </c>
    </row>
    <row r="7" ht="15" customHeight="1" s="22">
      <c r="A7" s="40" t="inlineStr">
        <is>
          <t>Single Arm Lat Pulldown</t>
        </is>
      </c>
      <c r="B7" s="33" t="inlineStr">
        <is>
          <t>Cable</t>
        </is>
      </c>
      <c r="C7" s="33" t="inlineStr">
        <is>
          <t>kg</t>
        </is>
      </c>
      <c r="D7" s="41">
        <f>_xlfn.MAXIFS(Sets!$H$2:$H$2000,Sets!$D$2:$D$2000,$A7,Sets!$J$2:$J$2000,"N")</f>
        <v/>
      </c>
      <c r="E7" s="33">
        <f>IFERROR(INDEX(Sets!$I$2:$I$2000,MATCH($A7&amp;"|"&amp;$D7,Sets!$L$2:$L$2000,0)),"")</f>
        <v/>
      </c>
      <c r="F7" s="32">
        <f>IFERROR(INDEX(Sets!$A$2:$A$2000,MATCH($A7&amp;"|"&amp;$D7,Sets!$L$2:$L$2000,0)),"")</f>
        <v/>
      </c>
      <c r="G7" s="32">
        <f>_xlfn.MAXIFS(Sets!$A$2:$A$2000,Sets!$D$2:$D$2000,$A7)</f>
        <v/>
      </c>
      <c r="H7" s="33">
        <f>_xlfn.MAXIFS(Sets!$H$2:$H$2000,Sets!$D$2:$D$2000,$A7,Sets!$A$2:$A$2000,$G7,Sets!$J$2:$J$2000,"N")</f>
        <v/>
      </c>
      <c r="I7" s="33">
        <f>COUNTIFS(Sets!$D$2:$D$2000,$A7,Sets!$J$2:$J$2000,"N")</f>
        <v/>
      </c>
      <c r="J7" s="42">
        <f>SUMIFS(Sets!$K$2:$K$2000,Sets!$D$2:$D$2000,$A7,Sets!$J$2:$J$2000,"N")</f>
        <v/>
      </c>
    </row>
    <row r="8" ht="15" customHeight="1" s="22">
      <c r="A8" s="40" t="inlineStr">
        <is>
          <t>Shoulder Press</t>
        </is>
      </c>
      <c r="B8" s="33" t="inlineStr">
        <is>
          <t>Dumbbell</t>
        </is>
      </c>
      <c r="C8" s="33" t="inlineStr">
        <is>
          <t>lbs</t>
        </is>
      </c>
      <c r="D8" s="41">
        <f>_xlfn.MAXIFS(Sets!$H$2:$H$2000,Sets!$D$2:$D$2000,$A8,Sets!$J$2:$J$2000,"N")</f>
        <v/>
      </c>
      <c r="E8" s="33">
        <f>IFERROR(INDEX(Sets!$I$2:$I$2000,MATCH($A8&amp;"|"&amp;$D8,Sets!$L$2:$L$2000,0)),"")</f>
        <v/>
      </c>
      <c r="F8" s="32">
        <f>IFERROR(INDEX(Sets!$A$2:$A$2000,MATCH($A8&amp;"|"&amp;$D8,Sets!$L$2:$L$2000,0)),"")</f>
        <v/>
      </c>
      <c r="G8" s="32">
        <f>_xlfn.MAXIFS(Sets!$A$2:$A$2000,Sets!$D$2:$D$2000,$A8)</f>
        <v/>
      </c>
      <c r="H8" s="33">
        <f>_xlfn.MAXIFS(Sets!$H$2:$H$2000,Sets!$D$2:$D$2000,$A8,Sets!$A$2:$A$2000,$G8,Sets!$J$2:$J$2000,"N")</f>
        <v/>
      </c>
      <c r="I8" s="33">
        <f>COUNTIFS(Sets!$D$2:$D$2000,$A8,Sets!$J$2:$J$2000,"N")</f>
        <v/>
      </c>
      <c r="J8" s="42">
        <f>SUMIFS(Sets!$K$2:$K$2000,Sets!$D$2:$D$2000,$A8,Sets!$J$2:$J$2000,"N")</f>
        <v/>
      </c>
    </row>
    <row r="9" ht="15" customHeight="1" s="22">
      <c r="A9" s="40" t="inlineStr">
        <is>
          <t>Bicep Curls (DB)</t>
        </is>
      </c>
      <c r="B9" s="33" t="inlineStr">
        <is>
          <t>Dumbbell</t>
        </is>
      </c>
      <c r="C9" s="33" t="inlineStr">
        <is>
          <t>lbs</t>
        </is>
      </c>
      <c r="D9" s="41">
        <f>_xlfn.MAXIFS(Sets!$H$2:$H$2000,Sets!$D$2:$D$2000,$A9,Sets!$J$2:$J$2000,"N")</f>
        <v/>
      </c>
      <c r="E9" s="33">
        <f>IFERROR(INDEX(Sets!$I$2:$I$2000,MATCH($A9&amp;"|"&amp;$D9,Sets!$L$2:$L$2000,0)),"")</f>
        <v/>
      </c>
      <c r="F9" s="32">
        <f>IFERROR(INDEX(Sets!$A$2:$A$2000,MATCH($A9&amp;"|"&amp;$D9,Sets!$L$2:$L$2000,0)),"")</f>
        <v/>
      </c>
      <c r="G9" s="32">
        <f>_xlfn.MAXIFS(Sets!$A$2:$A$2000,Sets!$D$2:$D$2000,$A9)</f>
        <v/>
      </c>
      <c r="H9" s="33">
        <f>_xlfn.MAXIFS(Sets!$H$2:$H$2000,Sets!$D$2:$D$2000,$A9,Sets!$A$2:$A$2000,$G9,Sets!$J$2:$J$2000,"N")</f>
        <v/>
      </c>
      <c r="I9" s="33">
        <f>COUNTIFS(Sets!$D$2:$D$2000,$A9,Sets!$J$2:$J$2000,"N")</f>
        <v/>
      </c>
      <c r="J9" s="42">
        <f>SUMIFS(Sets!$K$2:$K$2000,Sets!$D$2:$D$2000,$A9,Sets!$J$2:$J$2000,"N")</f>
        <v/>
      </c>
    </row>
    <row r="10" ht="15" customHeight="1" s="22">
      <c r="A10" s="40" t="inlineStr">
        <is>
          <t>DB Rows</t>
        </is>
      </c>
      <c r="B10" s="33" t="inlineStr">
        <is>
          <t>Dumbbell</t>
        </is>
      </c>
      <c r="C10" s="33" t="inlineStr">
        <is>
          <t>lbs</t>
        </is>
      </c>
      <c r="D10" s="41">
        <f>_xlfn.MAXIFS(Sets!$H$2:$H$2000,Sets!$D$2:$D$2000,$A10,Sets!$J$2:$J$2000,"N")</f>
        <v/>
      </c>
      <c r="E10" s="33">
        <f>IFERROR(INDEX(Sets!$I$2:$I$2000,MATCH($A10&amp;"|"&amp;$D10,Sets!$L$2:$L$2000,0)),"")</f>
        <v/>
      </c>
      <c r="F10" s="32">
        <f>IFERROR(INDEX(Sets!$A$2:$A$2000,MATCH($A10&amp;"|"&amp;$D10,Sets!$L$2:$L$2000,0)),"")</f>
        <v/>
      </c>
      <c r="G10" s="32">
        <f>_xlfn.MAXIFS(Sets!$A$2:$A$2000,Sets!$D$2:$D$2000,$A10)</f>
        <v/>
      </c>
      <c r="H10" s="33">
        <f>_xlfn.MAXIFS(Sets!$H$2:$H$2000,Sets!$D$2:$D$2000,$A10,Sets!$A$2:$A$2000,$G10,Sets!$J$2:$J$2000,"N")</f>
        <v/>
      </c>
      <c r="I10" s="33">
        <f>COUNTIFS(Sets!$D$2:$D$2000,$A10,Sets!$J$2:$J$2000,"N")</f>
        <v/>
      </c>
      <c r="J10" s="42">
        <f>SUMIFS(Sets!$K$2:$K$2000,Sets!$D$2:$D$2000,$A10,Sets!$J$2:$J$2000,"N")</f>
        <v/>
      </c>
    </row>
    <row r="11" ht="15" customHeight="1" s="22">
      <c r="A11" s="40" t="inlineStr">
        <is>
          <t>Tricep Ext Overhead</t>
        </is>
      </c>
      <c r="B11" s="33" t="inlineStr">
        <is>
          <t>Dumbbell</t>
        </is>
      </c>
      <c r="C11" s="33" t="inlineStr">
        <is>
          <t>lbs</t>
        </is>
      </c>
      <c r="D11" s="41">
        <f>_xlfn.MAXIFS(Sets!$H$2:$H$2000,Sets!$D$2:$D$2000,$A11,Sets!$J$2:$J$2000,"N")</f>
        <v/>
      </c>
      <c r="E11" s="33">
        <f>IFERROR(INDEX(Sets!$I$2:$I$2000,MATCH($A11&amp;"|"&amp;$D11,Sets!$L$2:$L$2000,0)),"")</f>
        <v/>
      </c>
      <c r="F11" s="32">
        <f>IFERROR(INDEX(Sets!$A$2:$A$2000,MATCH($A11&amp;"|"&amp;$D11,Sets!$L$2:$L$2000,0)),"")</f>
        <v/>
      </c>
      <c r="G11" s="32">
        <f>_xlfn.MAXIFS(Sets!$A$2:$A$2000,Sets!$D$2:$D$2000,$A11)</f>
        <v/>
      </c>
      <c r="H11" s="33">
        <f>_xlfn.MAXIFS(Sets!$H$2:$H$2000,Sets!$D$2:$D$2000,$A11,Sets!$A$2:$A$2000,$G11,Sets!$J$2:$J$2000,"N")</f>
        <v/>
      </c>
      <c r="I11" s="33">
        <f>COUNTIFS(Sets!$D$2:$D$2000,$A11,Sets!$J$2:$J$2000,"N")</f>
        <v/>
      </c>
      <c r="J11" s="42">
        <f>SUMIFS(Sets!$K$2:$K$2000,Sets!$D$2:$D$2000,$A11,Sets!$J$2:$J$2000,"N")</f>
        <v/>
      </c>
    </row>
    <row r="12" ht="15" customHeight="1" s="22">
      <c r="A12" s="40" t="inlineStr">
        <is>
          <t>Incline Flyes</t>
        </is>
      </c>
      <c r="B12" s="33" t="inlineStr">
        <is>
          <t>Dumbbell</t>
        </is>
      </c>
      <c r="C12" s="33" t="inlineStr">
        <is>
          <t>lbs</t>
        </is>
      </c>
      <c r="D12" s="41">
        <f>_xlfn.MAXIFS(Sets!$H$2:$H$2000,Sets!$D$2:$D$2000,$A12,Sets!$J$2:$J$2000,"N")</f>
        <v/>
      </c>
      <c r="E12" s="33">
        <f>IFERROR(INDEX(Sets!$I$2:$I$2000,MATCH($A12&amp;"|"&amp;$D12,Sets!$L$2:$L$2000,0)),"")</f>
        <v/>
      </c>
      <c r="F12" s="32">
        <f>IFERROR(INDEX(Sets!$A$2:$A$2000,MATCH($A12&amp;"|"&amp;$D12,Sets!$L$2:$L$2000,0)),"")</f>
        <v/>
      </c>
      <c r="G12" s="32">
        <f>_xlfn.MAXIFS(Sets!$A$2:$A$2000,Sets!$D$2:$D$2000,$A12)</f>
        <v/>
      </c>
      <c r="H12" s="33">
        <f>_xlfn.MAXIFS(Sets!$H$2:$H$2000,Sets!$D$2:$D$2000,$A12,Sets!$A$2:$A$2000,$G12,Sets!$J$2:$J$2000,"N")</f>
        <v/>
      </c>
      <c r="I12" s="33">
        <f>COUNTIFS(Sets!$D$2:$D$2000,$A12,Sets!$J$2:$J$2000,"N")</f>
        <v/>
      </c>
      <c r="J12" s="42">
        <f>SUMIFS(Sets!$K$2:$K$2000,Sets!$D$2:$D$2000,$A12,Sets!$J$2:$J$2000,"N")</f>
        <v/>
      </c>
    </row>
    <row r="13" ht="15" customHeight="1" s="22">
      <c r="A13" s="40" t="inlineStr">
        <is>
          <t>Smith Rows</t>
        </is>
      </c>
      <c r="B13" s="33" t="inlineStr">
        <is>
          <t>Smith</t>
        </is>
      </c>
      <c r="C13" s="33" t="inlineStr">
        <is>
          <t>lbs</t>
        </is>
      </c>
      <c r="D13" s="41">
        <f>_xlfn.MAXIFS(Sets!$H$2:$H$2000,Sets!$D$2:$D$2000,$A13,Sets!$J$2:$J$2000,"N")</f>
        <v/>
      </c>
      <c r="E13" s="33">
        <f>IFERROR(INDEX(Sets!$I$2:$I$2000,MATCH($A13&amp;"|"&amp;$D13,Sets!$L$2:$L$2000,0)),"")</f>
        <v/>
      </c>
      <c r="F13" s="32">
        <f>IFERROR(INDEX(Sets!$A$2:$A$2000,MATCH($A13&amp;"|"&amp;$D13,Sets!$L$2:$L$2000,0)),"")</f>
        <v/>
      </c>
      <c r="G13" s="32">
        <f>_xlfn.MAXIFS(Sets!$A$2:$A$2000,Sets!$D$2:$D$2000,$A13)</f>
        <v/>
      </c>
      <c r="H13" s="33">
        <f>_xlfn.MAXIFS(Sets!$H$2:$H$2000,Sets!$D$2:$D$2000,$A13,Sets!$A$2:$A$2000,$G13,Sets!$J$2:$J$2000,"N")</f>
        <v/>
      </c>
      <c r="I13" s="33">
        <f>COUNTIFS(Sets!$D$2:$D$2000,$A13,Sets!$J$2:$J$2000,"N")</f>
        <v/>
      </c>
      <c r="J13" s="42">
        <f>SUMIFS(Sets!$K$2:$K$2000,Sets!$D$2:$D$2000,$A13,Sets!$J$2:$J$2000,"N")</f>
        <v/>
      </c>
    </row>
    <row r="14" ht="15" customHeight="1" s="22">
      <c r="A14" s="40" t="inlineStr">
        <is>
          <t>Lateral Raises</t>
        </is>
      </c>
      <c r="B14" s="33" t="inlineStr">
        <is>
          <t>Dumbbell</t>
        </is>
      </c>
      <c r="C14" s="33" t="inlineStr">
        <is>
          <t>lbs</t>
        </is>
      </c>
      <c r="D14" s="41">
        <f>_xlfn.MAXIFS(Sets!$H$2:$H$2000,Sets!$D$2:$D$2000,$A14,Sets!$J$2:$J$2000,"N")</f>
        <v/>
      </c>
      <c r="E14" s="33">
        <f>IFERROR(INDEX(Sets!$I$2:$I$2000,MATCH($A14&amp;"|"&amp;$D14,Sets!$L$2:$L$2000,0)),"")</f>
        <v/>
      </c>
      <c r="F14" s="32">
        <f>IFERROR(INDEX(Sets!$A$2:$A$2000,MATCH($A14&amp;"|"&amp;$D14,Sets!$L$2:$L$2000,0)),"")</f>
        <v/>
      </c>
      <c r="G14" s="32">
        <f>_xlfn.MAXIFS(Sets!$A$2:$A$2000,Sets!$D$2:$D$2000,$A14)</f>
        <v/>
      </c>
      <c r="H14" s="33">
        <f>_xlfn.MAXIFS(Sets!$H$2:$H$2000,Sets!$D$2:$D$2000,$A14,Sets!$A$2:$A$2000,$G14,Sets!$J$2:$J$2000,"N")</f>
        <v/>
      </c>
      <c r="I14" s="33">
        <f>COUNTIFS(Sets!$D$2:$D$2000,$A14,Sets!$J$2:$J$2000,"N")</f>
        <v/>
      </c>
      <c r="J14" s="42">
        <f>SUMIFS(Sets!$K$2:$K$2000,Sets!$D$2:$D$2000,$A14,Sets!$J$2:$J$2000,"N")</f>
        <v/>
      </c>
    </row>
    <row r="15" ht="15" customHeight="1" s="22">
      <c r="A15" s="40" t="inlineStr">
        <is>
          <t>Shrugs</t>
        </is>
      </c>
      <c r="B15" s="33" t="inlineStr">
        <is>
          <t>Dumbbell</t>
        </is>
      </c>
      <c r="C15" s="33" t="inlineStr">
        <is>
          <t>lbs</t>
        </is>
      </c>
      <c r="D15" s="41">
        <f>_xlfn.MAXIFS(Sets!$H$2:$H$2000,Sets!$D$2:$D$2000,$A15,Sets!$J$2:$J$2000,"N")</f>
        <v/>
      </c>
      <c r="E15" s="33">
        <f>IFERROR(INDEX(Sets!$I$2:$I$2000,MATCH($A15&amp;"|"&amp;$D15,Sets!$L$2:$L$2000,0)),"")</f>
        <v/>
      </c>
      <c r="F15" s="32">
        <f>IFERROR(INDEX(Sets!$A$2:$A$2000,MATCH($A15&amp;"|"&amp;$D15,Sets!$L$2:$L$2000,0)),"")</f>
        <v/>
      </c>
      <c r="G15" s="32">
        <f>_xlfn.MAXIFS(Sets!$A$2:$A$2000,Sets!$D$2:$D$2000,$A15)</f>
        <v/>
      </c>
      <c r="H15" s="33">
        <f>_xlfn.MAXIFS(Sets!$H$2:$H$2000,Sets!$D$2:$D$2000,$A15,Sets!$A$2:$A$2000,$G15,Sets!$J$2:$J$2000,"N")</f>
        <v/>
      </c>
      <c r="I15" s="33">
        <f>COUNTIFS(Sets!$D$2:$D$2000,$A15,Sets!$J$2:$J$2000,"N")</f>
        <v/>
      </c>
      <c r="J15" s="42">
        <f>SUMIFS(Sets!$K$2:$K$2000,Sets!$D$2:$D$2000,$A15,Sets!$J$2:$J$2000,"N")</f>
        <v/>
      </c>
    </row>
    <row r="16" ht="15" customHeight="1" s="22">
      <c r="A16" s="40" t="inlineStr">
        <is>
          <t>Chest Press Machine</t>
        </is>
      </c>
      <c r="B16" s="33" t="inlineStr">
        <is>
          <t>Machine</t>
        </is>
      </c>
      <c r="C16" s="33" t="inlineStr">
        <is>
          <t>lbs</t>
        </is>
      </c>
      <c r="D16" s="41">
        <f>_xlfn.MAXIFS(Sets!$H$2:$H$2000,Sets!$D$2:$D$2000,$A16,Sets!$J$2:$J$2000,"N")</f>
        <v/>
      </c>
      <c r="E16" s="33">
        <f>IFERROR(INDEX(Sets!$I$2:$I$2000,MATCH($A16&amp;"|"&amp;$D16,Sets!$L$2:$L$2000,0)),"")</f>
        <v/>
      </c>
      <c r="F16" s="32">
        <f>IFERROR(INDEX(Sets!$A$2:$A$2000,MATCH($A16&amp;"|"&amp;$D16,Sets!$L$2:$L$2000,0)),"")</f>
        <v/>
      </c>
      <c r="G16" s="32">
        <f>_xlfn.MAXIFS(Sets!$A$2:$A$2000,Sets!$D$2:$D$2000,$A16)</f>
        <v/>
      </c>
      <c r="H16" s="33">
        <f>_xlfn.MAXIFS(Sets!$H$2:$H$2000,Sets!$D$2:$D$2000,$A16,Sets!$A$2:$A$2000,$G16,Sets!$J$2:$J$2000,"N")</f>
        <v/>
      </c>
      <c r="I16" s="33">
        <f>COUNTIFS(Sets!$D$2:$D$2000,$A16,Sets!$J$2:$J$2000,"N")</f>
        <v/>
      </c>
      <c r="J16" s="42">
        <f>SUMIFS(Sets!$K$2:$K$2000,Sets!$D$2:$D$2000,$A16,Sets!$J$2:$J$2000,"N")</f>
        <v/>
      </c>
    </row>
    <row r="17" ht="15" customHeight="1" s="22">
      <c r="A17" s="40" t="inlineStr">
        <is>
          <t>Lat Pulldown Machine</t>
        </is>
      </c>
      <c r="B17" s="33" t="inlineStr">
        <is>
          <t>Machine</t>
        </is>
      </c>
      <c r="C17" s="33" t="inlineStr">
        <is>
          <t>lbs</t>
        </is>
      </c>
      <c r="D17" s="41">
        <f>_xlfn.MAXIFS(Sets!$H$2:$H$2000,Sets!$D$2:$D$2000,$A17,Sets!$J$2:$J$2000,"N")</f>
        <v/>
      </c>
      <c r="E17" s="33">
        <f>IFERROR(INDEX(Sets!$I$2:$I$2000,MATCH($A17&amp;"|"&amp;$D17,Sets!$L$2:$L$2000,0)),"")</f>
        <v/>
      </c>
      <c r="F17" s="32">
        <f>IFERROR(INDEX(Sets!$A$2:$A$2000,MATCH($A17&amp;"|"&amp;$D17,Sets!$L$2:$L$2000,0)),"")</f>
        <v/>
      </c>
      <c r="G17" s="32">
        <f>_xlfn.MAXIFS(Sets!$A$2:$A$2000,Sets!$D$2:$D$2000,$A17)</f>
        <v/>
      </c>
      <c r="H17" s="33">
        <f>_xlfn.MAXIFS(Sets!$H$2:$H$2000,Sets!$D$2:$D$2000,$A17,Sets!$A$2:$A$2000,$G17,Sets!$J$2:$J$2000,"N")</f>
        <v/>
      </c>
      <c r="I17" s="33">
        <f>COUNTIFS(Sets!$D$2:$D$2000,$A17,Sets!$J$2:$J$2000,"N")</f>
        <v/>
      </c>
      <c r="J17" s="42">
        <f>SUMIFS(Sets!$K$2:$K$2000,Sets!$D$2:$D$2000,$A17,Sets!$J$2:$J$2000,"N")</f>
        <v/>
      </c>
    </row>
    <row r="18" ht="15" customHeight="1" s="22">
      <c r="A18" s="40" t="inlineStr">
        <is>
          <t>Shoulder Press Machine</t>
        </is>
      </c>
      <c r="B18" s="33" t="inlineStr">
        <is>
          <t>Machine</t>
        </is>
      </c>
      <c r="C18" s="33" t="inlineStr">
        <is>
          <t>lbs</t>
        </is>
      </c>
      <c r="D18" s="41">
        <f>_xlfn.MAXIFS(Sets!$H$2:$H$2000,Sets!$D$2:$D$2000,$A18,Sets!$J$2:$J$2000,"N")</f>
        <v/>
      </c>
      <c r="E18" s="33">
        <f>IFERROR(INDEX(Sets!$I$2:$I$2000,MATCH($A18&amp;"|"&amp;$D18,Sets!$L$2:$L$2000,0)),"")</f>
        <v/>
      </c>
      <c r="F18" s="32">
        <f>IFERROR(INDEX(Sets!$A$2:$A$2000,MATCH($A18&amp;"|"&amp;$D18,Sets!$L$2:$L$2000,0)),"")</f>
        <v/>
      </c>
      <c r="G18" s="32">
        <f>_xlfn.MAXIFS(Sets!$A$2:$A$2000,Sets!$D$2:$D$2000,$A18)</f>
        <v/>
      </c>
      <c r="H18" s="33">
        <f>_xlfn.MAXIFS(Sets!$H$2:$H$2000,Sets!$D$2:$D$2000,$A18,Sets!$A$2:$A$2000,$G18,Sets!$J$2:$J$2000,"N")</f>
        <v/>
      </c>
      <c r="I18" s="33">
        <f>COUNTIFS(Sets!$D$2:$D$2000,$A18,Sets!$J$2:$J$2000,"N")</f>
        <v/>
      </c>
      <c r="J18" s="42">
        <f>SUMIFS(Sets!$K$2:$K$2000,Sets!$D$2:$D$2000,$A18,Sets!$J$2:$J$2000,"N")</f>
        <v/>
      </c>
    </row>
    <row r="19" ht="15" customHeight="1" s="22">
      <c r="A19" s="40" t="inlineStr">
        <is>
          <t>Assisted Pull-ups</t>
        </is>
      </c>
      <c r="B19" s="33" t="inlineStr">
        <is>
          <t>Machine</t>
        </is>
      </c>
      <c r="C19" s="33" t="inlineStr">
        <is>
          <t>lbs</t>
        </is>
      </c>
      <c r="D19" s="41">
        <f>_xlfn.MAXIFS(Sets!$H$2:$H$2000,Sets!$D$2:$D$2000,$A19,Sets!$J$2:$J$2000,"N")</f>
        <v/>
      </c>
      <c r="E19" s="33">
        <f>IFERROR(INDEX(Sets!$I$2:$I$2000,MATCH($A19&amp;"|"&amp;$D19,Sets!$L$2:$L$2000,0)),"")</f>
        <v/>
      </c>
      <c r="F19" s="32">
        <f>IFERROR(INDEX(Sets!$A$2:$A$2000,MATCH($A19&amp;"|"&amp;$D19,Sets!$L$2:$L$2000,0)),"")</f>
        <v/>
      </c>
      <c r="G19" s="32">
        <f>_xlfn.MAXIFS(Sets!$A$2:$A$2000,Sets!$D$2:$D$2000,$A19)</f>
        <v/>
      </c>
      <c r="H19" s="33">
        <f>_xlfn.MAXIFS(Sets!$H$2:$H$2000,Sets!$D$2:$D$2000,$A19,Sets!$A$2:$A$2000,$G19,Sets!$J$2:$J$2000,"N")</f>
        <v/>
      </c>
      <c r="I19" s="33">
        <f>COUNTIFS(Sets!$D$2:$D$2000,$A19,Sets!$J$2:$J$2000,"N")</f>
        <v/>
      </c>
      <c r="J19" s="42">
        <f>SUMIFS(Sets!$K$2:$K$2000,Sets!$D$2:$D$2000,$A19,Sets!$J$2:$J$2000,"N")</f>
        <v/>
      </c>
    </row>
    <row r="20" ht="15" customHeight="1" s="22">
      <c r="A20" s="40" t="inlineStr">
        <is>
          <t>Dips</t>
        </is>
      </c>
      <c r="B20" s="33" t="inlineStr">
        <is>
          <t>Machine</t>
        </is>
      </c>
      <c r="C20" s="33" t="inlineStr">
        <is>
          <t>lbs</t>
        </is>
      </c>
      <c r="D20" s="41">
        <f>_xlfn.MAXIFS(Sets!$H$2:$H$2000,Sets!$D$2:$D$2000,$A20,Sets!$J$2:$J$2000,"N")</f>
        <v/>
      </c>
      <c r="E20" s="33">
        <f>IFERROR(INDEX(Sets!$I$2:$I$2000,MATCH($A20&amp;"|"&amp;$D20,Sets!$L$2:$L$2000,0)),"")</f>
        <v/>
      </c>
      <c r="F20" s="32">
        <f>IFERROR(INDEX(Sets!$A$2:$A$2000,MATCH($A20&amp;"|"&amp;$D20,Sets!$L$2:$L$2000,0)),"")</f>
        <v/>
      </c>
      <c r="G20" s="32">
        <f>_xlfn.MAXIFS(Sets!$A$2:$A$2000,Sets!$D$2:$D$2000,$A20)</f>
        <v/>
      </c>
      <c r="H20" s="33">
        <f>_xlfn.MAXIFS(Sets!$H$2:$H$2000,Sets!$D$2:$D$2000,$A20,Sets!$A$2:$A$2000,$G20,Sets!$J$2:$J$2000,"N")</f>
        <v/>
      </c>
      <c r="I20" s="33">
        <f>COUNTIFS(Sets!$D$2:$D$2000,$A20,Sets!$J$2:$J$2000,"N")</f>
        <v/>
      </c>
      <c r="J20" s="42">
        <f>SUMIFS(Sets!$K$2:$K$2000,Sets!$D$2:$D$2000,$A20,Sets!$J$2:$J$2000,"N")</f>
        <v/>
      </c>
    </row>
    <row r="21" ht="15" customHeight="1" s="22">
      <c r="A21" s="40" t="inlineStr">
        <is>
          <t>Chin-ups</t>
        </is>
      </c>
      <c r="B21" s="33" t="inlineStr">
        <is>
          <t>Bodyweight</t>
        </is>
      </c>
      <c r="C21" s="33" t="inlineStr">
        <is>
          <t>BW</t>
        </is>
      </c>
      <c r="D21" s="41">
        <f>_xlfn.MAXIFS(Sets!$H$2:$H$2000,Sets!$D$2:$D$2000,$A21,Sets!$J$2:$J$2000,"N")</f>
        <v/>
      </c>
      <c r="E21" s="33">
        <f>IFERROR(INDEX(Sets!$I$2:$I$2000,MATCH($A21&amp;"|"&amp;$D21,Sets!$L$2:$L$2000,0)),"")</f>
        <v/>
      </c>
      <c r="F21" s="32">
        <f>IFERROR(INDEX(Sets!$A$2:$A$2000,MATCH($A21&amp;"|"&amp;$D21,Sets!$L$2:$L$2000,0)),"")</f>
        <v/>
      </c>
      <c r="G21" s="32">
        <f>_xlfn.MAXIFS(Sets!$A$2:$A$2000,Sets!$D$2:$D$2000,$A21)</f>
        <v/>
      </c>
      <c r="H21" s="33">
        <f>_xlfn.MAXIFS(Sets!$H$2:$H$2000,Sets!$D$2:$D$2000,$A21,Sets!$A$2:$A$2000,$G21,Sets!$J$2:$J$2000,"N")</f>
        <v/>
      </c>
      <c r="I21" s="33">
        <f>COUNTIFS(Sets!$D$2:$D$2000,$A21,Sets!$J$2:$J$2000,"N")</f>
        <v/>
      </c>
      <c r="J21" s="42">
        <f>SUMIFS(Sets!$K$2:$K$2000,Sets!$D$2:$D$2000,$A21,Sets!$J$2:$J$2000,"N")</f>
        <v/>
      </c>
    </row>
    <row r="22" ht="15" customHeight="1" s="22">
      <c r="A22" s="40" t="inlineStr">
        <is>
          <t>Bench Press (Smith)</t>
        </is>
      </c>
      <c r="B22" s="33" t="inlineStr">
        <is>
          <t>Smith</t>
        </is>
      </c>
      <c r="C22" s="33" t="inlineStr">
        <is>
          <t>lbs</t>
        </is>
      </c>
      <c r="D22" s="41">
        <f>_xlfn.MAXIFS(Sets!$H$2:$H$2000,Sets!$D$2:$D$2000,$A22,Sets!$J$2:$J$2000,"N")</f>
        <v/>
      </c>
      <c r="E22" s="33">
        <f>IFERROR(INDEX(Sets!$I$2:$I$2000,MATCH($A22&amp;"|"&amp;$D22,Sets!$L$2:$L$2000,0)),"")</f>
        <v/>
      </c>
      <c r="F22" s="32">
        <f>IFERROR(INDEX(Sets!$A$2:$A$2000,MATCH($A22&amp;"|"&amp;$D22,Sets!$L$2:$L$2000,0)),"")</f>
        <v/>
      </c>
      <c r="G22" s="32">
        <f>_xlfn.MAXIFS(Sets!$A$2:$A$2000,Sets!$D$2:$D$2000,$A22)</f>
        <v/>
      </c>
      <c r="H22" s="33">
        <f>_xlfn.MAXIFS(Sets!$H$2:$H$2000,Sets!$D$2:$D$2000,$A22,Sets!$A$2:$A$2000,$G22,Sets!$J$2:$J$2000,"N")</f>
        <v/>
      </c>
      <c r="I22" s="33">
        <f>COUNTIFS(Sets!$D$2:$D$2000,$A22,Sets!$J$2:$J$2000,"N")</f>
        <v/>
      </c>
      <c r="J22" s="42">
        <f>SUMIFS(Sets!$K$2:$K$2000,Sets!$D$2:$D$2000,$A22,Sets!$J$2:$J$2000,"N")</f>
        <v/>
      </c>
    </row>
    <row r="23" ht="15" customHeight="1" s="22">
      <c r="A23" s="40" t="inlineStr">
        <is>
          <t>Incline Bench (DB)</t>
        </is>
      </c>
      <c r="B23" s="33" t="inlineStr">
        <is>
          <t>Dumbbell</t>
        </is>
      </c>
      <c r="C23" s="33" t="inlineStr">
        <is>
          <t>lbs</t>
        </is>
      </c>
      <c r="D23" s="41">
        <f>_xlfn.MAXIFS(Sets!$H$2:$H$2000,Sets!$D$2:$D$2000,$A23,Sets!$J$2:$J$2000,"N")</f>
        <v/>
      </c>
      <c r="E23" s="33">
        <f>IFERROR(INDEX(Sets!$I$2:$I$2000,MATCH($A23&amp;"|"&amp;$D23,Sets!$L$2:$L$2000,0)),"")</f>
        <v/>
      </c>
      <c r="F23" s="32">
        <f>IFERROR(INDEX(Sets!$A$2:$A$2000,MATCH($A23&amp;"|"&amp;$D23,Sets!$L$2:$L$2000,0)),"")</f>
        <v/>
      </c>
      <c r="G23" s="32">
        <f>_xlfn.MAXIFS(Sets!$A$2:$A$2000,Sets!$D$2:$D$2000,$A23)</f>
        <v/>
      </c>
      <c r="H23" s="33">
        <f>_xlfn.MAXIFS(Sets!$H$2:$H$2000,Sets!$D$2:$D$2000,$A23,Sets!$A$2:$A$2000,$G23,Sets!$J$2:$J$2000,"N")</f>
        <v/>
      </c>
      <c r="I23" s="33">
        <f>COUNTIFS(Sets!$D$2:$D$2000,$A23,Sets!$J$2:$J$2000,"N")</f>
        <v/>
      </c>
      <c r="J23" s="42">
        <f>SUMIFS(Sets!$K$2:$K$2000,Sets!$D$2:$D$2000,$A23,Sets!$J$2:$J$2000,"N")</f>
        <v/>
      </c>
    </row>
    <row r="24" ht="15" customHeight="1" s="22">
      <c r="A24" s="40" t="inlineStr">
        <is>
          <t>Bicep Curls (Cable)</t>
        </is>
      </c>
      <c r="B24" s="33" t="inlineStr">
        <is>
          <t>Cable</t>
        </is>
      </c>
      <c r="C24" s="33" t="inlineStr">
        <is>
          <t>kg</t>
        </is>
      </c>
      <c r="D24" s="41">
        <f>_xlfn.MAXIFS(Sets!$H$2:$H$2000,Sets!$D$2:$D$2000,$A24,Sets!$J$2:$J$2000,"N")</f>
        <v/>
      </c>
      <c r="E24" s="33">
        <f>IFERROR(INDEX(Sets!$I$2:$I$2000,MATCH($A24&amp;"|"&amp;$D24,Sets!$L$2:$L$2000,0)),"")</f>
        <v/>
      </c>
      <c r="F24" s="32">
        <f>IFERROR(INDEX(Sets!$A$2:$A$2000,MATCH($A24&amp;"|"&amp;$D24,Sets!$L$2:$L$2000,0)),"")</f>
        <v/>
      </c>
      <c r="G24" s="32">
        <f>_xlfn.MAXIFS(Sets!$A$2:$A$2000,Sets!$D$2:$D$2000,$A24)</f>
        <v/>
      </c>
      <c r="H24" s="33">
        <f>_xlfn.MAXIFS(Sets!$H$2:$H$2000,Sets!$D$2:$D$2000,$A24,Sets!$A$2:$A$2000,$G24,Sets!$J$2:$J$2000,"N")</f>
        <v/>
      </c>
      <c r="I24" s="33">
        <f>COUNTIFS(Sets!$D$2:$D$2000,$A24,Sets!$J$2:$J$2000,"N")</f>
        <v/>
      </c>
      <c r="J24" s="42">
        <f>SUMIFS(Sets!$K$2:$K$2000,Sets!$D$2:$D$2000,$A24,Sets!$J$2:$J$2000,"N")</f>
        <v/>
      </c>
    </row>
    <row r="25" ht="15" customHeight="1" s="22">
      <c r="A25" s="40" t="inlineStr">
        <is>
          <t>Face Pulls</t>
        </is>
      </c>
      <c r="B25" s="33" t="inlineStr">
        <is>
          <t>Cable</t>
        </is>
      </c>
      <c r="C25" s="33" t="inlineStr">
        <is>
          <t>kg</t>
        </is>
      </c>
      <c r="D25" s="41">
        <f>_xlfn.MAXIFS(Sets!$H$2:$H$2000,Sets!$D$2:$D$2000,$A25,Sets!$J$2:$J$2000,"N")</f>
        <v/>
      </c>
      <c r="E25" s="33">
        <f>IFERROR(INDEX(Sets!$I$2:$I$2000,MATCH($A25&amp;"|"&amp;$D25,Sets!$L$2:$L$2000,0)),"")</f>
        <v/>
      </c>
      <c r="F25" s="32">
        <f>IFERROR(INDEX(Sets!$A$2:$A$2000,MATCH($A25&amp;"|"&amp;$D25,Sets!$L$2:$L$2000,0)),"")</f>
        <v/>
      </c>
      <c r="G25" s="32">
        <f>_xlfn.MAXIFS(Sets!$A$2:$A$2000,Sets!$D$2:$D$2000,$A25)</f>
        <v/>
      </c>
      <c r="H25" s="33">
        <f>_xlfn.MAXIFS(Sets!$H$2:$H$2000,Sets!$D$2:$D$2000,$A25,Sets!$A$2:$A$2000,$G25,Sets!$J$2:$J$2000,"N")</f>
        <v/>
      </c>
      <c r="I25" s="33">
        <f>COUNTIFS(Sets!$D$2:$D$2000,$A25,Sets!$J$2:$J$2000,"N")</f>
        <v/>
      </c>
      <c r="J25" s="42">
        <f>SUMIFS(Sets!$K$2:$K$2000,Sets!$D$2:$D$2000,$A25,Sets!$J$2:$J$2000,"N")</f>
        <v/>
      </c>
    </row>
    <row r="26" ht="15" customHeight="1" s="22">
      <c r="A26" s="40" t="inlineStr">
        <is>
          <t>Hammer Curls</t>
        </is>
      </c>
      <c r="B26" s="33" t="inlineStr">
        <is>
          <t>Dumbbell</t>
        </is>
      </c>
      <c r="C26" s="33" t="inlineStr">
        <is>
          <t>lbs</t>
        </is>
      </c>
      <c r="D26" s="41">
        <f>_xlfn.MAXIFS(Sets!$H$2:$H$2000,Sets!$D$2:$D$2000,$A26,Sets!$J$2:$J$2000,"N")</f>
        <v/>
      </c>
      <c r="E26" s="33">
        <f>IFERROR(INDEX(Sets!$I$2:$I$2000,MATCH($A26&amp;"|"&amp;$D26,Sets!$L$2:$L$2000,0)),"")</f>
        <v/>
      </c>
      <c r="F26" s="32">
        <f>IFERROR(INDEX(Sets!$A$2:$A$2000,MATCH($A26&amp;"|"&amp;$D26,Sets!$L$2:$L$2000,0)),"")</f>
        <v/>
      </c>
      <c r="G26" s="32">
        <f>_xlfn.MAXIFS(Sets!$A$2:$A$2000,Sets!$D$2:$D$2000,$A26)</f>
        <v/>
      </c>
      <c r="H26" s="33">
        <f>_xlfn.MAXIFS(Sets!$H$2:$H$2000,Sets!$D$2:$D$2000,$A26,Sets!$A$2:$A$2000,$G26,Sets!$J$2:$J$2000,"N")</f>
        <v/>
      </c>
      <c r="I26" s="33">
        <f>COUNTIFS(Sets!$D$2:$D$2000,$A26,Sets!$J$2:$J$2000,"N")</f>
        <v/>
      </c>
      <c r="J26" s="42">
        <f>SUMIFS(Sets!$K$2:$K$2000,Sets!$D$2:$D$2000,$A26,Sets!$J$2:$J$2000,"N")</f>
        <v/>
      </c>
    </row>
    <row r="27" ht="15" customHeight="1" s="22">
      <c r="A27" s="40" t="inlineStr">
        <is>
          <t>Incline Bench (Smith)</t>
        </is>
      </c>
      <c r="B27" s="33" t="inlineStr">
        <is>
          <t>Smith</t>
        </is>
      </c>
      <c r="C27" s="33" t="inlineStr">
        <is>
          <t>lbs</t>
        </is>
      </c>
      <c r="D27" s="41">
        <f>_xlfn.MAXIFS(Sets!$H$2:$H$2000,Sets!$D$2:$D$2000,$A27,Sets!$J$2:$J$2000,"N")</f>
        <v/>
      </c>
      <c r="E27" s="33">
        <f>IFERROR(INDEX(Sets!$I$2:$I$2000,MATCH($A27&amp;"|"&amp;$D27,Sets!$L$2:$L$2000,0)),"")</f>
        <v/>
      </c>
      <c r="F27" s="32">
        <f>IFERROR(INDEX(Sets!$A$2:$A$2000,MATCH($A27&amp;"|"&amp;$D27,Sets!$L$2:$L$2000,0)),"")</f>
        <v/>
      </c>
      <c r="G27" s="32">
        <f>_xlfn.MAXIFS(Sets!$A$2:$A$2000,Sets!$D$2:$D$2000,$A27)</f>
        <v/>
      </c>
      <c r="H27" s="33">
        <f>_xlfn.MAXIFS(Sets!$H$2:$H$2000,Sets!$D$2:$D$2000,$A27,Sets!$A$2:$A$2000,$G27,Sets!$J$2:$J$2000,"N")</f>
        <v/>
      </c>
      <c r="I27" s="33">
        <f>COUNTIFS(Sets!$D$2:$D$2000,$A27,Sets!$J$2:$J$2000,"N")</f>
        <v/>
      </c>
      <c r="J27" s="42">
        <f>SUMIFS(Sets!$K$2:$K$2000,Sets!$D$2:$D$2000,$A27,Sets!$J$2:$J$2000,"N")</f>
        <v/>
      </c>
    </row>
    <row r="28" ht="15" customHeight="1" s="22">
      <c r="A28" s="40" t="inlineStr">
        <is>
          <t>Standing Cable Press</t>
        </is>
      </c>
      <c r="B28" s="33" t="inlineStr">
        <is>
          <t>Cable</t>
        </is>
      </c>
      <c r="C28" s="33" t="inlineStr">
        <is>
          <t>kg</t>
        </is>
      </c>
      <c r="D28" s="41">
        <f>_xlfn.MAXIFS(Sets!$H$2:$H$2000,Sets!$D$2:$D$2000,$A28,Sets!$J$2:$J$2000,"N")</f>
        <v/>
      </c>
      <c r="E28" s="33">
        <f>IFERROR(INDEX(Sets!$I$2:$I$2000,MATCH($A28&amp;"|"&amp;$D28,Sets!$L$2:$L$2000,0)),"")</f>
        <v/>
      </c>
      <c r="F28" s="32">
        <f>IFERROR(INDEX(Sets!$A$2:$A$2000,MATCH($A28&amp;"|"&amp;$D28,Sets!$L$2:$L$2000,0)),"")</f>
        <v/>
      </c>
      <c r="G28" s="32">
        <f>_xlfn.MAXIFS(Sets!$A$2:$A$2000,Sets!$D$2:$D$2000,$A28)</f>
        <v/>
      </c>
      <c r="H28" s="33">
        <f>_xlfn.MAXIFS(Sets!$H$2:$H$2000,Sets!$D$2:$D$2000,$A28,Sets!$A$2:$A$2000,$G28,Sets!$J$2:$J$2000,"N")</f>
        <v/>
      </c>
      <c r="I28" s="33">
        <f>COUNTIFS(Sets!$D$2:$D$2000,$A28,Sets!$J$2:$J$2000,"N")</f>
        <v/>
      </c>
      <c r="J28" s="42">
        <f>SUMIFS(Sets!$K$2:$K$2000,Sets!$D$2:$D$2000,$A28,Sets!$J$2:$J$2000,"N")</f>
        <v/>
      </c>
    </row>
    <row r="29" ht="15" customHeight="1" s="22">
      <c r="A29" s="40" t="inlineStr">
        <is>
          <t>Tricep Pulldown</t>
        </is>
      </c>
      <c r="B29" s="33" t="inlineStr">
        <is>
          <t>Cable</t>
        </is>
      </c>
      <c r="C29" s="33" t="inlineStr">
        <is>
          <t>kg</t>
        </is>
      </c>
      <c r="D29" s="41">
        <f>_xlfn.MAXIFS(Sets!$H$2:$H$2000,Sets!$D$2:$D$2000,$A29,Sets!$J$2:$J$2000,"N")</f>
        <v/>
      </c>
      <c r="E29" s="33">
        <f>IFERROR(INDEX(Sets!$I$2:$I$2000,MATCH($A29&amp;"|"&amp;$D29,Sets!$L$2:$L$2000,0)),"")</f>
        <v/>
      </c>
      <c r="F29" s="32">
        <f>IFERROR(INDEX(Sets!$A$2:$A$2000,MATCH($A29&amp;"|"&amp;$D29,Sets!$L$2:$L$2000,0)),"")</f>
        <v/>
      </c>
      <c r="G29" s="32">
        <f>_xlfn.MAXIFS(Sets!$A$2:$A$2000,Sets!$D$2:$D$2000,$A29)</f>
        <v/>
      </c>
      <c r="H29" s="33">
        <f>_xlfn.MAXIFS(Sets!$H$2:$H$2000,Sets!$D$2:$D$2000,$A29,Sets!$A$2:$A$2000,$G29,Sets!$J$2:$J$2000,"N")</f>
        <v/>
      </c>
      <c r="I29" s="33">
        <f>COUNTIFS(Sets!$D$2:$D$2000,$A29,Sets!$J$2:$J$2000,"N")</f>
        <v/>
      </c>
      <c r="J29" s="42">
        <f>SUMIFS(Sets!$K$2:$K$2000,Sets!$D$2:$D$2000,$A29,Sets!$J$2:$J$2000,"N")</f>
        <v/>
      </c>
    </row>
    <row r="30" ht="15" customHeight="1" s="22">
      <c r="A30" s="40" t="inlineStr">
        <is>
          <t>Straight Arm Pulldown</t>
        </is>
      </c>
      <c r="B30" s="33" t="inlineStr">
        <is>
          <t>Cable</t>
        </is>
      </c>
      <c r="C30" s="33" t="inlineStr">
        <is>
          <t>kg</t>
        </is>
      </c>
      <c r="D30" s="41">
        <f>_xlfn.MAXIFS(Sets!$H$2:$H$2000,Sets!$D$2:$D$2000,$A30,Sets!$J$2:$J$2000,"N")</f>
        <v/>
      </c>
      <c r="E30" s="33">
        <f>IFERROR(INDEX(Sets!$I$2:$I$2000,MATCH($A30&amp;"|"&amp;$D30,Sets!$L$2:$L$2000,0)),"")</f>
        <v/>
      </c>
      <c r="F30" s="32">
        <f>IFERROR(INDEX(Sets!$A$2:$A$2000,MATCH($A30&amp;"|"&amp;$D30,Sets!$L$2:$L$2000,0)),"")</f>
        <v/>
      </c>
      <c r="G30" s="32">
        <f>_xlfn.MAXIFS(Sets!$A$2:$A$2000,Sets!$D$2:$D$2000,$A30)</f>
        <v/>
      </c>
      <c r="H30" s="33">
        <f>_xlfn.MAXIFS(Sets!$H$2:$H$2000,Sets!$D$2:$D$2000,$A30,Sets!$A$2:$A$2000,$G30,Sets!$J$2:$J$2000,"N")</f>
        <v/>
      </c>
      <c r="I30" s="33">
        <f>COUNTIFS(Sets!$D$2:$D$2000,$A30,Sets!$J$2:$J$2000,"N")</f>
        <v/>
      </c>
      <c r="J30" s="42">
        <f>SUMIFS(Sets!$K$2:$K$2000,Sets!$D$2:$D$2000,$A30,Sets!$J$2:$J$2000,"N")</f>
        <v/>
      </c>
    </row>
    <row r="31" ht="15" customHeight="1" s="22">
      <c r="A31" s="40" t="inlineStr">
        <is>
          <t>Cable Flyes</t>
        </is>
      </c>
      <c r="B31" s="33" t="inlineStr">
        <is>
          <t>Cable</t>
        </is>
      </c>
      <c r="C31" s="33" t="inlineStr">
        <is>
          <t>kg</t>
        </is>
      </c>
      <c r="D31" s="41">
        <f>_xlfn.MAXIFS(Sets!$H$2:$H$2000,Sets!$D$2:$D$2000,$A31,Sets!$J$2:$J$2000,"N")</f>
        <v/>
      </c>
      <c r="E31" s="33">
        <f>IFERROR(INDEX(Sets!$I$2:$I$2000,MATCH($A31&amp;"|"&amp;$D31,Sets!$L$2:$L$2000,0)),"")</f>
        <v/>
      </c>
      <c r="F31" s="32">
        <f>IFERROR(INDEX(Sets!$A$2:$A$2000,MATCH($A31&amp;"|"&amp;$D31,Sets!$L$2:$L$2000,0)),"")</f>
        <v/>
      </c>
      <c r="G31" s="32">
        <f>_xlfn.MAXIFS(Sets!$A$2:$A$2000,Sets!$D$2:$D$2000,$A31)</f>
        <v/>
      </c>
      <c r="H31" s="33">
        <f>_xlfn.MAXIFS(Sets!$H$2:$H$2000,Sets!$D$2:$D$2000,$A31,Sets!$A$2:$A$2000,$G31,Sets!$J$2:$J$2000,"N")</f>
        <v/>
      </c>
      <c r="I31" s="33">
        <f>COUNTIFS(Sets!$D$2:$D$2000,$A31,Sets!$J$2:$J$2000,"N")</f>
        <v/>
      </c>
      <c r="J31" s="42">
        <f>SUMIFS(Sets!$K$2:$K$2000,Sets!$D$2:$D$2000,$A31,Sets!$J$2:$J$2000,"N")</f>
        <v/>
      </c>
    </row>
    <row r="32" ht="15" customHeight="1" s="22">
      <c r="A32" s="40" t="inlineStr">
        <is>
          <t>Goblet Squats</t>
        </is>
      </c>
      <c r="B32" s="33" t="inlineStr">
        <is>
          <t>Dumbbell</t>
        </is>
      </c>
      <c r="C32" s="33" t="inlineStr">
        <is>
          <t>lbs</t>
        </is>
      </c>
      <c r="D32" s="41">
        <f>_xlfn.MAXIFS(Sets!$H$2:$H$2000,Sets!$D$2:$D$2000,$A32,Sets!$J$2:$J$2000,"N")</f>
        <v/>
      </c>
      <c r="E32" s="33">
        <f>IFERROR(INDEX(Sets!$I$2:$I$2000,MATCH($A32&amp;"|"&amp;$D32,Sets!$L$2:$L$2000,0)),"")</f>
        <v/>
      </c>
      <c r="F32" s="32">
        <f>IFERROR(INDEX(Sets!$A$2:$A$2000,MATCH($A32&amp;"|"&amp;$D32,Sets!$L$2:$L$2000,0)),"")</f>
        <v/>
      </c>
      <c r="G32" s="32">
        <f>_xlfn.MAXIFS(Sets!$A$2:$A$2000,Sets!$D$2:$D$2000,$A32)</f>
        <v/>
      </c>
      <c r="H32" s="33">
        <f>_xlfn.MAXIFS(Sets!$H$2:$H$2000,Sets!$D$2:$D$2000,$A32,Sets!$A$2:$A$2000,$G32,Sets!$J$2:$J$2000,"N")</f>
        <v/>
      </c>
      <c r="I32" s="33">
        <f>COUNTIFS(Sets!$D$2:$D$2000,$A32,Sets!$J$2:$J$2000,"N")</f>
        <v/>
      </c>
      <c r="J32" s="42">
        <f>SUMIFS(Sets!$K$2:$K$2000,Sets!$D$2:$D$2000,$A32,Sets!$J$2:$J$2000,"N")</f>
        <v/>
      </c>
    </row>
    <row r="33" ht="15" customHeight="1" s="22">
      <c r="A33" s="40" t="inlineStr">
        <is>
          <t>Calf Raises (DB)</t>
        </is>
      </c>
      <c r="B33" s="33" t="inlineStr">
        <is>
          <t>Dumbbell</t>
        </is>
      </c>
      <c r="C33" s="33" t="inlineStr">
        <is>
          <t>lbs</t>
        </is>
      </c>
      <c r="D33" s="41">
        <f>_xlfn.MAXIFS(Sets!$H$2:$H$2000,Sets!$D$2:$D$2000,$A33,Sets!$J$2:$J$2000,"N")</f>
        <v/>
      </c>
      <c r="E33" s="33">
        <f>IFERROR(INDEX(Sets!$I$2:$I$2000,MATCH($A33&amp;"|"&amp;$D33,Sets!$L$2:$L$2000,0)),"")</f>
        <v/>
      </c>
      <c r="F33" s="32">
        <f>IFERROR(INDEX(Sets!$A$2:$A$2000,MATCH($A33&amp;"|"&amp;$D33,Sets!$L$2:$L$2000,0)),"")</f>
        <v/>
      </c>
      <c r="G33" s="32">
        <f>_xlfn.MAXIFS(Sets!$A$2:$A$2000,Sets!$D$2:$D$2000,$A33)</f>
        <v/>
      </c>
      <c r="H33" s="33">
        <f>_xlfn.MAXIFS(Sets!$H$2:$H$2000,Sets!$D$2:$D$2000,$A33,Sets!$A$2:$A$2000,$G33,Sets!$J$2:$J$2000,"N")</f>
        <v/>
      </c>
      <c r="I33" s="33">
        <f>COUNTIFS(Sets!$D$2:$D$2000,$A33,Sets!$J$2:$J$2000,"N")</f>
        <v/>
      </c>
      <c r="J33" s="42">
        <f>SUMIFS(Sets!$K$2:$K$2000,Sets!$D$2:$D$2000,$A33,Sets!$J$2:$J$2000,"N")</f>
        <v/>
      </c>
    </row>
    <row r="34" ht="15" customHeight="1" s="22">
      <c r="A34" s="40" t="inlineStr">
        <is>
          <t>Bodyweight Squats</t>
        </is>
      </c>
      <c r="B34" s="33" t="inlineStr">
        <is>
          <t>Bodyweight</t>
        </is>
      </c>
      <c r="C34" s="33" t="inlineStr">
        <is>
          <t>BW</t>
        </is>
      </c>
      <c r="D34" s="41">
        <f>_xlfn.MAXIFS(Sets!$H$2:$H$2000,Sets!$D$2:$D$2000,$A34,Sets!$J$2:$J$2000,"N")</f>
        <v/>
      </c>
      <c r="E34" s="33">
        <f>IFERROR(INDEX(Sets!$I$2:$I$2000,MATCH($A34&amp;"|"&amp;$D34,Sets!$L$2:$L$2000,0)),"")</f>
        <v/>
      </c>
      <c r="F34" s="32">
        <f>IFERROR(INDEX(Sets!$A$2:$A$2000,MATCH($A34&amp;"|"&amp;$D34,Sets!$L$2:$L$2000,0)),"")</f>
        <v/>
      </c>
      <c r="G34" s="32">
        <f>_xlfn.MAXIFS(Sets!$A$2:$A$2000,Sets!$D$2:$D$2000,$A34)</f>
        <v/>
      </c>
      <c r="H34" s="33">
        <f>_xlfn.MAXIFS(Sets!$H$2:$H$2000,Sets!$D$2:$D$2000,$A34,Sets!$A$2:$A$2000,$G34,Sets!$J$2:$J$2000,"N")</f>
        <v/>
      </c>
      <c r="I34" s="33">
        <f>COUNTIFS(Sets!$D$2:$D$2000,$A34,Sets!$J$2:$J$2000,"N")</f>
        <v/>
      </c>
      <c r="J34" s="42">
        <f>SUMIFS(Sets!$K$2:$K$2000,Sets!$D$2:$D$2000,$A34,Sets!$J$2:$J$2000,"N")</f>
        <v/>
      </c>
    </row>
    <row r="35">
      <c r="A35" t="inlineStr">
        <is>
          <t>RDLs (DB)</t>
        </is>
      </c>
      <c r="B35" t="inlineStr">
        <is>
          <t>Dumbbell</t>
        </is>
      </c>
      <c r="C35" t="inlineStr">
        <is>
          <t>lbs</t>
        </is>
      </c>
      <c r="D35">
        <f>_xlfn.MAXIFS(Sets!$H$2:$H$2000,Sets!$D$2:$D$2000,$A35,Sets!$J$2:$J$2000,"N")</f>
        <v/>
      </c>
      <c r="E35">
        <f>IFERROR(INDEX(Sets!$I$2:$I$2000,MATCH($A35&amp;"|"&amp;$D35,Sets!$L$2:$L$2000,0)),"")</f>
        <v/>
      </c>
      <c r="F35">
        <f>IFERROR(INDEX(Sets!$A$2:$A$2000,MATCH($A35&amp;"|"&amp;$D35,Sets!$L$2:$L$2000,0)),"")</f>
        <v/>
      </c>
      <c r="G35">
        <f>_xlfn.MAXIFS(Sets!$A$2:$A$2000,Sets!$D$2:$D$2000,$A35)</f>
        <v/>
      </c>
      <c r="H35">
        <f>_xlfn.MAXIFS(Sets!$H$2:$H$2000,Sets!$D$2:$D$2000,$A35,Sets!$A$2:$A$2000,$G35,Sets!$J$2:$J$2000,"N")</f>
        <v/>
      </c>
      <c r="I35">
        <f>COUNTIFS(Sets!$D$2:$D$2000,$A35,Sets!$J$2:$J$2000,"N")</f>
        <v/>
      </c>
      <c r="J35">
        <f>SUMIFS(Sets!$K$2:$K$2000,Sets!$D$2:$D$2000,$A35,Sets!$J$2:$J$2000,"N")</f>
        <v/>
      </c>
    </row>
    <row r="36" ht="15" customHeight="1" s="22">
      <c r="A36" s="27" t="inlineStr">
        <is>
          <t>Assisted Neutral Grip Pull-ups</t>
        </is>
      </c>
      <c r="B36" t="inlineStr">
        <is>
          <t>Machine</t>
        </is>
      </c>
      <c r="C36" t="inlineStr">
        <is>
          <t>lbs</t>
        </is>
      </c>
      <c r="D36">
        <f>_xlfn.MAXIFS(Sets!$H$2:$H$2000,Sets!$D$2:$D$2000,$A36,Sets!$J$2:$J$2000,"N")</f>
        <v/>
      </c>
      <c r="E36">
        <f>IFERROR(INDEX(Sets!$I$2:$I$2000,MATCH($A36&amp;"|"&amp;$D36,Sets!$L$2:$L$2000,0)),"")</f>
        <v/>
      </c>
      <c r="F36">
        <f>IFERROR(INDEX(Sets!$A$2:$A$2000,MATCH($A36&amp;"|"&amp;$D36,Sets!$L$2:$L$2000,0)),"")</f>
        <v/>
      </c>
      <c r="G36">
        <f>_xlfn.MAXIFS(Sets!$A$2:$A$2000,Sets!$D$2:$D$2000,$A36)</f>
        <v/>
      </c>
      <c r="H36">
        <f>_xlfn.MAXIFS(Sets!$H$2:$H$2000,Sets!$D$2:$D$2000,$A36,Sets!$A$2:$A$2000,$G36,Sets!$J$2:$J$2000,"N")</f>
        <v/>
      </c>
      <c r="I36">
        <f>COUNTIFS(Sets!$D$2:$D$2000,$A36,Sets!$J$2:$J$2000,"N")</f>
        <v/>
      </c>
      <c r="J36">
        <f>SUMIFS(Sets!$K$2:$K$2000,Sets!$D$2:$D$2000,$A36,Sets!$J$2:$J$2000,"N")</f>
        <v/>
      </c>
    </row>
    <row r="37" ht="15" customHeight="1" s="22">
      <c r="A37" s="43" t="inlineStr">
        <is>
          <t>Assisted Chin-ups</t>
        </is>
      </c>
      <c r="B37" t="inlineStr">
        <is>
          <t>Machine</t>
        </is>
      </c>
      <c r="C37" t="inlineStr">
        <is>
          <t>lbs</t>
        </is>
      </c>
      <c r="D37">
        <f>_xlfn.MAXIFS(Sets!$H$2:$H$2000,Sets!$D$2:$D$2000,$A37,Sets!$J$2:$J$2000,"N")</f>
        <v/>
      </c>
      <c r="E37">
        <f>IFERROR(INDEX(Sets!$I$2:$I$2000,MATCH($A37&amp;"|"&amp;$D37,Sets!$L$2:$L$2000,0)),"")</f>
        <v/>
      </c>
      <c r="F37">
        <f>IFERROR(INDEX(Sets!$A$2:$A$2000,MATCH($A37&amp;"|"&amp;$D37,Sets!$L$2:$L$2000,0)),"")</f>
        <v/>
      </c>
      <c r="G37">
        <f>_xlfn.MAXIFS(Sets!$A$2:$A$2000,Sets!$D$2:$D$2000,$A37)</f>
        <v/>
      </c>
      <c r="H37">
        <f>_xlfn.MAXIFS(Sets!$H$2:$H$2000,Sets!$D$2:$D$2000,$A37,Sets!$A$2:$A$2000,$G37,Sets!$J$2:$J$2000,"N")</f>
        <v/>
      </c>
      <c r="I37">
        <f>COUNTIFS(Sets!$D$2:$D$2000,$A37,Sets!$J$2:$J$2000,"N")</f>
        <v/>
      </c>
      <c r="J37">
        <f>SUMIFS(Sets!$K$2:$K$2000,Sets!$D$2:$D$2000,$A37,Sets!$J$2:$J$2000,"N")</f>
        <v/>
      </c>
    </row>
    <row r="38" ht="15" customHeight="1" s="22">
      <c r="A38" s="43" t="inlineStr">
        <is>
          <t>Hip Abduction</t>
        </is>
      </c>
      <c r="B38" t="inlineStr">
        <is>
          <t>Machine</t>
        </is>
      </c>
      <c r="C38" t="inlineStr">
        <is>
          <t>lbs</t>
        </is>
      </c>
      <c r="D38">
        <f>_xlfn.MAXIFS(Sets!$H$2:$H$2000,Sets!$D$2:$D$2000,$A38,Sets!$J$2:$J$2000,"N")</f>
        <v/>
      </c>
      <c r="E38">
        <f>IFERROR(INDEX(Sets!$I$2:$I$2000,MATCH($A38&amp;"|"&amp;$D38,Sets!$L$2:$L$2000,0)),"")</f>
        <v/>
      </c>
      <c r="F38">
        <f>IFERROR(INDEX(Sets!$A$2:$A$2000,MATCH($A38&amp;"|"&amp;$D38,Sets!$L$2:$L$2000,0)),"")</f>
        <v/>
      </c>
      <c r="G38">
        <f>_xlfn.MAXIFS(Sets!$A$2:$A$2000,Sets!$D$2:$D$2000,$A38)</f>
        <v/>
      </c>
      <c r="H38">
        <f>_xlfn.MAXIFS(Sets!$H$2:$H$2000,Sets!$D$2:$D$2000,$A38,Sets!$A$2:$A$2000,$G38,Sets!$J$2:$J$2000,"N")</f>
        <v/>
      </c>
      <c r="I38">
        <f>COUNTIFS(Sets!$D$2:$D$2000,$A38,Sets!$J$2:$J$2000,"N")</f>
        <v/>
      </c>
      <c r="J38">
        <f>SUMIFS(Sets!$K$2:$K$2000,Sets!$D$2:$D$2000,$A38,Sets!$J$2:$J$2000,"N")</f>
        <v/>
      </c>
    </row>
    <row r="39" ht="15" customHeight="1" s="22">
      <c r="A39" s="43" t="inlineStr">
        <is>
          <t>Hip Adduction</t>
        </is>
      </c>
      <c r="B39" t="inlineStr">
        <is>
          <t>Machine</t>
        </is>
      </c>
      <c r="C39" t="inlineStr">
        <is>
          <t>lbs</t>
        </is>
      </c>
      <c r="D39">
        <f>_xlfn.MAXIFS(Sets!$H$2:$H$2000,Sets!$D$2:$D$2000,$A39,Sets!$J$2:$J$2000,"N")</f>
        <v/>
      </c>
      <c r="E39">
        <f>IFERROR(INDEX(Sets!$I$2:$I$2000,MATCH($A39&amp;"|"&amp;$D39,Sets!$L$2:$L$2000,0)),"")</f>
        <v/>
      </c>
      <c r="F39">
        <f>IFERROR(INDEX(Sets!$A$2:$A$2000,MATCH($A39&amp;"|"&amp;$D39,Sets!$L$2:$L$2000,0)),"")</f>
        <v/>
      </c>
      <c r="G39">
        <f>_xlfn.MAXIFS(Sets!$A$2:$A$2000,Sets!$D$2:$D$2000,$A39)</f>
        <v/>
      </c>
      <c r="H39">
        <f>_xlfn.MAXIFS(Sets!$H$2:$H$2000,Sets!$D$2:$D$2000,$A39,Sets!$A$2:$A$2000,$G39,Sets!$J$2:$J$2000,"N")</f>
        <v/>
      </c>
      <c r="I39">
        <f>COUNTIFS(Sets!$D$2:$D$2000,$A39,Sets!$J$2:$J$2000,"N")</f>
        <v/>
      </c>
      <c r="J39">
        <f>SUMIFS(Sets!$K$2:$K$2000,Sets!$D$2:$D$2000,$A39,Sets!$J$2:$J$2000,"N")</f>
        <v/>
      </c>
    </row>
    <row r="40" ht="15" customHeight="1" s="22">
      <c r="A40" s="43" t="inlineStr">
        <is>
          <t>Assisted Tricep Dips</t>
        </is>
      </c>
      <c r="B40" t="inlineStr">
        <is>
          <t>Machine</t>
        </is>
      </c>
      <c r="C40" t="inlineStr">
        <is>
          <t>lbs</t>
        </is>
      </c>
      <c r="D40">
        <f>_xlfn.MAXIFS(Sets!$H$2:$H$2000,Sets!$D$2:$D$2000,$A40,Sets!$J$2:$J$2000,"N")</f>
        <v/>
      </c>
      <c r="E40">
        <f>IFERROR(INDEX(Sets!$I$2:$I$2000,MATCH($A40&amp;"|"&amp;$D40,Sets!$L$2:$L$2000,0)),"")</f>
        <v/>
      </c>
      <c r="F40">
        <f>IFERROR(INDEX(Sets!$A$2:$A$2000,MATCH($A40&amp;"|"&amp;$D40,Sets!$L$2:$L$2000,0)),"")</f>
        <v/>
      </c>
      <c r="G40">
        <f>_xlfn.MAXIFS(Sets!$A$2:$A$2000,Sets!$D$2:$D$2000,$A40)</f>
        <v/>
      </c>
      <c r="H40">
        <f>_xlfn.MAXIFS(Sets!$H$2:$H$2000,Sets!$D$2:$D$2000,$A40,Sets!$A$2:$A$2000,$G40,Sets!$J$2:$J$2000,"N")</f>
        <v/>
      </c>
      <c r="I40">
        <f>COUNTIFS(Sets!$D$2:$D$2000,$A40,Sets!$J$2:$J$2000,"N")</f>
        <v/>
      </c>
      <c r="J40">
        <f>SUMIFS(Sets!$K$2:$K$2000,Sets!$D$2:$D$2000,$A40,Sets!$J$2:$J$2000,"N")</f>
        <v/>
      </c>
    </row>
    <row r="41" ht="15" customHeight="1" s="22">
      <c r="A41" s="43" t="inlineStr">
        <is>
          <t>Chest-Supported DB Rows</t>
        </is>
      </c>
      <c r="B41" t="inlineStr">
        <is>
          <t>Dumbbell</t>
        </is>
      </c>
      <c r="C41" t="inlineStr">
        <is>
          <t>lbs</t>
        </is>
      </c>
      <c r="D41">
        <f>_xlfn.MAXIFS(Sets!$H$2:$H$2000,Sets!$D$2:$D$2000,$A41,Sets!$J$2:$J$2000,"N")</f>
        <v/>
      </c>
      <c r="E41">
        <f>IFERROR(INDEX(Sets!$I$2:$I$2000,MATCH($A41&amp;"|"&amp;$D41,Sets!$L$2:$L$2000,0)),"")</f>
        <v/>
      </c>
      <c r="F41">
        <f>IFERROR(INDEX(Sets!$A$2:$A$2000,MATCH($A41&amp;"|"&amp;$D41,Sets!$L$2:$L$2000,0)),"")</f>
        <v/>
      </c>
      <c r="G41">
        <f>_xlfn.MAXIFS(Sets!$A$2:$A$2000,Sets!$D$2:$D$2000,$A41)</f>
        <v/>
      </c>
      <c r="H41">
        <f>_xlfn.MAXIFS(Sets!$H$2:$H$2000,Sets!$D$2:$D$2000,$A41,Sets!$A$2:$A$2000,$G41,Sets!$J$2:$J$2000,"N")</f>
        <v/>
      </c>
      <c r="I41">
        <f>COUNTIFS(Sets!$D$2:$D$2000,$A41,Sets!$J$2:$J$2000,"N")</f>
        <v/>
      </c>
      <c r="J41">
        <f>SUMIFS(Sets!$K$2:$K$2000,Sets!$D$2:$D$2000,$A41,Sets!$J$2:$J$2000,"N")</f>
        <v/>
      </c>
    </row>
    <row r="42">
      <c r="A42" t="inlineStr">
        <is>
          <t>DB Flyes</t>
        </is>
      </c>
      <c r="B42" t="inlineStr">
        <is>
          <t>Dumbbell</t>
        </is>
      </c>
      <c r="C42" t="inlineStr">
        <is>
          <t>lbs</t>
        </is>
      </c>
      <c r="D42">
        <f>_xlfn.MAXIFS(Sets!$H$2:$H$2000,Sets!$D$2:$D$2000,$A42,Sets!$J$2:$J$2000,"N")</f>
        <v/>
      </c>
      <c r="E42">
        <f>IFERROR(INDEX(Sets!$I$2:$I$2000,MATCH($A42&amp;"|"&amp;$D42,Sets!$L$2:$L$2000,0)),"")</f>
        <v/>
      </c>
      <c r="F42">
        <f>IFERROR(INDEX(Sets!$A$2:$A$2000,MATCH($A42&amp;"|"&amp;$D42,Sets!$L$2:$L$2000,0)),"")</f>
        <v/>
      </c>
      <c r="G42">
        <f>_xlfn.MAXIFS(Sets!$A$2:$A$2000,Sets!$D$2:$D$2000,$A42)</f>
        <v/>
      </c>
      <c r="H42">
        <f>_xlfn.MAXIFS(Sets!$H$2:$H$2000,Sets!$D$2:$D$2000,$A42,Sets!$A$2:$A$2000,$G42,Sets!$J$2:$J$2000,"N")</f>
        <v/>
      </c>
      <c r="I42">
        <f>COUNTIFS(Sets!$D$2:$D$2000,$A42,Sets!$J$2:$J$2000,"N")</f>
        <v/>
      </c>
      <c r="J42">
        <f>SUMIFS(Sets!$K$2:$K$2000,Sets!$D$2:$D$2000,$A42,Sets!$J$2:$J$2000,"N")</f>
        <v/>
      </c>
    </row>
    <row r="43"/>
    <row r="44">
      <c r="A44" t="inlineStr">
        <is>
          <t>Notes</t>
        </is>
      </c>
    </row>
    <row r="45">
      <c r="A45" t="inlineStr">
        <is>
          <t>Best Weight excludes warmup sets. Cable exercises are in kg; everything else in lbs.</t>
        </is>
      </c>
    </row>
    <row r="46">
      <c r="A46" t="inlineStr">
        <is>
          <t>Bodyweight exercises show 0 - track those by reps in the Sets tab instead.</t>
        </is>
      </c>
    </row>
    <row r="47">
      <c r="A47" t="inlineStr">
        <is>
          <t>Date First Hit = the earliest session at that weight, so a matched PR keeps its original date.</t>
        </is>
      </c>
    </row>
    <row r="48">
      <c r="A48" t="inlineStr">
        <is>
          <t>Total Volume mixes kg and lbs across exercises, so compare it within an exercise, not between them.</t>
        </is>
      </c>
    </row>
    <row r="49">
      <c r="A49" t="inlineStr">
        <is>
          <t>Assisted Pull-ups and Dips log ASSIST weight, so a LOWER number is the harder set - 'Best Weight' is inverted there.</t>
        </is>
      </c>
    </row>
    <row r="50"/>
    <row r="5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7.35" customHeight="1" s="22">
      <c r="A1" s="23" t="inlineStr">
        <is>
          <t>PROGRESSION CHARTS</t>
        </is>
      </c>
    </row>
    <row r="2" ht="15" customHeight="1" s="22">
      <c r="A2" s="24" t="inlineStr">
        <is>
          <t>Top working weight per session. Gaps are sessions where the lift was not trained.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2026-07-24T00:22:44Z</dcterms:created>
  <dcterms:modified xmlns:dcterms="http://purl.org/dc/terms/" xmlns:xsi="http://www.w3.org/2001/XMLSchema-instance" xsi:type="dcterms:W3CDTF">2026-10-10T02:13:58Z</dcterms:modified>
  <cp:revision>1</cp:revision>
</cp:coreProperties>
</file>